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rm\Desktop\срм аптека\"/>
    </mc:Choice>
  </mc:AlternateContent>
  <xr:revisionPtr revIDLastSave="0" documentId="13_ncr:1_{CFC35FFB-A1D0-4E5B-B0A0-C081A89A8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Аркуш1" sheetId="2" r:id="rId2"/>
    <sheet name="Аркуш2" sheetId="3" r:id="rId3"/>
  </sheets>
  <definedNames>
    <definedName name="_xlnm._FilterDatabase" localSheetId="0" hidden="1">Sheet1!$A$1:$M$2492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2" i="3"/>
  <c r="B8" i="3"/>
  <c r="N15" i="2"/>
  <c r="O15" i="2"/>
  <c r="K3" i="2"/>
  <c r="K4" i="2"/>
  <c r="K5" i="2"/>
  <c r="K6" i="2"/>
  <c r="K7" i="2"/>
  <c r="K8" i="2"/>
  <c r="K10" i="2"/>
  <c r="K11" i="2"/>
  <c r="K12" i="2"/>
  <c r="K13" i="2"/>
  <c r="K14" i="2"/>
  <c r="K2" i="2"/>
  <c r="L3" i="2"/>
  <c r="L4" i="2"/>
  <c r="L5" i="2"/>
  <c r="L6" i="2"/>
  <c r="L7" i="2"/>
  <c r="L8" i="2"/>
  <c r="L9" i="2"/>
  <c r="L10" i="2"/>
  <c r="L11" i="2"/>
  <c r="L12" i="2"/>
  <c r="L13" i="2"/>
  <c r="L14" i="2"/>
  <c r="L2" i="2"/>
  <c r="L15" i="2" s="1"/>
  <c r="M3" i="2"/>
  <c r="M4" i="2"/>
  <c r="M5" i="2"/>
  <c r="M6" i="2"/>
  <c r="M7" i="2"/>
  <c r="M8" i="2"/>
  <c r="M9" i="2"/>
  <c r="M10" i="2"/>
  <c r="M11" i="2"/>
  <c r="M12" i="2"/>
  <c r="M13" i="2"/>
  <c r="M14" i="2"/>
  <c r="M2" i="2"/>
  <c r="D20" i="2"/>
  <c r="C15" i="2"/>
  <c r="J15" i="2"/>
  <c r="B15" i="2"/>
  <c r="E3" i="2" s="1"/>
  <c r="I3" i="2" s="1"/>
  <c r="K15" i="2" l="1"/>
  <c r="M15" i="2"/>
  <c r="E13" i="2"/>
  <c r="I13" i="2" s="1"/>
  <c r="E11" i="2"/>
  <c r="I11" i="2" s="1"/>
  <c r="E9" i="2"/>
  <c r="I9" i="2" s="1"/>
  <c r="E7" i="2"/>
  <c r="I7" i="2" s="1"/>
  <c r="E6" i="2"/>
  <c r="I6" i="2" s="1"/>
  <c r="E5" i="2"/>
  <c r="I5" i="2" s="1"/>
  <c r="E4" i="2"/>
  <c r="I4" i="2" s="1"/>
  <c r="E14" i="2"/>
  <c r="I14" i="2" s="1"/>
  <c r="E12" i="2"/>
  <c r="I12" i="2" s="1"/>
  <c r="E10" i="2"/>
  <c r="I10" i="2" s="1"/>
  <c r="E8" i="2"/>
  <c r="I8" i="2" s="1"/>
  <c r="E2" i="2"/>
  <c r="I2" i="2" s="1"/>
  <c r="I15" i="2" l="1"/>
</calcChain>
</file>

<file path=xl/sharedStrings.xml><?xml version="1.0" encoding="utf-8"?>
<sst xmlns="http://schemas.openxmlformats.org/spreadsheetml/2006/main" count="2821" uniqueCount="2531">
  <si>
    <t>Corporation</t>
  </si>
  <si>
    <t>Turnover, mUAH</t>
  </si>
  <si>
    <t>MS, %</t>
  </si>
  <si>
    <t>GR, %</t>
  </si>
  <si>
    <t>EI</t>
  </si>
  <si>
    <t>Pharmacy Count</t>
  </si>
  <si>
    <t>Pharmacy Count Share,  %</t>
  </si>
  <si>
    <t>Gr Extensive, %</t>
  </si>
  <si>
    <t>GR Intensive, %</t>
  </si>
  <si>
    <t>Pharm. count Actual</t>
  </si>
  <si>
    <t>ChainsFS Clients Count</t>
  </si>
  <si>
    <t>Online Presence Clients Count</t>
  </si>
  <si>
    <t>00001. ПОДОРОЖНИК МЕРЕЖА АПТЕК (Украина, Львов)</t>
  </si>
  <si>
    <t>00002. АПТЕКА-МАГНОЛИЯ ООО (Украина, Запорожье)</t>
  </si>
  <si>
    <t>00003. АПТЕЧНАЯ СЕТЬ 9-1-1 (Украина, Харьков)</t>
  </si>
  <si>
    <t>00004. СИРИУС-95 ООО (Украина, Киев)</t>
  </si>
  <si>
    <t>00005. ФАРМАСТОР ООО (Украина, Киев)</t>
  </si>
  <si>
    <t>00006. ЗДОРОВА РОДИНА ФК ЧП (Украина, Ивано-Франковск)</t>
  </si>
  <si>
    <t>00007. МЕД-СЕРВИС ГРУПП ООО (Украина, Днепр)</t>
  </si>
  <si>
    <t>00008. 3И ООО (Украина, Сокольники)</t>
  </si>
  <si>
    <t>00009. АПТЕЧНАЯ СЕТЬ ФАРМАЦИЯ ЧАО (Украина, Одесса)</t>
  </si>
  <si>
    <t>00010. МЕРЕЖА АПТЕК Д.С. (Украина, Львов)</t>
  </si>
  <si>
    <t>00011. КОНЕКС ЧП (Украина, Винница)</t>
  </si>
  <si>
    <t>00012. ВОЛЫНЬФАРМ ФИРМА ООО (Украина, Луцк)</t>
  </si>
  <si>
    <t>00013. ДЕКАДА-2000 ООО (Украина, Львов)</t>
  </si>
  <si>
    <t>00014. ГРУППА КОМПАНИЙ МЕДФАРМХОЛДИНГ (Украина, Запорожье)</t>
  </si>
  <si>
    <t>00015. УКРАИНСКИЙ АПТЕЧНЫЙ ХОЛДИНГ ООО (Украина, Киев)</t>
  </si>
  <si>
    <t>00016. ФОЗЗИ-ФАРМ ООО (Украина, Киев)</t>
  </si>
  <si>
    <t>00017. ГАЛАФАРМ ООО (Украина, Киев)</t>
  </si>
  <si>
    <t>00018. ХУСТФАРМ ООО (Украина, Хуст)</t>
  </si>
  <si>
    <t>00019. БМ ЭНД Н (БОГОСТА М. С.) ООО (Украина, Хуст)</t>
  </si>
  <si>
    <t>00020. ФАРМ-ХОЛДИНГ А.Г. ООО (Украина, Хмельницкий)</t>
  </si>
  <si>
    <t>00021. АПТЕКА ЗНАХАРЬ ООО (Украина, Львов)</t>
  </si>
  <si>
    <t>00022. АКС ЧП (Украина, Одесса)</t>
  </si>
  <si>
    <t>00023. САНИТАС ЧПФ (Украина, Житомир)</t>
  </si>
  <si>
    <t>00024. АПТЕКИ МЕДИЦИНСКОЙ АКАДЕМИИ ООО (Украина, Днепр)</t>
  </si>
  <si>
    <t>00025. АСТАРТА ООО (Украина, Харьков)</t>
  </si>
  <si>
    <t>00026. ФАРМАЦИЯ КП (Украина, Киев)</t>
  </si>
  <si>
    <t>00027. СКАЙИНВЕСТ ПКФ ЧП (Украина, Каменка-Бугская)</t>
  </si>
  <si>
    <t>00028. ФАКУЛЬТЕТ ООО (Украина, Днепр)</t>
  </si>
  <si>
    <t>00029. АВК ФАРМ ООО (Украина, Бердичев)</t>
  </si>
  <si>
    <t>00030. ФАРМАЦИЯ ОКП (Украина, Днепр)</t>
  </si>
  <si>
    <t>00031. АНКОР ФАРМ ЧП (Украина, Одесса)</t>
  </si>
  <si>
    <t>00032. МУЛЬТИСТОР ООО (Украина, Одесса)</t>
  </si>
  <si>
    <t>00033. ПИСАРЕНКО ЛИДИЯ АКИМОВНА ФЛП (Украина, Киев)</t>
  </si>
  <si>
    <t>00034. ЛЕКФАРМ ООО (Украина, Киев)</t>
  </si>
  <si>
    <t>00035. ПЕРВОЦВЕТ-ФАРМ ООО (Украина, Житомир)</t>
  </si>
  <si>
    <t>00036. И.К.ВЕЛ ООО (Украина, Днепр)</t>
  </si>
  <si>
    <t>00037. РОДЖЕРС ООО (Украина, Запорожье)</t>
  </si>
  <si>
    <t>00038. СВ МЕДИКАЛ ООО (Украина, Полтава)</t>
  </si>
  <si>
    <t>00039. АДОНИС ЧП (Украина, Долина)</t>
  </si>
  <si>
    <t>00040. ФАРМАСФЕРА ООО (Украина, Киев)</t>
  </si>
  <si>
    <t>00041. АПТЕКА НЦ ООО (Украина, Киев)</t>
  </si>
  <si>
    <t>00042. АПТЕКА СЛАВУТИЧ ЧП (Украина, Харьков)</t>
  </si>
  <si>
    <t>00043. Центр медицинский ДОБРОБУТ ЧАО (Украина, Киев)</t>
  </si>
  <si>
    <t>00044. МЕДИЦИНСКИЙ ЦЕНТР М.Т.К. ООО (Украина, Киев)</t>
  </si>
  <si>
    <t>00045. ХМЕЛЬНИЦКАЯ ГОРОДСКАЯ ПЕРВАЯ АПТЕКА ООО (Украина, Хмельницкий)</t>
  </si>
  <si>
    <t>00046. СИСТЕМА АПТЕК ЛИНДА-ФАРМ ООО (Украина, Днепр)</t>
  </si>
  <si>
    <t>00047. НАТАЛКА ООО (Украина, Одесса)</t>
  </si>
  <si>
    <t>00048. РОВНОФАРМАЦИЯ ОДО (Украина, Ровно)</t>
  </si>
  <si>
    <t>00049. МИРОВАЯ ФАРМАЦЕВТИЧЕСКАЯ КОМПАНИЯ ООО (Украина, Запорожье)</t>
  </si>
  <si>
    <t>00050. АПТЕКА ОРИГИНАЛЬНЫХ ПРЕПАРАТОВ ООО (Украина, Одесса)</t>
  </si>
  <si>
    <t>00051. ГАРМОНИЯ-2000 ЧП (Украина, Черновцы)</t>
  </si>
  <si>
    <t>00052. АЛЬГО-ФАРМ ООО (Украина, Киев)</t>
  </si>
  <si>
    <t>00053. БОГДАН ЧПКП ЧП (Украина, Винница)</t>
  </si>
  <si>
    <t>00054. ЭКСПРЕСС-МЕД ООО (Украина, Одесса)</t>
  </si>
  <si>
    <t>00055. ЭПИЦЕНТР К ООО (Украина, Киев)</t>
  </si>
  <si>
    <t>00056. АКВА ВИТА ПКФ ЧП (Украина, Запорожье)</t>
  </si>
  <si>
    <t>00057. ФАЛБИ ПИИ ООО (Украина, Святопетровское)</t>
  </si>
  <si>
    <t>00058. ОМЕГА-ХФК ООО (Украина, Харьков)</t>
  </si>
  <si>
    <t>00059. ЛУБНЫФАРМ АО (Украина, Лубны)</t>
  </si>
  <si>
    <t>00060. ТРИОЛЬ ФИРМА ЛТД ООО (Украина, Полтава)</t>
  </si>
  <si>
    <t>00061. ЛИКИ УКРАИНЫ ООО (Украина, Чернигов)</t>
  </si>
  <si>
    <t>00062. ФРАНЧАЙЗИНГОВАЯ КОМПАНИЯ БИОМЕД ООО (Украина, Львов)</t>
  </si>
  <si>
    <t>00063. АДОНИС МЧП ФИРМА (Украина, Фастов)</t>
  </si>
  <si>
    <t>00064. СВИТ ЗДОРОВЬЯ-ЗЖС ЧП (Украина, Чернигов)</t>
  </si>
  <si>
    <t>00065. ГЕЛИАНТУС ООО (Украина, Киев)</t>
  </si>
  <si>
    <t>00066. СВИТ ЗДОРОВЬЯ-2017 ООО (Украина, Измаил)</t>
  </si>
  <si>
    <t>00067. ВИСА ПКФ ООО (Украина, Ровно)</t>
  </si>
  <si>
    <t>00068. ФЛИС ТАТЬЯНА МИХАЙЛОВНА ФЛП (Украина, Яворов)</t>
  </si>
  <si>
    <t>00069. АВС ФАРМ ЧП (Украина, Винница)</t>
  </si>
  <si>
    <t>00070. МАГНОЛИЯ ФК ООО (Украина, Харьков)</t>
  </si>
  <si>
    <t>00071. ПРИМУЛА КП (Украина, Запорожье)</t>
  </si>
  <si>
    <t>00072. ФЕТЬКО РОМАН НИКОЛАЕВИЧ ФЛП (Украина, Виноградов)</t>
  </si>
  <si>
    <t>00073. ЭКОАПТЕКА ООО (Украина, Самар)</t>
  </si>
  <si>
    <t>00074. МЕДИЦИНА ДЛЯ ВАС ЧП (Украина, Николаев)</t>
  </si>
  <si>
    <t>00075. ЗИМА ООО (Украина, Ивано-Франковск)</t>
  </si>
  <si>
    <t>00076. РЕЦЕПТЫ ЖИЗНИ ООО (Украина, Киев)</t>
  </si>
  <si>
    <t>00077. ЦЕНТР-БУКОВИНА ФФ ООО (Украина, Черновцы)</t>
  </si>
  <si>
    <t>00078. АННУШКА.ЛИНИЯ ЖИЗНИ ООО (Украина, Одесса)</t>
  </si>
  <si>
    <t>00079. ФАРМАЦИЯ ОКП (Украина, Черкассы)</t>
  </si>
  <si>
    <t>00080. СЕТЬ АПТЕК ДОМАШНЯЯ АПТЕЧКА (Украина, Киев)</t>
  </si>
  <si>
    <t>00081. ОДЕСФАРМ КП (Украина, Одесса)</t>
  </si>
  <si>
    <t>00082. ВИННИЦКАЯ ГОРОДСКАЯ АПТЕКА КП (Украина, Винница)</t>
  </si>
  <si>
    <t>00083. ПРОИЗВОДСТВЕННО-КОММЕРЧЕСКАЯ ФИРМА МЕДПРЕПАРАТЫ ООО (Украина, Херсон)</t>
  </si>
  <si>
    <t>00084. ЛИКИ ЧЕРНИГОВЩИНЫ КП (Украина, Прилуки)</t>
  </si>
  <si>
    <t>00085. МИШЕЛЬ ООО (Украина, Чортков)</t>
  </si>
  <si>
    <t>00086. КИРОВОГРАДФАРМАЦИЯ КП (Украина, Кропивницкий)</t>
  </si>
  <si>
    <t>00087. ЗДОРОВЕ МАЙБУТНЕ ООО (Украина, Киев)</t>
  </si>
  <si>
    <t>00088. АЙВА ФИРМА ООО (Украина, Харьков)</t>
  </si>
  <si>
    <t>00089. АПТЕКА №24 ЦЕНТРАЛЬНАЯ КП (Украина, Борисполь)</t>
  </si>
  <si>
    <t>00090. АПТЕКА24 ООО (Украина, Днепр)</t>
  </si>
  <si>
    <t>00091. ТЕТРАМЕД ФИРМА ООО (Украина, Ровно)</t>
  </si>
  <si>
    <t>00092. ОБЛАСТНОЙ АПТЕЧНЫЙ СКЛАД ХОС КП (Украина, Харьков)</t>
  </si>
  <si>
    <t>00093. АПТЕКА №272 ЛОР МЕЖБОЛЬНИЧНАЯ КП (Украина, Львов)</t>
  </si>
  <si>
    <t>00094. ПОЛИМЕД ФИРМА ООО (Украина, Одесса)</t>
  </si>
  <si>
    <t>00095. ШАНГУТОВ ВИКТОР СЕРГЕЕВИЧ ФЛП (Украина, Винница)</t>
  </si>
  <si>
    <t>00096. ФАРМАЦИЯ АО КП (Украина, Запорожье)</t>
  </si>
  <si>
    <t>00097. НИКОН ЧП (Украина, Малин)</t>
  </si>
  <si>
    <t>00098. АРБУЗОВ ЮРИЙ ВИКТОРОВИЧ ФЛП (Украина, Каменское)</t>
  </si>
  <si>
    <t>00099. Территориальное медицинское объединение №1 Больница интенсивных методов лечения и скорой медицинской помощи клиническая многопрофильная городская (Украина, Львов)</t>
  </si>
  <si>
    <t>00100. ТИТАН ООО (Украина, Харьков)</t>
  </si>
  <si>
    <t>00101. АПТЕКА МУНИЦИПАЛЬНАЯ ГОРОДА ХАРЬКОВА КП (Украина, Харьков)</t>
  </si>
  <si>
    <t>00102. ШЕРИ ПЛЮС ООО (Украина, Самар)</t>
  </si>
  <si>
    <t>00103. МВВ ИНСТРУМЕНТС ООО (Украина, Киев)</t>
  </si>
  <si>
    <t>00104. ЛИКИ ПЛЮС ООО (Украина, Кропивницкий)</t>
  </si>
  <si>
    <t>00105. ЗЕЛЕНАЯ АПТЕКА ООО (Украина, Рокитное)</t>
  </si>
  <si>
    <t>00106. ВИТАМИНКА-ЮВ ООО (Украина, Канев)</t>
  </si>
  <si>
    <t>00107. ЯРГИН ЛЮДМИЛА ВАСИЛЬЕВНА ФЛП (Украина, Межгорье)</t>
  </si>
  <si>
    <t>00108. ТЕРНОПОЛЬСКОЕ ОБЛАСТНОЕ ПРОИЗВОДСТВЕННО-ТОРГОВОЕ АПТЕЧНОЕ ОБЪЕДИНЕНИЕ КП (Украина, Тернополь)</t>
  </si>
  <si>
    <t>00109. РОСТ ОК ООО (Украина, Харьков)</t>
  </si>
  <si>
    <t>00110. АПТЕКА НАДИЯ ООО (Украина, Смела)</t>
  </si>
  <si>
    <t>00111. КЛИЗУБ СЕРГЕЙ АЛЕКСЕЕВИЧ ФЛП (Украина, Гусятин)</t>
  </si>
  <si>
    <t>00112. АПТЕКА-МАЯК ООО (Украина, Киев)</t>
  </si>
  <si>
    <t>00113. АЦИНУС ЧПФ ЧП (Украина, Кропивницкий)</t>
  </si>
  <si>
    <t>00114. АПТЕКА №194 ООО (Украина, Борисполь)</t>
  </si>
  <si>
    <t>00115. МЕДИЦИНСКАЯ КОМПАНИЯ МЕДИКУС ООО (Украина, Киев)</t>
  </si>
  <si>
    <t>00116. ВСЕ ДЛЯ ЗДОРОВЬЯ ООО (Украина, Киев)</t>
  </si>
  <si>
    <t>00117. ДАРС-Д ООО (Украина, Чугуев)</t>
  </si>
  <si>
    <t>00118. ЛЕДА ООО (Украина, Харьков)</t>
  </si>
  <si>
    <t>00119. САНТЕ ООО (Украина, Запорожье)</t>
  </si>
  <si>
    <t>00120. ФАРМЕД ЧП (Украина, Белая Церковь)</t>
  </si>
  <si>
    <t>00121. ОПТОВАЯ АПТЕКА АЛТЕЯ ООО (Украина, Бровары)</t>
  </si>
  <si>
    <t>00122. КОВАЛЕНКО ОЛЕГ ВЛАДИМИРОВИЧ ФЛП (Украина, Кривой Рог)</t>
  </si>
  <si>
    <t>00123. ФАРМАЦИЯ КП (Украина, Харьков)</t>
  </si>
  <si>
    <t>00124. КРЕПОСТЬ ООО (Украина, Могилев-Подольский)</t>
  </si>
  <si>
    <t>00125. КОМПАНИЯ РЕАЛ ФАРМ ЧП (Украина, Одесса)</t>
  </si>
  <si>
    <t>00126. АПТЕКИ ФАРМАСИТИ ООО (Украина, Киев)</t>
  </si>
  <si>
    <t>00127. МЕЛЬНИК ИННА ВЛАДИМИРОВНА ФЛП (Украина, Бровары)</t>
  </si>
  <si>
    <t>00128. НЕЗДОЛИЙ ЕЛЕНА АЛЕКСАНДРОВНА ФЛП (Украина, Киев)</t>
  </si>
  <si>
    <t>00129. БРК-ФАРМ ООО (Украина, Одесса)</t>
  </si>
  <si>
    <t>00130. КОСТЕВЬЯТ ИРИНА НИКОЛАЕВНА ФЛП (Украина, Радехов)</t>
  </si>
  <si>
    <t>00131. ЗНАХАРЬ ООО (Украина, Киев)</t>
  </si>
  <si>
    <t>00132. ШЕРАТОН ТРЕЙД ООО (Украина, Днепр)</t>
  </si>
  <si>
    <t>00133. КАПАН ООО (Украина, Одесса)</t>
  </si>
  <si>
    <t>00134. БЕЛИЦКИЙ ВИТАЛИЙ ОЛЕГОВИЧ ФЛП (Украина, Копычинцы)</t>
  </si>
  <si>
    <t>00135. ИНКОПМАРК МЕДСЕРВИС ООО (Украина, Кропивницкий)</t>
  </si>
  <si>
    <t>00136. ФАРМЦЕНТР ЧП (Украина, Долинская)</t>
  </si>
  <si>
    <t>00137. ПОРТАВИК ХОЛДИНГ ООО (Украина, Одесса)</t>
  </si>
  <si>
    <t>00138. КИСКИНА ГАЛИНА ПЕТРОВНА ФЛП (Украина, Арциз)</t>
  </si>
  <si>
    <t>00139. НИКА ПЛЮС ЧП (Украина, Харьков)</t>
  </si>
  <si>
    <t>00140. ОБЛАСТНАЯ СОЦИАЛЬНАЯ АПТЕКА ООО (Украина, Харьков)</t>
  </si>
  <si>
    <t>00141. ПОЕДИНЧУК ВАЛЕНТИНА МИХАЙЛОВНА ФЛП (Украина, Гайсин)</t>
  </si>
  <si>
    <t>00142. НАТАЛКА ФАРМ-ТРЕЙД ООО (Украина, Одесса)</t>
  </si>
  <si>
    <t>00143. ФИРМА УКР-МЕДМАРКЕТ ЧП (Украина, Киев)</t>
  </si>
  <si>
    <t>00144. НОВО ФАРМ ООО (Украина, Киев)</t>
  </si>
  <si>
    <t>00145. ДОРРА-ГРУПП ЧП (Украина, Полтава)</t>
  </si>
  <si>
    <t>00146. ВОЛЫНЬФАРМПОСТАЧ ГПТП (Украина, Луцк)</t>
  </si>
  <si>
    <t>00147. ЛЕКТА ЧП (Украина, Богодухов)</t>
  </si>
  <si>
    <t>00148. АПТЕКА №156 ООО (Украина, Хмельник)</t>
  </si>
  <si>
    <t>00149. ГОРОДСКАЯ КОММУНАЛЬНАЯ АПТЕКА ВИОЛА КП (Украина, Хмельницкий)</t>
  </si>
  <si>
    <t>00150. ТЕХМЕДСЕРВИС-ТМС ООО (Украина, Винница)</t>
  </si>
  <si>
    <t>00151. ШИМАНСКАЯ ИРИНА ВИКТОРОВНА ФЛП (Украина, Коростышев)</t>
  </si>
  <si>
    <t>00152. ЛИКИ ЧП (Украина, Самар)</t>
  </si>
  <si>
    <t>00153. ВИТА ООО (Украина, Одесса)</t>
  </si>
  <si>
    <t>00154. ДОБРО ДИЙ АВД ООО (Украина, Харьков)</t>
  </si>
  <si>
    <t>00155. БОРИС МЦ ООО (Украина, Тернополь)</t>
  </si>
  <si>
    <t>00156. ЦИТРУС-ФАРМ ООО (Украина, Киев)</t>
  </si>
  <si>
    <t>00157. БОЛЬНИЧНАЯ АПТЕКА КП (Украина, Ужгород)</t>
  </si>
  <si>
    <t>00158. АПТЕКА №157 МЕЖБОЛЬНИЧНАЯ КП (Украина, Тернополь)</t>
  </si>
  <si>
    <t>00159. АПТЕКА №44 ООО (Украина, Львов)</t>
  </si>
  <si>
    <t>00160. АПТЕКА МЕЖБОЛЬНИЧНАЯ РКП (Украина, Гайсин)</t>
  </si>
  <si>
    <t>00161. АСТРЕЯ ФАРМ ООО (Украина, Харьков)</t>
  </si>
  <si>
    <t>00162. ВЕСТА-20 ООО (Украина, Киев)</t>
  </si>
  <si>
    <t>00163. АЙРОН ВЕСТ ООО (Украина, Лановцы)</t>
  </si>
  <si>
    <t>00164. ЛИКАР ООО (Украина, Киев)</t>
  </si>
  <si>
    <t>00165. БИОЛОГИШЕ ХАЙЛЬМИТТЕЛЬ ХЕЕЛЬ ГМБХ (Германия, Баден-Баден)</t>
  </si>
  <si>
    <t>00166. САВОН СВЕТЛАНА МАКСИМОВНА ФЛП (Украина, Любешов)</t>
  </si>
  <si>
    <t>00167. БАРЧУК ЮЛИЯ ЯНОВНА ФЛП (Украина, Берестечко)</t>
  </si>
  <si>
    <t>00168. ГИППОКРАТ ООО (Украина, Фонтанка)</t>
  </si>
  <si>
    <t>00169. СОЦФАРМ ООО (Украина, Николаев)</t>
  </si>
  <si>
    <t>00170. ВИНСПЕЦФАРМ ООО (Украина, Винница)</t>
  </si>
  <si>
    <t>00171. АПТЕКА №265 ЦЕНТРАЛЬНАЯ ХМЕЛЬНИКСКАЯ КП (Украина, Хмельник)</t>
  </si>
  <si>
    <t>00172. ЭДЕЛЬВЕЙС-ФАРМА ООО (Украина, Мукачево)</t>
  </si>
  <si>
    <t>00173. Клиника репродуктивной медицины им. академика В.И. Грищенко ООО (Украина, Львов)</t>
  </si>
  <si>
    <t>00174. АМАРАНТ-ФАРМ ООО (Украина, Благодатное)</t>
  </si>
  <si>
    <t>00175. ФАРМАЦЕВТИЧЕСКАЯ ФИРМА ОЛИМП ООО (Украина, Киев)</t>
  </si>
  <si>
    <t>00176. АПТЕКА №11 ООО (Украина, Харьков)</t>
  </si>
  <si>
    <t>00177. ГРИН ФАРМ ООО (Украина, Клавдиево-Тарасово)</t>
  </si>
  <si>
    <t>00178. КОСМИН ВИТАЛИЙ ИВАНОВИЧ ФЛП (Украина, Тростянец)</t>
  </si>
  <si>
    <t>00179. РЕБАР НЕЛЯ МИХАЙЛОВНА ФЛП (Украина, Красная)</t>
  </si>
  <si>
    <t>00180. ФАРМАЦИЯ ПКСО (Украина, Николаев)</t>
  </si>
  <si>
    <t>00181. САНА МЧП (Украина, Надворная)</t>
  </si>
  <si>
    <t>00182. КУДЛЯК ООО (Украина, Скала-Подольская)</t>
  </si>
  <si>
    <t>00183. АВДЕЙЧИК ВАСИЛИЙ ВАСИЛЬЕВИЧ ФЛП (Украина, Хмельницкий)</t>
  </si>
  <si>
    <t>00184. БАДМ ООО (Украина, Днепр)</t>
  </si>
  <si>
    <t>00185. АПТЕКА №126 МЕЖБОЛЬНИЧНАЯ ОКП (Украина, Тернополь)</t>
  </si>
  <si>
    <t>00186. ЕВРАЗИЯ ООО (Украина, Полтава)</t>
  </si>
  <si>
    <t>00187. ТОРГОВЫЙ ДОМ МЕДСВИТ ООО (Украина, Сумы)</t>
  </si>
  <si>
    <t>00188. БЕБЫК СЕРГЕЙ ВИТАЛЬЕВИЧ ФЛП (Украина, Крыжополь)</t>
  </si>
  <si>
    <t>00189. ГИРУДА ООО (Украина, Львов)</t>
  </si>
  <si>
    <t>00190. МАГИСТР МФФ ЧП (Украина, Виноградов)</t>
  </si>
  <si>
    <t>00191. АПТЕКА №11 ООО (Украина, Сарны)</t>
  </si>
  <si>
    <t>00192. МАЯ СЕРВИС ООО (Украина, Хыров)</t>
  </si>
  <si>
    <t>00193. КРИЛЬ КОНСТАНТИН РОМАНОВИЧ ФЛП (Украина, Сокаль)</t>
  </si>
  <si>
    <t>00194. ЕВРО-АПТЕКА ООО (Украина, Ужгород)</t>
  </si>
  <si>
    <t>00195. МАЛАШЕВСКАЯ ЖАННА СЕРГЕЕВНА ФЛП (Украина, Винница)</t>
  </si>
  <si>
    <t>00196. САЛЮС ООО (Украина, Киев)</t>
  </si>
  <si>
    <t>00197. ГАСАЙ ЯРОСЛАВ ВЛАДИМИРОВИЧ ФЛП (Украина, Волочиск)</t>
  </si>
  <si>
    <t>00198. КРАКОВСКАЯ НИНА ИВАНОВНА ФЛП (Украина, Томашполь)</t>
  </si>
  <si>
    <t>00199. СТАСЕНКО ВАЛЕНТИНА МАРКОВНА ФЛП (Украина, Ладыжин)</t>
  </si>
  <si>
    <t>00200. АНИС ООО (Украина, Сокаль)</t>
  </si>
  <si>
    <t>00201. ТРИНЯК ВЯЧЕСЛАВ ЮРЬЕВИЧ ФЛП (Украина, Харьков)</t>
  </si>
  <si>
    <t>00202. АПТЕКА НОВА ООО (Украина, Кропивницкий)</t>
  </si>
  <si>
    <t>00203. АЗИМУТ ООО (Украина, Киев)</t>
  </si>
  <si>
    <t>00204. КОМПЛЕКС ООО (Украина, Черновцы)</t>
  </si>
  <si>
    <t>00205. ДЯЧЕНКО ОЛЬГА ВЛАДИМИРОВНА ФЛП (Украина, Одесса)</t>
  </si>
  <si>
    <t>00206. Х.А.О.П. ООО (Украина, Хмельницкий)</t>
  </si>
  <si>
    <t>00207. ДЮЗ ПКП ООО (Украина, Люботин)</t>
  </si>
  <si>
    <t>00208. ФИРМА СНГ ООО (Украина, Чернигов)</t>
  </si>
  <si>
    <t>00209. ЧАЙКА МИХАИЛ ЮРЬЕВИЧ ФЛП (Украина, Пеньковка)</t>
  </si>
  <si>
    <t>00210. ЮСТА ЧП (Украина, Запорожье)</t>
  </si>
  <si>
    <t>00211. КОВАЛЕНКО ТАТЬЯНА АНАТОЛЬЕВНА ФЛП (Украина, Кривой Рог)</t>
  </si>
  <si>
    <t>00212. БАРВЕНКОВСКАЯ АПТЕКА ООО (Украина, Барвенково)</t>
  </si>
  <si>
    <t>00213. АПТЕКА №73 ЦЕНТРАЛЬНАЯ РАЙОННАЯ КП (Украина, Тальное)</t>
  </si>
  <si>
    <t>00214. АПТЕКА-103 ООО (Украина, Сумы)</t>
  </si>
  <si>
    <t>00215. ТЕРАФАРМ ЧП (Украина, Отыния)</t>
  </si>
  <si>
    <t>00216. ПОЛТАВАФАРМ ОКП (Украина, Рассошенцы)</t>
  </si>
  <si>
    <t>00217. СВС-ФАРМ ООО (Украина, Одесса)</t>
  </si>
  <si>
    <t>00218. ДУБИНСКАЯ ЮЛИЯ ВАЛЕРЬЕВНА ФЛП (Украина, Гайворон)</t>
  </si>
  <si>
    <t>00219. СТАНДАРТ ФАРМА ЧП (Украина, Богодухов)</t>
  </si>
  <si>
    <t>00220. АДОНИС ЧП (Украина, Одесса)</t>
  </si>
  <si>
    <t>00221. АПТЕКА №329 ООО (Украина, Харьков)</t>
  </si>
  <si>
    <t>00222. МАГНУС ЧП (Украина, Одесса)</t>
  </si>
  <si>
    <t>00223. СЕЛЕМОН ТАМАРА ВАСИЛЬЕВНА ФЛП (Украина, Межгорье)</t>
  </si>
  <si>
    <t>00224. ОРИГИНАЛЬНЫЕ ПРЕПАРАТЫ ООО (Украина, Львов)</t>
  </si>
  <si>
    <t>00225. ОСАДЧУК ИРИНА НИКОЛАЕВНА ФЛП (Украина, Городенка)</t>
  </si>
  <si>
    <t>00226. АПТЕКА №23 ЦЕНТРАЛЬНАЯ КП (Украина, Сторожинец)</t>
  </si>
  <si>
    <t>00227. АПТЕКА №266 МЕЖБОЛЬНИЧНАЯ КП (Украина, Львов)</t>
  </si>
  <si>
    <t>00228. ТОТУС-ФАРМ ООО (Украина, Полтава)</t>
  </si>
  <si>
    <t>00229. КОТЛАН МИХАИЛ МИХАЙЛОВИЧ ФЛП (Украина, Великая Копаня)</t>
  </si>
  <si>
    <t>00230. МАРЦЕНЮК ТАТЬЯНА ВАСИЛЬЕВНА ФЛП (Украина, Винница)</t>
  </si>
  <si>
    <t>00231. ВАСА МЧП (Украина, Одесса)</t>
  </si>
  <si>
    <t>00232. ТЕТЯНИЧ ЕЛЕНА ИВАНОВНА ФЛП (Украина, Белая Церковь)</t>
  </si>
  <si>
    <t>00233. КАРАКУЦЯ ЮРИЙ НИКОЛАЕВИЧ ФЛП (Украина, Зачепиловка)</t>
  </si>
  <si>
    <t>00234. ТАРАСЮК СВЕТЛАНА АНАТОЛЬЕВНА ФЛП (Украина, Винница)</t>
  </si>
  <si>
    <t>00235. ШАВАЛО СВЕТЛАНА СТЕПАНОВНА ФЛП (Украина, Новояворовск)</t>
  </si>
  <si>
    <t>00236. ГОРОДСКАЯ АПТЕКА КП (Украина, Каменское)</t>
  </si>
  <si>
    <t>00237. СКЛЯРОВ ВЛАДИСЛАВ ВАЛЕРЬЕВИЧ ФЛП (Украина, Казатин)</t>
  </si>
  <si>
    <t>00238. СТРЫЙСКАЯ ГОРОДСКАЯ СОЦИАЛЬНАЯ АПТЕКА КП (Украина, Стрый)</t>
  </si>
  <si>
    <t>00239. СПЕЦФАРМАЦИЯ ООО (Украина, Винница)</t>
  </si>
  <si>
    <t>00240. Центр военно-медицинский клинический государственной пограничной службы Украины (Украина, Львов)</t>
  </si>
  <si>
    <t>00241. АМИ ПКФ ООО (Украина, Днепр)</t>
  </si>
  <si>
    <t>00242. АПТЕКА №78 ООО (Украина, Тернополь)</t>
  </si>
  <si>
    <t>00243. КИНИВ ОЛЕСЯ ВАСИЛЬЕВНА ФЛП (Украина, Сельцо)</t>
  </si>
  <si>
    <t>00244. ОЛЕЙНИК ВИКТОР ЮРИЕВИЧ ФЛП (Украина, Лука-Мелешковская)</t>
  </si>
  <si>
    <t>00245. КЛИМЧУК УЛЬЯНА РОМАНОВНА ФЛП (Украина, Борщев)</t>
  </si>
  <si>
    <t>00246. ЧИЖЕНКО ВАСИЛИЙ ВЛАДИСЛАВОВИЧ ФЛП (Украина, Новоселица)</t>
  </si>
  <si>
    <t>00247. ТРОСТЯНЕЦКАЯ КОММУНАЛЬНАЯ АПТЕКА КП (Украина, Тростянец)</t>
  </si>
  <si>
    <t>00248. АПТЕКА №197 КП (Украина, Полтава)</t>
  </si>
  <si>
    <t>00249. КОВАЛЬ МАРЬЯНА ИВАНОВНА ФЛП (Украина, Владычная)</t>
  </si>
  <si>
    <t>00250. ТОРГОВЫЙ ДОМ СИНЕС ООО (Украина, Николаев)</t>
  </si>
  <si>
    <t>00251. АРМАШ ТАТЬЯНА АНАТОЛЬЕВНА ФЛП (Украина, Одесса)</t>
  </si>
  <si>
    <t>00252. САКУРА ФАРМ ООО (Украина, Ужгород)</t>
  </si>
  <si>
    <t>00253. МИФ ЧФ (Украина, Ивано-Франковск)</t>
  </si>
  <si>
    <t>00254. МЕДСТРАХ-М ООО (Украина, Николаев)</t>
  </si>
  <si>
    <t>00255. ПИГУЛКА ФАРМ ООО (Украина, Почаев)</t>
  </si>
  <si>
    <t>00256. МЕДИНТЕХ ФИРМА ЧП (Украина, Чернигов)</t>
  </si>
  <si>
    <t>00257. МЕДИКОТЕКА МЧП (Украина, Одесса)</t>
  </si>
  <si>
    <t>00258. АПТЕКА №10 ЦЕНТРАЛЬНАЯ РАЙОННАЯ КП (Украина, Турийск)</t>
  </si>
  <si>
    <t>00259. АПТЕКА КАПСУЛА ООО (Украина, Киев)</t>
  </si>
  <si>
    <t>00260. ДМИТРУС ВЛАДИМИР ВАСИЛЬЕВИЧ ФЛП (Украина, Турка)</t>
  </si>
  <si>
    <t>00261. ПАРШЕВЛЮК ИРИНА ЕВГЕНЬЕВНА ФЛП (Украина, Уланов)</t>
  </si>
  <si>
    <t>00262. СП-ФАРМ ООО (Украина, Коростень)</t>
  </si>
  <si>
    <t>00263. КИРИЧЕНКО ТАРАС ВИКТОРОВИЧ ФЛП (Украина, Берислав)</t>
  </si>
  <si>
    <t>00264. СЕЛЕНА-ФАРМ ООО (Украина, Счастливое)</t>
  </si>
  <si>
    <t>00265. ШТАЕР ВИКТОРИЯ ИВАНОВНА ФЛП (Украина, Межгорье)</t>
  </si>
  <si>
    <t>00266. БУКОВИНА-ФАРМ ОКП (Украина, Черновцы)</t>
  </si>
  <si>
    <t>00267. СВОБОДА-2 ЧП (Украина, Березовка)</t>
  </si>
  <si>
    <t>00268. КОМАРОВА ЕЛЕНА ВЛАДИМИРОВНА ФЛП (Украина, Дружба)</t>
  </si>
  <si>
    <t>00269. МУРЗАГАЛИЕВА ЮЛИЯ ВИКТОРОВНА ФЛП (Украина, Гайсин)</t>
  </si>
  <si>
    <t>00270. МУШКА ВЛАДИМИР ПЕТРОВИЧ ФЛП (Украина, Берегово)</t>
  </si>
  <si>
    <t>00271. БЮРО ФАРМАЦИИ И МЕДИЦИНЫ ООО (Украина, Киев)</t>
  </si>
  <si>
    <t>00272. ВИКА-ФАРМ ЧП (Украина, Усатово)</t>
  </si>
  <si>
    <t>00273. ФАРМ ВИЛЛАДЖ ООО (Украина, Козин)</t>
  </si>
  <si>
    <t>00274. ПРОГРЕСС ЧП (Украина, Тростянец)</t>
  </si>
  <si>
    <t>00275. ПИЛИПЧУК ИВАН ВАСИЛЬЕВИЧ ФЛП (Украина, Кельменцы)</t>
  </si>
  <si>
    <t>00276. БАРАН МАРИЯ ТЕОДОЗИЕВНА ФЛП (Украина, Болотня)</t>
  </si>
  <si>
    <t>00277. ЕРМОЛИНА АЛИНА ВАЛЕРЬЕВНА ФЛП (Украина, Запорожье)</t>
  </si>
  <si>
    <t>00278. ВИВА ФАРМ ЮГ ООО (Украина, Одесса)</t>
  </si>
  <si>
    <t>00279. НАГУРНАЯ ВИТАЛИЯ МИХАЙЛОВНА ФЛП (Украина, Межгорье)</t>
  </si>
  <si>
    <t>00280. АПТЕКА №22 ООО (Украина, Харьков)</t>
  </si>
  <si>
    <t>00281. ЛИС ООО (Украина, Вишневое)</t>
  </si>
  <si>
    <t>00282. АНТОНОВИЧ ЕКАТЕРИНА ВАСИЛЬЕВНА ФЛП (Украина, Змиев)</t>
  </si>
  <si>
    <t>00283. САБАДОШ АЛЕКСАНДР ИВАНОВИЧ ФЛП (Украина, Стеблевка)</t>
  </si>
  <si>
    <t>00284. ГОРВАТ ОЛЬГА ИОСИФОВНА ФЛП (Украина, Ужгород)</t>
  </si>
  <si>
    <t>00285. БОЙКО ГАЛИНА МИХАЙЛОВНА ФЛП (Украина, Скалат)</t>
  </si>
  <si>
    <t>00286. ХАДЖЕ С.А. ЧП (Украина, Одесса)</t>
  </si>
  <si>
    <t>00287. СТЕФАНЮК УЛЬЯНА МИХАЙЛОВНА ФЛП (Украина, Черновцы)</t>
  </si>
  <si>
    <t>00288. ЧУМАК ООО (Украина, Трушевичи)</t>
  </si>
  <si>
    <t>00289. АПТЕКА №214 ОХРАНА ЗДОРОВЬЯ АП ООО (Украина, Винница)</t>
  </si>
  <si>
    <t>00290. ДИКСИ ООО (Украина, Кривой Рог)</t>
  </si>
  <si>
    <t>00291. АДАМПОЛЬСКИЙ КОМБИКОРМОВЫЙ ЗАВОД ООО (Украина, Хмельник)</t>
  </si>
  <si>
    <t>-</t>
  </si>
  <si>
    <t>00292. МИРОНЯК ОЛЬГА НИКОЛАЕВНА ФЛП (Украина, Заболотов)</t>
  </si>
  <si>
    <t>00293. ВОСТОК-ФАРМ ООО (Украина, Каменское)</t>
  </si>
  <si>
    <t>00294. РОМАНИВ СВЕТЛАНА ПЕТРОВНА ФЛП (Украина, Щирец)</t>
  </si>
  <si>
    <t>00295. АПТЕКА №127 КП (Украина, Житомир)</t>
  </si>
  <si>
    <t>00296. БОНДАРЕНКО ОЛЕГ ВИКТОРОВИЧ ФЛП (Украина, Тростянец)</t>
  </si>
  <si>
    <t>00297. МЕРИДИАН ЧАО (Украина, Харьков)</t>
  </si>
  <si>
    <t>00298. ПИЧКУР МАРИЯ ПЕТРОВНА ФЛП (Украина, Шаргород)</t>
  </si>
  <si>
    <t>00299. САНОС ООО (Украина, Киев)</t>
  </si>
  <si>
    <t>00300. СКАЙЛАЙН ФИРМА ООО (Украина, Киев)</t>
  </si>
  <si>
    <t>00301. КОНВАЛИЯ-ФАРМ ЧП (Украина, Умань)</t>
  </si>
  <si>
    <t>00302. СОЦИАЛЬНАЯ АПТЕКА ГКП (Украина, Мукачево)</t>
  </si>
  <si>
    <t>00303. КОРОЛИК ОКСАНА ЛЕОНИДОВНА ФЛП (Украина, Речица)</t>
  </si>
  <si>
    <t>00304. ПОЛИЩУК НАТАЛИЯ ЯНОВНА ФЛП (Украина, Кицмань)</t>
  </si>
  <si>
    <t>00305. КОТЛИНСКИЙ ВИТАЛИЙ ВАСИЛЬЕВИЧ ФЛП (Украина, Чечельник)</t>
  </si>
  <si>
    <t>00306. БРОВЧУК МАРЬЯНА ВАСИЛЬЕВНА ФЛП (Украина, Коломыя)</t>
  </si>
  <si>
    <t>00307. КАПИТЕЛЬ-НИКОЛАЕВ ООО (Украина, Николаев)</t>
  </si>
  <si>
    <t>00308. ИНТЕРХИМ ОДО (Украина, Одесса)</t>
  </si>
  <si>
    <t>00309. МАТВИЕЦ ВЛАДИМИР ВАСИЛЬЕВИЧ ФЛП (Украина, Шаргород)</t>
  </si>
  <si>
    <t>00310. ЧЕЛСИ ПЛЮС ООО (Украина, Кобеляки)</t>
  </si>
  <si>
    <t>00311. ЭНЗИМ ООО (Украина, Кривой Рог)</t>
  </si>
  <si>
    <t>00312. Центр реабилитационный КОМПЛЕКС ОЗДОРОВИТЕЛЬНО-ПРОФИЛАКТИЧЕСКИЙ ПЛАНЕТА ЗДОРОВЬЯ ООО (Украина, Трускавец)</t>
  </si>
  <si>
    <t>00313. ГОНЧАР СЕРГЕЙ АЛЕКСАНДРОВИЧ ФЛП (Украина, Теофиполь)</t>
  </si>
  <si>
    <t>00314. СОКОЛЮК ГАЛИНА ПЕТРОВНА ФЛП (Украина, Литин)</t>
  </si>
  <si>
    <t>00315. О.Л.КАР. ФАРМ-СЕРВИС ЧП (Украина, Винница)</t>
  </si>
  <si>
    <t>00316. ГОМЕОПАТИЧЕСКАЯ АПТЕКА ООО (Украина, Харьков)</t>
  </si>
  <si>
    <t>00317. ПЕГАС Е ООО (Украина, Днепр)</t>
  </si>
  <si>
    <t>00318. АПТЕКА МЕЖБОЛЬНИЧНАЯ КП (Украина, Житомир)</t>
  </si>
  <si>
    <t>00319. ПОГРЕБИЩЕНСКАЯ АПТЕКА ООО (Украина, Погребище)</t>
  </si>
  <si>
    <t>00320. РАДЧУК АНАТОЛИЙ НИКИТИЧ ФЛП (Украина, Колки)</t>
  </si>
  <si>
    <t>00321. ФАРМА ФАМИЛИЯ ООО (Украина, Киев)</t>
  </si>
  <si>
    <t>00322. ЛИТВИНЧУК СЕРГЕЙ ВИКТОРОВИЧ ФЛП (Украина, Семеновка)</t>
  </si>
  <si>
    <t>00323. ФАРМАЦЕВТИЧЕСКАЯ КОМПАНИЯ ЛИКИ НОВООДЕЩИНЫ ООО (Украина, Новая Одесса)</t>
  </si>
  <si>
    <t>00324. АПТЕКА №33 ЦЕНТРАЛЬНАЯ РАЙОННАЯ ГП (Украина, Любешов)</t>
  </si>
  <si>
    <t>00325. ФАРМАМЕД ООО (Украина, Кролевец)</t>
  </si>
  <si>
    <t>00326. ВАЛЕКС ООО (Украина, Звенигородка)</t>
  </si>
  <si>
    <t>00327. ЯМТ ООО (Украина, Кропивницкий)</t>
  </si>
  <si>
    <t>00328. СКИФ-ФАРМ ООО (Украина, Днепрорудное)</t>
  </si>
  <si>
    <t>00329. НАСТАЛЕНКО ОКСАНА МИХАЙЛОВНА ФЛП (Украина, Немиров)</t>
  </si>
  <si>
    <t>00330. ГЕЛЕКСИ ООО (Украина, Киев)</t>
  </si>
  <si>
    <t>00331. ПРИТУЛЬСКАЯ ВЕРА ВИКТОРОВНА ФЛП (Украина, Звенигородка)</t>
  </si>
  <si>
    <t>00332. СНГ КОНВАЛИЯ ДП ФИРМА ООО (Украина, Городня)</t>
  </si>
  <si>
    <t>00333. ВОДОЛЕЙ ООО (Украина, Одесса)</t>
  </si>
  <si>
    <t>00334. АПТЕКА №17 ЦЕНТРАЛЬНАЯ РАЙОННАЯ КП (Украина, Монастырище)</t>
  </si>
  <si>
    <t>00335. В-ПЛЮС ТПК ООО (Украина, Днепр)</t>
  </si>
  <si>
    <t>00336. СТОЛИЦА ФФ ООО (Украина, Киев)</t>
  </si>
  <si>
    <t>00337. ВАША СЕМЕЙНАЯ АПТЕКА ООО (Украина, Магдалиновка)</t>
  </si>
  <si>
    <t>00338. РЕГИОНАЛЬНЫЙ АПТЕЧНЫЙ СКЛАД ООО (Украина, Киев)</t>
  </si>
  <si>
    <t>00339. СЛАБЧЕНКО ВАЛЕРИЙ НИКОЛАЕВИЧ ФЛП (Украина, Бахмач)</t>
  </si>
  <si>
    <t>00340. АВИЦЕННА ФИРМА ООО (Украина, Винница)</t>
  </si>
  <si>
    <t>00341. ФЕДИК НИКОЛАЙ ВАСИЛЬЕВИЧ ФЛП (Украина, Калиновка)</t>
  </si>
  <si>
    <t>00342. ОСТРОУС НАТАЛИЯ ВАСИЛЬЕВНА ФЛП (Украина, Бершадь)</t>
  </si>
  <si>
    <t>00343. АПТЕКА АНИТА ООО (Украина, Черкассы)</t>
  </si>
  <si>
    <t>00344. ОХРИМЕНКО ДЕНИС ВИТАЛЬЕВИЧ ФЛП (Украина, Запорожье)</t>
  </si>
  <si>
    <t>00345. ТЕРЕЩЕНКО НИКИТА СЕРГЕЕВИЧ ФЛП (Украина, Запорожье)</t>
  </si>
  <si>
    <t>00346. НОРМА-ПУЛЬС ООО (Украина, Киев)</t>
  </si>
  <si>
    <t>00347. ВОЛОЩУК ТАТЬЯНА ИВАНОВНА ФЛП (Украина, Лужаны)</t>
  </si>
  <si>
    <t>00348. ДОБРЫЙ ДОКТОР ООО (Украина, Киев)</t>
  </si>
  <si>
    <t>00349. Клиника СЕМЕЙНЫЙ ДОКТОР (Украина, Запорожье)</t>
  </si>
  <si>
    <t>00350. КОЛОМИЕЦ МИРОСЛАВА ВЛАДИМИРОВНА ФЛП (Украина, Львов)</t>
  </si>
  <si>
    <t>00351. ДАЦЮК ПЕТР ПЕТРОВИЧ ФЛП (Украина, Павловка)</t>
  </si>
  <si>
    <t>00352. НАУЧНО-ПРОИЗВОДСТВЕННАЯ КОММЕРЧЕСКАЯ ФИРМА ВИСПАР ООО (Украина, Одесса)</t>
  </si>
  <si>
    <t>00353. КУПИНА ИРИНА ВЛАДИМИРОВНА ФЛП (Украина, Приколотное)</t>
  </si>
  <si>
    <t>00354. АПТЕКА №12 ООО (Украина, Данилово)</t>
  </si>
  <si>
    <t>00355. ОЧАБРУК МАРИНА НИКОЛАЕВНА ФЛП (Украина, Грушево)</t>
  </si>
  <si>
    <t>00356. СТЕЦЮНИЧ НАТАЛЬЯ СЕРГЕЕВНА ФЛП (Украина, Межгорье)</t>
  </si>
  <si>
    <t>00357. ОРГАНИЯФАРМ ООО (Украина, Волчинец)</t>
  </si>
  <si>
    <t>00358. ОФИЦИНА ООО (Украина, Берегомет)</t>
  </si>
  <si>
    <t>00359. ФАРМА-ЛИТ ЧП (Украина, Винница)</t>
  </si>
  <si>
    <t>00360. ТАТАРЧУК АЛЛА ВАСИЛЬЕВНА ФЛП (Украина, Тростянец)</t>
  </si>
  <si>
    <t>00361. МЕЛИССА ЧФ (Украина, Кегичевка)</t>
  </si>
  <si>
    <t>00362. МУХАНОВ ВИТАЛИЙ АЛЕКСАНДРОВИЧ ФЛП (Украина, Одесса)</t>
  </si>
  <si>
    <t>00363. АЛЕКС-ФАРМ ООО (Украина, Запорожье)</t>
  </si>
  <si>
    <t>00364. МАЗУР ТАИСИЯ ИВАНОВНА ФЛП (Украина, Тростянец)</t>
  </si>
  <si>
    <t>00365. АПТЕКА №28 ЦЕНТРАЛЬНАЯ РАЙОННАЯ КП (Украина, Сокиряны)</t>
  </si>
  <si>
    <t>00366. ПАЛАМАРЧУК НАТАЛИЯ ИГОРЕВНА ФЛП (Украина, Хмельницкий)</t>
  </si>
  <si>
    <t>00367. ЛЮДМИЛА-ФАРМ ООО (Украина, Киев)</t>
  </si>
  <si>
    <t>00368. КОЗЫРЕВ КЛИМ ВАЛЕРЬЕВИЧ ФЛП (Украина, Нежин)</t>
  </si>
  <si>
    <t>00369. ЮПИТЕР ООО (Украина, Покровск)</t>
  </si>
  <si>
    <t>00370. АПТЕКА ЦЕНТРАЛЬНАЯ КП (Украина, Виньковцы)</t>
  </si>
  <si>
    <t>00371. АПТЕКА №29 ЧП (Украина, Джурин)</t>
  </si>
  <si>
    <t>00372. ФАРМ-ЯКИСТЬ ООО (Украина, Одесса)</t>
  </si>
  <si>
    <t>00373. МОЯ АПТЕКА ЧП (Украина, Зимняя Вода)</t>
  </si>
  <si>
    <t>00374. КРАВЧУК АНАТОЛИЙ ВИКТОРОВИЧ ФЛП (Украина, Трояновка)</t>
  </si>
  <si>
    <t>00375. АПТЕКА №289 МЕЖБОЛЬНИЧНАЯ ГКП (Украина, Львов)</t>
  </si>
  <si>
    <t>00376. КОСОВИЧ ИРИНА БОГДАНОВНА ФЛП (Украина, Тернополь)</t>
  </si>
  <si>
    <t>00377. БУЛИК АННА ИВАНОВНА ФЛП (Украина, Колочава)</t>
  </si>
  <si>
    <t>00378. ЗЕЛЕНСКАЯ АЛЕНА ГЕННАДЬЕВНА ФЛП (Украина, Васильковка)</t>
  </si>
  <si>
    <t>00379. АПТЕКА №30 ООО (Украина, Львов)</t>
  </si>
  <si>
    <t>00380. ЛИКИ УКРАИНЫ ГАК (Украина, Киев)</t>
  </si>
  <si>
    <t>00381. ПУЧКАН ЛЮБОВЬ АЛЕКСАНДРОВНА ФЛП (Украина, Запорожье)</t>
  </si>
  <si>
    <t>00382. НОСОВА ЛЮДМИЛА ФЕДОРОВНА ФЛП (Украина, Веселиново)</t>
  </si>
  <si>
    <t>00383. ВЕЛЯНСКИЙ АЛЕКСАНДР ВИКТОРОВИЧ ФЛП (Украина, Сторожинец)</t>
  </si>
  <si>
    <t>00384. ОТЕНИЯ ОЛЬГА НИКОЛАЕВНА ФЛП (Украина, Славское)</t>
  </si>
  <si>
    <t>00385. МИРГОРОДСКАЯ ОЛЬГА НИКОЛАЕВНА ФЛП (Украина, Слобожанское)</t>
  </si>
  <si>
    <t>00386. ШУЛЯК ВАЛЕНТИНА ГРИГОРЬЕВНА ФЛП (Украина, Олыка)</t>
  </si>
  <si>
    <t>00387. САЛЬВЕ ООО (Украина, Кропивницкий)</t>
  </si>
  <si>
    <t>00388. КОВАЛЬЧУК ВАСИЛИЙ ПЕТРОВИЧ ФЛП (Украина, Крыжополь)</t>
  </si>
  <si>
    <t>00389. ЧИГИРИН-ФАРМ ООО (Украина, Трушевцы)</t>
  </si>
  <si>
    <t>00390. ГОДУНОК НЕЛЯ ПЕТРОВНА ФЛП (Украина, Вараш)</t>
  </si>
  <si>
    <t>00391. КАРАСЛАЙ СЕРГЕЙ СЕРГЕЕВИЧ ФЛП (Украина, Заречье)</t>
  </si>
  <si>
    <t>00392. МОТУЛЯК НАТАЛИЯ НИКОЛАЕВНА ФЛП (Украина, Черновцы)</t>
  </si>
  <si>
    <t>00393. ОЛИВИЯ ФАРМ ООО (Украина, Краматорск)</t>
  </si>
  <si>
    <t>00394. ПОЛТАВАФАРМАЦИЯ КП (Украина, Полтава)</t>
  </si>
  <si>
    <t>00395. ДЕМЧУК ТАРАС ВАСИЛЬЕВИЧ ФЛП (Украина, Зализцы)</t>
  </si>
  <si>
    <t>00396. ЛЯХ ВИКТОРИЯ ИВАНОВНА ФЛП (Украина, Среднее Водяное)</t>
  </si>
  <si>
    <t>00397. БЕЙСЮК ВАСИЛИЙ НИКОЛАЕВИЧ ФЛП (Украина, Вербовец)</t>
  </si>
  <si>
    <t>00398. ЛАДЫЖИНСКАЯ ГОРОДСКАЯ АПТЕКА КП (Украина, Ладыжин)</t>
  </si>
  <si>
    <t>00399. БИЧЕР-ИЛУЦАН ИРИНА ВАСИЛЬЕВНА ФЛП (Украина, Глыбокая)</t>
  </si>
  <si>
    <t>00400. Больница многопрофильная клиническая городская (Украина, Бровары)</t>
  </si>
  <si>
    <t>00401. ВЛАСОВ АЛЕКСЕЙ АЛЕКСАНДРОВИЧ ФЛП (Украина, Кривой Рог)</t>
  </si>
  <si>
    <t>00402. ЗАВИСТОВСКИЙ АЛЕКСАНДР СТАНИСЛАВОВИЧ ФЛП (Украина, Днепр)</t>
  </si>
  <si>
    <t>00403. ГИППОКРАТ ЧП (Украина, Винница)</t>
  </si>
  <si>
    <t>00404. ПОЛИЩУК АНАТОЛИЙ ИВАНОВИЧ ФЛП (Украина, Борщев)</t>
  </si>
  <si>
    <t>00405. АПТЕКА ПРИМУЛА ЧП (Украина, Львов)</t>
  </si>
  <si>
    <t>00406. МАТВЕЙШИНА ВАЛЕНТИНА МИХАЙЛОВНА ФЛП (Украина, Олевск)</t>
  </si>
  <si>
    <t>00407. МОСИЙЧЕНКО ВАЛЕНТИН ОЛЕГОВИЧ ФЛП (Украина, Мальцы)</t>
  </si>
  <si>
    <t>00408. ПОЛТОРАЦКАЯ ЛИДИЯ ИВАНОВНА ФЛП (Украина, Балаклея)</t>
  </si>
  <si>
    <t>00409. Клиника репродуктивной медицины НАДИЯ ООО (Украина, Киев)</t>
  </si>
  <si>
    <t>00410. АНТОНЮК ЛАРИСА ИОСИФОВНА ФЛП (Украина, Великий Кучуров)</t>
  </si>
  <si>
    <t>00411. ГОРОДНЯ МЕЛАНИЯ ИЛЬИНИЧНА ФЛП (Украина, Оноковцы)</t>
  </si>
  <si>
    <t>00412. БИОТЕХНОЛОГИЯ ООО (Украина, Киев)</t>
  </si>
  <si>
    <t>00413. ГЕРАЩЕНКО МАКСИМ АЛЕКСАНДРОВИЧ ФЛП (Украина, Апостолово)</t>
  </si>
  <si>
    <t>00414. ИРИНА И КО ООО (Украина, Одесса)</t>
  </si>
  <si>
    <t>00415. ФАРМ МАРКЕТ ООО (Украина, Запорожье)</t>
  </si>
  <si>
    <t>00416. ВЕЛЕГАН МИРОСЛАВА ВАСИЛЬЕВНА ФЛП (Украина, Терново)</t>
  </si>
  <si>
    <t>00417. МЕДФАРМ-ПЛЮС ЧП (Украина, Полтава)</t>
  </si>
  <si>
    <t>00418. ГОЖДА АЛЕКСАНДР ВАСИЛЬЕВИЧ ФЛП (Украина, Вижница)</t>
  </si>
  <si>
    <t>00419. ФЕНЯК ИННА НИКОЛАЕВНА ФЛП (Украина, Вознесенск)</t>
  </si>
  <si>
    <t>00420. АПТЕКА ФЕНИКС ФАРМ ООО (Украина, Гостомель)</t>
  </si>
  <si>
    <t>00421. ТЮТЮННИК ИННА АЛЕКСАНДРОВНА ФЛП (Украина, Сосонка)</t>
  </si>
  <si>
    <t>00422. ВОВЧОК ЯРОСЛАВ ИВАНОВИЧ ФЛП (Украина, Березово)</t>
  </si>
  <si>
    <t>00423. АПТЕКА ВИТАФАРМ ООО (Украина, Белая Церковь)</t>
  </si>
  <si>
    <t>00424. БОНДАРЕНКО НИНА БОРИСОВНА ФЛП (Украина, Запорожье)</t>
  </si>
  <si>
    <t>00425. АРНИКА-ФАРМ ЧП (Украина, Тернополь)</t>
  </si>
  <si>
    <t>00426. РЫБАК ВАЛЕРИЙ АНТОНОВИЧ ФЛП (Украина, Саврань)</t>
  </si>
  <si>
    <t>00427. АПФ-ФАРМ ООО (Украина, Киев)</t>
  </si>
  <si>
    <t>00428. УКРВАКЦИНА ГП (Украина, Киев)</t>
  </si>
  <si>
    <t>00429. ДУБСКАЯ ЮЛИЯ ИВАНОВНА ФЛП (Украина, Килия)</t>
  </si>
  <si>
    <t>00430. ЧУРЮК ОКСАНА ВАСИЛЬЕВНА ФЛП (Украина, Черновцы)</t>
  </si>
  <si>
    <t>00431. ФАРМАПРОТ ЧПФ (Украина, Запорожье)</t>
  </si>
  <si>
    <t>00432. ДОБРЕНЬКИЙ ВЛАДИМИР ВЛАДИМИРОВИЧ ФЛП (Украина, Матвеевка)</t>
  </si>
  <si>
    <t>00433. КОШЕЛЬ ЯНА СТАНИСЛАВОВНА ФЛП (Украина, Одесса)</t>
  </si>
  <si>
    <t>00434. ДВОРСКАЯ ТАТЬЯНА ЕМЕЛЬЯНОВНА ФЛП (Украина, Тернополь)</t>
  </si>
  <si>
    <t>00435. ТЛОКА ВИТА ВИКТОРОВНА ФЛП (Украина, Мазуровка)</t>
  </si>
  <si>
    <t>00436. ОРДЕХА ИЛОНА ИГОРЕВНА ФЛП (Украина, Тернополь)</t>
  </si>
  <si>
    <t>00437. УГРЫН ВАСИЛИЙ СЕРГЕЕВИЧ ФЛП (Украина, Тернополь)</t>
  </si>
  <si>
    <t>00438. ПОЛИЩУК МАРИЯ ГРИГОРЬЕВНА ФЛП (Украина, Бучач)</t>
  </si>
  <si>
    <t>00439. ТВОЯ АПТЕКА ЧП (Украина, Днепр)</t>
  </si>
  <si>
    <t>00440. КУГАЕВСКАЯ ТАТЬЯНА ПЕТРОВНА ФЛП (Украина, Мельница-Подольская)</t>
  </si>
  <si>
    <t>00441. ТАНИНЕЦ ВЕРА ПЕТРОВНА ФЛП (Украина, Свалява)</t>
  </si>
  <si>
    <t>00442. ТУГАЙБЕЙ ИГОРЬ АНАТОЛЬЕВИЧ ФЛП (Украина, Харьков)</t>
  </si>
  <si>
    <t>00443. ДЬЯКОВА НАТАЛИЯ ИВАНОВНА ФЛП (Украина, Одесса)</t>
  </si>
  <si>
    <t>00444. АДАМЕНКО ВИКТОР ИВАНОВИЧ ФЛП (Украина, Городок)</t>
  </si>
  <si>
    <t>00445. ПЕРС ООО (Украина, Черновцы)</t>
  </si>
  <si>
    <t>00446. МЫТНИК ЕВГЕНИЙ АЛЕКСАНДРОВИЧ ФЛП (Украина, Христиновка)</t>
  </si>
  <si>
    <t>00447. НОВОСАД ЗОЯ ЯРОСЛАВОВНА ФЛП (Украина, Липины)</t>
  </si>
  <si>
    <t>00448. РАДЧУК БОГДАН АНАТОЛЬЕВИЧ ФЛП (Украина, Камень-Каширский)</t>
  </si>
  <si>
    <t>00449. Центр медицинский ВЕРУМ ПЛЮС ООО (Украина, Киев)</t>
  </si>
  <si>
    <t>00450. РУДИЧЕНКО МАРИНА ВЛАДИМИРОВНА ФЛП (Украина, Хацки)</t>
  </si>
  <si>
    <t>00451. ТЕРРА-ЛТД ООО (Украина, Одесса)</t>
  </si>
  <si>
    <t>00452. АПТЕКА №9 ООО (Украина, Харьков)</t>
  </si>
  <si>
    <t>00453. МАСЛОВСКАЯ СВЕТЛАНА ЮРЬЕВНА ФЛП (Украина, Арциз)</t>
  </si>
  <si>
    <t>00454. ПЕЛЕШОК ОЛЕГ ИГОРЕВИЧ ФЛП (Украина, Великие Гаи)</t>
  </si>
  <si>
    <t>00455. КОШЕВОЙ ЛЕОНТИЙ ФЕДОРОВИЧ ФЛП (Украина, Новая Ободовка)</t>
  </si>
  <si>
    <t>00456. СОЛОДОВНИК ОЛЬГА ВЛАДИМИРОВНА ФЛП (Украина, Магдалиновка)</t>
  </si>
  <si>
    <t>00457. НЕМИРОВСКИЙ ОЛЕГ ПЕТРОВИЧ ФЛП (Украина, Ялтушков)</t>
  </si>
  <si>
    <t>00458. ХЕЛС МАРКЕТ ООО (Украина, Затурцы)</t>
  </si>
  <si>
    <t>00459. ЦОКУР ЮЛИЯ НИКОЛАЕВНА ФЛП (Украина, Лосиновка)</t>
  </si>
  <si>
    <t>00460. ИЛАШ ЕЛЕНА ВИКТОРОВНА ФЛП (Украина, Кельменцы)</t>
  </si>
  <si>
    <t>00461. ДУДИНА НАТАЛИЯ ЮРЬЕВНА ФЛП (Украина, Калины)</t>
  </si>
  <si>
    <t>00462. ДАНИЛЕВСКАЯ НАТАЛИЯ ВИТАЛЬЕВНА ФЛП (Украина, Запорожье)</t>
  </si>
  <si>
    <t>00463. СИТИФАРМ ЧП (Украина, Александрия)</t>
  </si>
  <si>
    <t>00464. ПУКАЕВИЧ ОЛЬГА ИВАНОВНА ФЛП (Украина, Черновцы)</t>
  </si>
  <si>
    <t>00465. РЫБАК ОЛЬГА ОРЕСТОВНА ФЛП (Украина, Николаев)</t>
  </si>
  <si>
    <t>00466. АФАНАСЬЕВА ЕЛИЗАВЕТА ИГОРЕВНА ФЛП (Украина, Запорожье)</t>
  </si>
  <si>
    <t>00467. ТВЛ-ФАРМ ООО (Украина, Коленковцы)</t>
  </si>
  <si>
    <t>00468. ДЕРДА МАРИЯ ВАСИЛЬЕВНА ФЛП (Украина, Водица)</t>
  </si>
  <si>
    <t>00469. ШАНА ООО (Украина, Килия)</t>
  </si>
  <si>
    <t>00470. АПТЕКА №40 ЦЕНТРАЛЬНАЯ РАЙОННАЯ КП (Украина, Косов)</t>
  </si>
  <si>
    <t>00471. ПОБЕРЕЖНИК ТАТЬЯНА АНАТОЛЬЕВНА ФЛП (Украина, Глуховцы)</t>
  </si>
  <si>
    <t>00472. ТЕРПЕЦКАЯ ЛИДИЯ ВАСИЛЬЕВАН ФЛП (Украина, Тульчин)</t>
  </si>
  <si>
    <t>00473. МЕДСТАР-2000 ООО (Украина, Черкассы)</t>
  </si>
  <si>
    <t>00474. ФАРМДОВЕРИЕ ЧП (Украина, Царичанка)</t>
  </si>
  <si>
    <t>00475. РУДНИК СЕРГЕЙ НИКОЛАЕВИЧ ФЛП (Украина, Чернигов)</t>
  </si>
  <si>
    <t>00476. КАЛУШКА ЕЛЕНА БОГДАНОВНА ФЛП (Украина, Озерная)</t>
  </si>
  <si>
    <t>00477. АПТЕКС ЧП (Украина, Малин)</t>
  </si>
  <si>
    <t>00478. КУЛЬБАЧКО НАТАЛИЯ ВЛАДИМИРОВНА ФЛП (Украина, Новониколаевка)</t>
  </si>
  <si>
    <t>00479. АПТЕКА №1 КП (Украина, Львов)</t>
  </si>
  <si>
    <t>00480. СОЛЬСКАЯ-ВАВРИНЧУК ЛИЛИЯ ПЕТРОВНА ФЛП (Украина, Новоселка)</t>
  </si>
  <si>
    <t>00481. АПТЕКА НА МАРИЙСКОЙ ПЛОЩАДИ ООО (Украина, Львов)</t>
  </si>
  <si>
    <t>00482. КРАЙНЯЯ ЛЮДМИЛА ВАСИЛЬЕВНА ФЛП (Украина, Александровка)</t>
  </si>
  <si>
    <t>00483. ПАЗАК АННА МИХАЙЛОВНА ФЛП (Украина, Нижняя Апша)</t>
  </si>
  <si>
    <t>00484. КУБИЦКАЯ ВАЛЕНТИНА ВАСИЛЬЕВНА ФЛП (Украина, Каменец-Подольский)</t>
  </si>
  <si>
    <t>00485. ЭКОНОМ ИФ ООО (Украина, Ивано-Франковск)</t>
  </si>
  <si>
    <t>00486. А.СТ ООО (Украина, Сновск)</t>
  </si>
  <si>
    <t>00487. ВОРОБЕЦ ТАМАРА ВАСИЛЬЕВНА ФЛП (Украина, Каменка)</t>
  </si>
  <si>
    <t>00488. ГАСТРО КОРПОРЕЙШН ИНДАСТРИ ООО (Украина, Днепр)</t>
  </si>
  <si>
    <t>00489. РОМАНОВА ЛАРИСА ПЕТРОВНА ФЛП (Украина, Запорожье)</t>
  </si>
  <si>
    <t>00490. ЗДОРОВА РОДИНА 2022 ООО (Украина, Запорожье)</t>
  </si>
  <si>
    <t>00491. КАРДАШ ЭДУАРД ВАСИЛЬЕВИЧ ФЛП (Украина, Дунаевцы)</t>
  </si>
  <si>
    <t>00492. АЕ-КОМ ООО (Украина, Харьков)</t>
  </si>
  <si>
    <t>00493. БЕЧКО НАТАЛЬЯ ПАВЛОВНА ФЛП (Украина, Путила)</t>
  </si>
  <si>
    <t>00494. ТИМОШЕНКО ОЛЕГ СЕРГЕЕВИЧ ФЛП (Украина, Недригайлов)</t>
  </si>
  <si>
    <t>00495. ОЛЕКСЮК ИВАННА ИВАНОВНА ФЛП (Украина, Винница)</t>
  </si>
  <si>
    <t>00496. РИО ИМПЕКС, ЛТД ООО (Украина, Рудки)</t>
  </si>
  <si>
    <t>00497. ПЕНДЕЛЯК ЮРИЙ ИВАНОВИЧ ФЛП (Украина, Иршанск)</t>
  </si>
  <si>
    <t>00498. ШЕВЧУК ЕКАТЕРИНА АНАТОЛЬЕВНА ФЛП (Украина, Копылов)</t>
  </si>
  <si>
    <t>00499. ВИА ОДК ООО (Украина, Черновцы)</t>
  </si>
  <si>
    <t>00500. ДАНЬКО ОЛЬГА АНАТОЛЬЕВНА ФЛП (Украина, Верещаки)</t>
  </si>
  <si>
    <t>00501. ПОВХ МИРОСЛАВ ВАСИЛЬЕВИЧ ФЛП (Украина, Ратно)</t>
  </si>
  <si>
    <t>00502. ГИРБА ЕЛЕНА ВАСИЛЬЕВНА ФЛП (Украина, Бершадь)</t>
  </si>
  <si>
    <t>00503. МАКАРЕВИЧ МАРИЯ ИВАНОВНА ФЛП (Украина, Шумск)</t>
  </si>
  <si>
    <t>00504. АПТЕКА КОММЕРЧЕСКАЯ МЧП (Украина, Монастырище)</t>
  </si>
  <si>
    <t>00505. ГИХОН ООО (Украина, Княгининок)</t>
  </si>
  <si>
    <t>00506. НАУМЕНКО ВЯЧЕСЛАВ АНАТОЛЬЕВИЧ ФЛП (Украина, Вергуны)</t>
  </si>
  <si>
    <t>00507. ЧЕРНЯК СЕРГЕЙ КАЛИСТРАТОВИЧ ФЛП (Украина, Николаев)</t>
  </si>
  <si>
    <t>00508. ВАЙМА МВД ООО (Украина, Черновцы)</t>
  </si>
  <si>
    <t>00509. АПТЕКА МЧП (Украина, Чемеровцы)</t>
  </si>
  <si>
    <t>00510. БОРЯЧЕНКО ЕЛЕНА ВАСИЛЬЕВНА ФЛП (Украина, Сарны)</t>
  </si>
  <si>
    <t>00511. БУРКОВСКАЯ ИРИНА СТЕПАНОВНА ФЛП (Украина, Магала)</t>
  </si>
  <si>
    <t>00512. АПТЕКА ФАРМ-ЛАЙН ООО (Украина, Николаев)</t>
  </si>
  <si>
    <t>00513. КОВАЧ ЗОЛТАН ИОСИФОВИЧ ФЛП (Украина, Вылок)</t>
  </si>
  <si>
    <t>00514. ГУЗЕВА НАТАЛИЯ АНДРЕЕВНА ФЛП (Украина, Полтава)</t>
  </si>
  <si>
    <t>00515. ФЕРМЕРСКОЕ ХОЗЯЙСТВО ВЛАД (Украина, Махновка)</t>
  </si>
  <si>
    <t>00516. ТИТАРЕНКО ТАМАРА АЛЕКСАНДРОВНА ФЛП (Украина, Немешаево)</t>
  </si>
  <si>
    <t>00517. ЗЛАТОФАРМ ООО (Украина, Золотоноша)</t>
  </si>
  <si>
    <t>00518. СУШАНИН ЮЛИЯ МИХАЙЛОВНА ФЛП (Украина, Заречье)</t>
  </si>
  <si>
    <t>00519. ПРОГРЕССИВНЫЕ ЛЕЧЕБНЫЕ СИСТЕМЫ ЧП (Украина, Львов)</t>
  </si>
  <si>
    <t>00520. БОЙЧУК ЛЮБОВЬ МИХАЙЛОВНА ФЛП (Украина, Липовец)</t>
  </si>
  <si>
    <t>00521. ИЛЬКОВИЧ МАРИЯ ВАСИЛЬЕВНА ФЛП (Украина, Перегинское)</t>
  </si>
  <si>
    <t>00522. АНДРЕЕВ ОЛЕГ ВЛАДИМИРОВИЧ ФЛП (Украина, Коростень)</t>
  </si>
  <si>
    <t>00523. АПТЕКА №86 КП (Украина, Бердичев)</t>
  </si>
  <si>
    <t>00524. ФЕТИДА ЧПКФ (Украина, Харьков)</t>
  </si>
  <si>
    <t>00525. МИХАЙЛИК ПЕТР СТЕПАНОВИЧ ФЛП (Украина, Шаргород)</t>
  </si>
  <si>
    <t>00526. СНИСАРЕНКО ЕКАТЕРИНА ИВАНОВНА ФЛП (Украина, Жашков)</t>
  </si>
  <si>
    <t>00527. ВАНТЮХ ИВАННА ИВАНОВНА ФЛП (Украина, Верхнее Водяное)</t>
  </si>
  <si>
    <t>00528. СОКУР ЕЛЕНА ИВАНОВНА ФЛП (Украина, Тростянец)</t>
  </si>
  <si>
    <t>00529. АПТЕКА ПАВЛОВА ООО (Украина, Одесса)</t>
  </si>
  <si>
    <t>00530. ВИТЮК ВАЛЕНТИН ИВАНОВИЧ ФЛП (Украина, Винница)</t>
  </si>
  <si>
    <t>00531. АНТИМИС ИГОРЬ ВАСИЛЬЕВИЧ ФЛП (Украина, Каменец-Подольский)</t>
  </si>
  <si>
    <t>00532. ВИЗНЯК АЛЕКСАНДР МИХАЙЛОВИЧ ФЛП (Украина, Подгайчики)</t>
  </si>
  <si>
    <t>00533. МАКСИМИШИНА ЮЛИЯ КОНСТАНТИНОВНА ФЛП (Украина, Николаев)</t>
  </si>
  <si>
    <t>00534. РАВА-РУССКАЯ ГОРОДСКАЯ СОЦИАЛЬНАЯ АПТЕКА КП (Украина, Рава-Русская)</t>
  </si>
  <si>
    <t>00535. САМАРУХА КРИСТИНА ГРИГОРЬЕВНА ФЛП (Украина, Гайсин)</t>
  </si>
  <si>
    <t>00536. ДЕМБИЦКИЙ ИГОРЬ ВИКТОРОВИЧ ФЛП (Украина, Подгайцы)</t>
  </si>
  <si>
    <t>00537. ПОБОЧИЙ ВЛАДИМИР ГРИГОРЬЕВИЧ ФЛП (Украина, Малая Круча)</t>
  </si>
  <si>
    <t>00538. МАНДРЫК ЗИНАИДА ЮРЬЕВНА ФЛП (Украина, Великий Кучуров)</t>
  </si>
  <si>
    <t>00539. МИКУЛЯК НАДЕЖДА АНДРЕЕВНА ФЛП (Украина, Тячев)</t>
  </si>
  <si>
    <t>00540. МЕДИС МЧП (Украина, Мукачево)</t>
  </si>
  <si>
    <t>00541. ИЛИНИЧ ОЛЬГА АЛЕКСЕЕВНА ФЛП (Украина, Харьков)</t>
  </si>
  <si>
    <t>00542. ТОРГОВЫЙ ДОМ МВК ООО (Украина, Одесса)</t>
  </si>
  <si>
    <t>00543. ТУРБОТА ПЛЮС ООО (Украина, Демидов)</t>
  </si>
  <si>
    <t>00544. АЙВИМЕД ФАРМА ООО (Украина, Киев)</t>
  </si>
  <si>
    <t>00545. ПРОЩИНА ВИКТОРИЯ ВАЛЕРЬЕВНА ФЛП (Украина, Харьков)</t>
  </si>
  <si>
    <t>00546. ДАМИАН ООО (Украина, Золотоноша)</t>
  </si>
  <si>
    <t>00547. ЧЕРНЕНЬКИЙ ГРИГОРИЙ АНАТОЛЬЕВИЧ ФЛП (Украина, Межевая)</t>
  </si>
  <si>
    <t>00548. ОРАТОВСКАЯ РАЙОННАЯ СОЦИАЛЬНАЯ АПТЕКА КП (Украина, Оратов)</t>
  </si>
  <si>
    <t>00549. КУЧМАН ЛЮДМИЛА ВАСИЛЬЕВНА ФЛП (Украина, Саврань)</t>
  </si>
  <si>
    <t>00550. БАЛЬЗАММУС ООО (Украина, Киев)</t>
  </si>
  <si>
    <t>00551. КОВАЛЬЧУК ЯНА СЕРГЕЕВНА ФЛП (Украина, Винница)</t>
  </si>
  <si>
    <t>00552. ЗАВАИР МЧП (Украина, Березовка)</t>
  </si>
  <si>
    <t>00553. СУЛИМА ТАТЬЯНА ВЛАДИМИРОВНА ФЛП (Украина, Оратов)</t>
  </si>
  <si>
    <t>00554. ФЕДОРОВА ОЛЬГА НИКОЛАЕВНА ФЛП (Украина, Киев)</t>
  </si>
  <si>
    <t>00555. АПТЕКА №104 МЕЖБОЛЬНИЧНАЯ ОКП (Украина, Залещики)</t>
  </si>
  <si>
    <t>00556. АПТЕКА ВИТА ФАРМ ООО (Украина, Косов)</t>
  </si>
  <si>
    <t>00557. ШАНС ЛТД ООО (Украина, Богуслав)</t>
  </si>
  <si>
    <t>00558. ПАТЫК НАТАЛИЯ ПЕТРОВНА ФЛП (Украина, Немиров)</t>
  </si>
  <si>
    <t>00559. МИСАРОШ ТАТЬЯНА ЮРИЕВНА ФЛП (Украина, Чумалево)</t>
  </si>
  <si>
    <t>00560. ПОРУЧНИК ЛЮДМИЛА ИВАНОВНА ФЛП (Украина, Буцинь)</t>
  </si>
  <si>
    <t>00561. ТРЕТЬЯК ОЛЬГА ВАСИЛЬЕВНА ФЛП (Украина, Серединка)</t>
  </si>
  <si>
    <t>00562. ВОРОБЬЕВА ВАЛЕНТИНА ИВАНОВНА ФЛП (Украина, Раздельная)</t>
  </si>
  <si>
    <t>00563. СМЕРЕКА МЧП (Украина, Киев)</t>
  </si>
  <si>
    <t>00564. БОНДАРЬ ВИТА ПЕТРОВНА ФЛП (Украина, Олевск)</t>
  </si>
  <si>
    <t>00565. ВАЦЛАВИВ ЗОРЯНА МИХАЙЛОВНА ФЛП (Украина, Гусятин)</t>
  </si>
  <si>
    <t>00566. ТАРАХКАЛО ТАТЬЯНА НИКОЛАЕВНА ФЛП (Украина, Арциз)</t>
  </si>
  <si>
    <t>00567. ЛЕВЧЕНКО НИКОЛАЙ АНДРЕЕВИЧ ФЛП (Украина, Куликовка)</t>
  </si>
  <si>
    <t>00568. САРНЫФАРМАЦИЯ АО (Украина, Сарны)</t>
  </si>
  <si>
    <t>00569. МИЗЯКОВСКО-ХУТОРСКАЯ АПТЕКА ООО (Украина, Мизяковские Хутора)</t>
  </si>
  <si>
    <t>00570. КАЛИНИЧЕНКО ОЛЬГА НИКОЛАЕВНА ФЛП (Украина, Харьков)</t>
  </si>
  <si>
    <t>00571. МЕЛЬНИК ОКСАНА ВАСИЛЬЕВНА ФЛП (Украина, Винница)</t>
  </si>
  <si>
    <t>00572. НЕДОБИЙЧУК АЛЛА ИВАНОВНА ФЛП (Украина, Шляховая)</t>
  </si>
  <si>
    <t>00573. КАРЛЮГА ДМИТРИЙ ВАДИМОВИЧ ФЛП (Украина, Одесса)</t>
  </si>
  <si>
    <t>00574. АТДАЕВ КОНСТАНТИН ЮРЬЕВИЧ ФЛП (Украина, Харьков)</t>
  </si>
  <si>
    <t>00575. ИНТЕРМЕДСЕРВИС ФИРМА ООО (Украина, Одесса)</t>
  </si>
  <si>
    <t>00576. ПАРТИКА ЛЕСЯ ВЛАДИМИРОВНА ФЛП (Украина, Яворов)</t>
  </si>
  <si>
    <t>00577. МЕЛЬНИК СЕРГЕЙ РОМАНОВИЧ ФЛП (Украина, Бар)</t>
  </si>
  <si>
    <t>00578. БЕВЗ СВЕТЛАНА ПАВЛОВНА ФЛП (Украина, Мурованые Куриловцы)</t>
  </si>
  <si>
    <t>00579. ЛЕКХИМ ЧАО (Украина, Киев)</t>
  </si>
  <si>
    <t>00580. АВГУСТИНОВИЧ ОКСАНА ВЛАДИМИРОВНА ФЛП (Украина, Корец)</t>
  </si>
  <si>
    <t>00581. ДЯЧЕНКО ВИКТОРИЯ ВАСИЛЬЕВНА ФЛП (Украина, Харьков)</t>
  </si>
  <si>
    <t>00582. НЕМЦЕВА ЕВГЕНИЯ МАКСИМОВНА ФЛП (Украина, Александровка)</t>
  </si>
  <si>
    <t>00583. ЛЯСКОВСКАЯ НАТАЛЬЯ ИВАНОВНА ФЛП (Украина, Винница)</t>
  </si>
  <si>
    <t>00584. ЭЛИСИЯ ЧФ (Украина, Беляевка)</t>
  </si>
  <si>
    <t>00585. ЗЕЛЕНАЯ АПТЕКА №128 ООО (Украина, Коломыя)</t>
  </si>
  <si>
    <t>00586. ЯРЕМЧУК ВИКТОРИЯ ВЯЧЕСЛАВОВНА ФЛП (Украина, Копайгород)</t>
  </si>
  <si>
    <t>00587. МАРТЫХИВ РОМАН БОГДАНОВИЧ ФЛП (Украина, Шептицкий)</t>
  </si>
  <si>
    <t>00588. КОЗЕЛЬСКИЙ АРКАДИЙ ЮРЬЕВИЧ ФЛП (Украина, Днепр)</t>
  </si>
  <si>
    <t>00589. БАЖАЛУК БОГДАН ЯРОСЛАВОВИЧ ФЛП (Украина, Тлумач)</t>
  </si>
  <si>
    <t>00590. ВИТАФАРМ ООО (Украина, Ужгород)</t>
  </si>
  <si>
    <t>00591. ГОЛУБНИЧАЯ ЕЛЕНА НИКОЛАЕВНА ФЛП (Украина, Маньковка)</t>
  </si>
  <si>
    <t>00592. ГУК ОКСАНА ВАСИЛЬЕВНА ФЛП (Украина, Дружба)</t>
  </si>
  <si>
    <t>00593. СЕМЬЯ И ЗДОРОВЬЕ ООО (Украина, Михайловка-Рубежовка)</t>
  </si>
  <si>
    <t>00594. САЛАМАХА НИНА РОМАНОВНА ФЛП (Украина, Рава-Русская)</t>
  </si>
  <si>
    <t>00595. ИННОЦЕВТИКА ООО (Украина, Харьков)</t>
  </si>
  <si>
    <t>00596. ТОМАЧИНСКАЯ СВЕТЛАНА ВАСИЛЬЕВНА ФЛП (Украина, Кривое Озеро)</t>
  </si>
  <si>
    <t>00597. МАЛАЯ НАТАЛЬЯ АНДРЕЕВНА ФЛП (Украина, Синельниково)</t>
  </si>
  <si>
    <t>00598. ТЕРКОМФАРМ ООО (Украина, Теребовля)</t>
  </si>
  <si>
    <t>00599. ПОВРОЗНИК ВАСИЛИЙ ПЕТРОВИЧ ФЛП (Украина, Первомайск)</t>
  </si>
  <si>
    <t>00600. НИЦУЛЯК СВЕТЛАНА ТАНАСЕЕВНА ФЛП (Украина, Черновцы)</t>
  </si>
  <si>
    <t>00601. ФАРМА-БУК МКП (Украина, Новоселица)</t>
  </si>
  <si>
    <t>00602. ЛУПОЙ БОРИС ПРОХОРОВИЧ ФЛП (Украина, Костичаны)</t>
  </si>
  <si>
    <t>00603. НОВИКОВА ГАЛИНА ЛЕОНТЬЕВНА ФЛП (Украина, Владимир)</t>
  </si>
  <si>
    <t>00604. СОРОКИНА ТАТЬЯНА ВЛАДИМИРОВНА ФЛП (Украина, Свесса)</t>
  </si>
  <si>
    <t>00605. ДОНЧАК ВАСИЛИНА ВАСИЛЬЕВНА ФЛП (Украина, Милиево)</t>
  </si>
  <si>
    <t>00606. БОРОВИЧ ЕЛЕНА ЮРЬЕВНА ФЛП (Украина, Харьков)</t>
  </si>
  <si>
    <t>00607. КОТУРЛАШ ОКСАНА ИВАНОВНА ФЛП (Украина, Коломыя)</t>
  </si>
  <si>
    <t>00608. ЛИДЕР-К-ГРУПП ООО (Украина, Киев)</t>
  </si>
  <si>
    <t>00609. ЛТС ООО (Украина, Киев)</t>
  </si>
  <si>
    <t>00610. ДУАМЕД ООО (Украина, Черкассы)</t>
  </si>
  <si>
    <t>00611. ЛУНГА ВИТАЛИЙ МИХАЙЛОВИЧ ФЛП (Украина, Горбова)</t>
  </si>
  <si>
    <t>00612. КОМПАНИЯ НОВАЯ ВОЛНА ООО (Украина, Киев)</t>
  </si>
  <si>
    <t>00613. БОЙКО АЛЕКСАНДР ВИТАЛЬЕВИЧ ФЛП (Украина, Клишковцы)</t>
  </si>
  <si>
    <t>00614. КУЗЬМУК НАДЕЖДА ВИКТОРОВНА ФЛП (Украина, Уланов)</t>
  </si>
  <si>
    <t>00615. ШИМАН ВЕРОНИКА НУЦИЕВНА ФЛП (Украина, Среднее Водяное)</t>
  </si>
  <si>
    <t>00616. КУДРЯ НИКОЛАЙ ВАСИЛЬЕВИЧ ФЛП (Украина, Дзыговка)</t>
  </si>
  <si>
    <t>00617. ГАДАЙЧУК ЕЛЕНА РУСЛАНОВНА ФЛП (Украина, Войтовцы)</t>
  </si>
  <si>
    <t>00618. ДУДЧЕНКО АЛЕКСАНДР ФЕДОРОВИЧ ФЛП (Украина, Липовая Долина)</t>
  </si>
  <si>
    <t>00619. АПТЕКА №245 ГКП (Украина, Белая Церковь)</t>
  </si>
  <si>
    <t>00620. ФАЛКО ИРИНА ВИКТОРОВНА ФЛП (Украина, Корец)</t>
  </si>
  <si>
    <t>00621. ЦЕРКУНИК ТАТЬЯНА ВАСИЛЬЕВНА ФЛП (Украина, Нересница)</t>
  </si>
  <si>
    <t>00622. ГОРГАНЮК ОЛЬГА ВАСИЛЬЕВНА ФЛП (Украина, Космач)</t>
  </si>
  <si>
    <t>00623. ПАЛАМАРЧУК ЛАРИСА ВАСИЛЬЕВНА ФЛП (Украина, Бар)</t>
  </si>
  <si>
    <t>00624. ЛИКИ ПЛЮС ООО (Украина, Запорожье)</t>
  </si>
  <si>
    <t>00625. АЛАНТИКО ООО (Украина, Николаев)</t>
  </si>
  <si>
    <t>00626. АПТЕКА №90 КП (Украина, Кременчуг)</t>
  </si>
  <si>
    <t>00627. АВГУСТИНОВИЧ ИВАН ИГОРЕВИЧ ФЛП (Украина, Софиевская Борщаговка)</t>
  </si>
  <si>
    <t>00628. ТКАЧ СНЕЖАНА ПАВЛОВНА ФЛП (Украина, Городковка)</t>
  </si>
  <si>
    <t>00629. КАЛИНОВСКАЯ ЕЛЕНА СЕРГЕЕВНА ФЛП (Украина, Камышеваха)</t>
  </si>
  <si>
    <t>00630. КЛОПОТУН ВИКТОРИЯ ВЛАДИМИРОВНА ФЛП (Украина, Ободовка)</t>
  </si>
  <si>
    <t>00631. ШАНС ООО (Украина, Харьков)</t>
  </si>
  <si>
    <t>00632. ПАЛАТАШ ЛЕСЯ НИКОЛАЕВНА ФЛП (Украина, Заречье)</t>
  </si>
  <si>
    <t>00633. ФАРМАКОММЕРС ООО (Украина, Одесса)</t>
  </si>
  <si>
    <t>00634. РИПТА РОДИКА КОНСТАНТИНОВНА ФЛП (Украина, Петрашовка)</t>
  </si>
  <si>
    <t>00635. ОРИНЯНСКАЯ СВЕТЛАНА ИВАНОВНА ФЛП (Украина, Чечельник)</t>
  </si>
  <si>
    <t>00636. ТАТАРЧУК ВИТА ВАСИЛЬЕВНА ФЛП (Украина, Печенежин)</t>
  </si>
  <si>
    <t>00637. НАУМИК РУСЛАНА ВАСИЛЬЕВНА ФЛП (Украина, Красниловка)</t>
  </si>
  <si>
    <t>00638. ЛЕСЬКИВ НИКОЛАЙ НИКОЛАЕВИЧ ФЛП (Украина, Бучач)</t>
  </si>
  <si>
    <t>00639. ПОЛИЩУК ЕКАТЕРИНА АНДРЕЕВНА ФЛП (Украина, Черновцы)</t>
  </si>
  <si>
    <t>00640. ДАНИЛЬЧЕНКО ОКСАНА ПЕТРОВНА ФЛП (Украина, Новониколаевка)</t>
  </si>
  <si>
    <t>00641. АНОСОВА АЛЛА МИРОСЛАВОВНА ФЛП (Украина, Городенка)</t>
  </si>
  <si>
    <t>00642. ЛУНГА ЛАРИСА ВАСИЛЬЕВНА ФЛП (Украина, Калины)</t>
  </si>
  <si>
    <t>00643. ВЛАСЕНКО ИГОРЬ ДМИТРИЕВИЧ ФЛП (Украина, Переяслав)</t>
  </si>
  <si>
    <t>00644. Больница №2 городская (Украина, Краматорск)</t>
  </si>
  <si>
    <t>00645. ГАЛАЙ МАРЬЯНА ВАСИЛЬЕВНА ФЛП (Украина, Мукачево)</t>
  </si>
  <si>
    <t>00646. ХМАРУК ВАСИЛИЙ ЗИНОВЬЕВИЧ ФЛП (Украина, Джулинка)</t>
  </si>
  <si>
    <t>00647. ПУЗИК ВАСИЛИЙ ВАСИЛЬЕВИЧ ФЛП (Украина, Тересва)</t>
  </si>
  <si>
    <t>00648. ЛЕКФАРМ ФИРМА ООО (Украина, Ровно)</t>
  </si>
  <si>
    <t>00649. ВИТА ЧП (Украина, Маньковка)</t>
  </si>
  <si>
    <t>00650. СТРОИЧ ИВАН ВАСИЛЬЕВИЧ ФЛП (Украина, Джуров)</t>
  </si>
  <si>
    <t>00651. КСЕНИЯ-ФАРМ ООО (Украина, Одесса)</t>
  </si>
  <si>
    <t>00652. СЛАБЧЕНКО АЛЕКСАНДР НИКОЛАЕВИЧ ФЛП (Украина, Талалаевка)</t>
  </si>
  <si>
    <t>00653. ХИСМАТУЛЛИНА ИРИНА ЕВГЕНЬЕВНА ФЛП (Украина, Татарбунары)</t>
  </si>
  <si>
    <t>00654. АРТИМОВИЧ АНДРЕЙ ФЕДОРОВИЧ ФЛП (Украина, Трускавец)</t>
  </si>
  <si>
    <t>00655. ВИТЧЕНКО ВИКТОРИЯ ВАСИЛЬЕВНА ФЛП (Украина, Боровая)</t>
  </si>
  <si>
    <t>00656. ГУБСКАЯ ОЛЬГА АЛЕКСАНДРОВНА ФЛП (Украина, Валки)</t>
  </si>
  <si>
    <t>00657. БАЛАНЮК НАДЕЖДА ИЛЬИНИЧНА ФЛП (Украина, Черновцы)</t>
  </si>
  <si>
    <t>00658. БОЙКО АЛИНА СТЕПАНОВНА ФЛП (Украина, Выдерта)</t>
  </si>
  <si>
    <t>00659. НОВО-ФАРМ ООО (Украина, Новоселица)</t>
  </si>
  <si>
    <t>00660. ГРУШАНСКИЙ СТАНИСЛАВ ВЛАДИМИРОВИЧ ФЛП (Украина, Кодыма)</t>
  </si>
  <si>
    <t>00661. ДАВИДЕНКО ЕВГЕНИЙ АНАТОЛЬЕВИЧ ФЛП (Украина, Сахновщина)</t>
  </si>
  <si>
    <t>00662. АПТЕКА №123 КП (Украина, Борислав)</t>
  </si>
  <si>
    <t>00663. ДЕМЧУК МАРЬЯНА БОГДАНОВНА ФЛП (Украина, Тернополь)</t>
  </si>
  <si>
    <t>00664. МЕДСПОРТ ФАРМ ООО (Украина, Киев)</t>
  </si>
  <si>
    <t>00665. ЧОНКА АНИШОАРА НУЦОВНА ФЛП (Украина, Нижняя Апша)</t>
  </si>
  <si>
    <t>00666. ФОРОСТЯН ТАМАРА ВИКТОРОВНА ФЛП (Украина, Дашев)</t>
  </si>
  <si>
    <t>00667. АРТЕМОВА ЕЛЕНА ЮРЬЕВНА ФЛП (Украина, Харьков)</t>
  </si>
  <si>
    <t>00668. ТАБАКА МИРОСЛАВА-ОЛЬГА МИХАЙЛОВНА ФЛП (Украина, Берегово)</t>
  </si>
  <si>
    <t>00669. РАДЧЕНКО ЛАРИСА СЕРГЕЕВНА ФЛП (Украина, Багачево)</t>
  </si>
  <si>
    <t>00670. МИХЕД ТАМАРА ВАСИЛЬЕВНА ФЛП (Украина, Козелец)</t>
  </si>
  <si>
    <t>00671. РУДЕНКО ЛИЛЯ АЛЕКСАНДРОВНА ФЛП (Украина, Эсхар)</t>
  </si>
  <si>
    <t>00672. КОМОНИ ИНГА ТИБОРОВНА ФЛП (Украина, Чомонин)</t>
  </si>
  <si>
    <t>00673. ШИТА ОЛЬГА АНАТОЛЬЕВНА ФЛП (Украина, Великая Дымерка)</t>
  </si>
  <si>
    <t>00674. ПОДИЛЬЧУК СЕРГЕЙ НИКОЛАЕВИЧ ФЛП (Украина, Черновцы)</t>
  </si>
  <si>
    <t>00675. ПАПЕНКО РОМАН НИКОЛАЕВИЧ ФЛП (Украина, Ржищев)</t>
  </si>
  <si>
    <t>00676. ПОЛЮХОВИЧ ВАЛЕНТИНА МИХАЙЛОВНА ФЛП (Украина, Заречное)</t>
  </si>
  <si>
    <t>00677. ГЛАДКАЯ ОКСАНА ОЛЕГОВНА ФЛП (Украина, Горького)</t>
  </si>
  <si>
    <t>00678. МЕДИКА МЕНТЕ ООО (Украина, Киев)</t>
  </si>
  <si>
    <t>00679. ФАРМАЦИЯ КП (Украина, Кривой Рог)</t>
  </si>
  <si>
    <t>00680. АВИЦЕННА ФАРМА ЧП (Украина, Доброполье)</t>
  </si>
  <si>
    <t>00681. МАЗУР ВИКТОРИЯ ВИКТОРОВНА ФЛП (Украина, Гуменцы)</t>
  </si>
  <si>
    <t>00682. КАРАМУШКО ЕВГЕНИЙ НИКОЛАЕВИЧ ФЛП (Украина, Грушевка)</t>
  </si>
  <si>
    <t>00683. ФЕЩИНА ТАТЬЯНА СЕРГЕЕВНА ФЛП (Украина, Судилков)</t>
  </si>
  <si>
    <t>00684. ШТЕЙНБЕРГ РОМАН МИХАЙЛОВИЧ ФЛП (Украина, Голынь)</t>
  </si>
  <si>
    <t>00685. ГРИГОРИВ ТАТЬЯНА ПЕТРОВНА ФЛП (Украина, Иване-Пусте)</t>
  </si>
  <si>
    <t>00686. ОСТРОПИЛОВА ЮЛИЯ НИКОЛАЕВНА ФЛП (Украина, Межлиманское)</t>
  </si>
  <si>
    <t>00687. РЯНИЧЕВА ТАМАРА ГРИГОРЬЕВНА ФЛП (Украина, Липовец)</t>
  </si>
  <si>
    <t>00688. ПОВИДИШ АНАТОЛИЙ ВИТАЛЬЕВИЧ ФЛП (Украина, Доманевка)</t>
  </si>
  <si>
    <t>00689. ПЕНЯК ЛАРИСА ВАСИЛЬЕВНА ФЛП (Украина, Ужгород)</t>
  </si>
  <si>
    <t>00690. ЦИЛЮЩА КРАПЛЫНА ООО (Украина, Днепр)</t>
  </si>
  <si>
    <t>00691. МАНДРИК ОЛЬГА БУЛАТОВНА ФЛП (Украина, Чортков)</t>
  </si>
  <si>
    <t>00692. РОМАНИШИНА ВИТАЛИНА ВЛАДИМИРОВНА ФЛП (Украина, Калиновка)</t>
  </si>
  <si>
    <t>00693. КИРА ИВАН ИВАНОВИЧ ФЛП (Украина, Терново)</t>
  </si>
  <si>
    <t>00694. АПТЕКА №195 ООО (Украина, Сумы)</t>
  </si>
  <si>
    <t>00695. БАРАБАЩУК ВАЛЕНТИНА ВАСИЛЬЕВНА ФЛП (Украина, Ольгополь)</t>
  </si>
  <si>
    <t>00696. ТИТАРЕНКО АЛЕКСАНДР СЕРГЕЕВИЧ ФЛП (Украина, Ирпень)</t>
  </si>
  <si>
    <t>00697. ХАНИН ВЛАДИМИР АЛЕКСЕЕВИЧ ФЛП (Украина, Песочин)</t>
  </si>
  <si>
    <t>00698. НЕСТЕРЕНКО ДАРЬЯ ЕВГЕНЬЕВНА ФЛП (Украина, Иванков)</t>
  </si>
  <si>
    <t>00699. ГАВРИЛЮК ДАРЬЯ АЛЕКСАНДРОВНА ФЛП (Украина, Казатин)</t>
  </si>
  <si>
    <t>00700. ПРИХОДЬКО ЕКАТЕРИНА ГРИГОРЬЕВНА ФЛП (Украина, Сребное)</t>
  </si>
  <si>
    <t>00701. Т-ФАРМА ООО (Украина, Киев)</t>
  </si>
  <si>
    <t>00702. СЕМЕРЕЗ ИРИНА АЛЕКСАНДРОВНА ФЛП (Украина, Тернополь)</t>
  </si>
  <si>
    <t>00703. АПТЕКА №228 ООО (Украина, Запорожье)</t>
  </si>
  <si>
    <t>00704. НЕЙРО-АПТЕКА ООО (Украина, Киев)</t>
  </si>
  <si>
    <t>00705. ВОЛОЩУК ВИКТОР ВИТАЛЬЕВИЧ ФЛП (Украина, Южинец)</t>
  </si>
  <si>
    <t>00706. БРИЗИЦКИЙ АЛЕКСЕЙ АРКАДЬЕВИЧ ФЛП (Украина, Харьков)</t>
  </si>
  <si>
    <t>00707. ЛЕМАК ЛЮБОВЬ ВАСИЛЬЕВНА ФЛП (Украина, Дулово)</t>
  </si>
  <si>
    <t>00708. ПОЛОНЕЦ ОКСАНА ЛЕОНИДОВНА ФЛП (Украина, Варва)</t>
  </si>
  <si>
    <t>00709. КИСЛЫЙ АЛЕКСАНДР ЕВГЕНЬЕВИЧ ФЛП (Украина, Белополье)</t>
  </si>
  <si>
    <t>00710. ВИТАДЕНТ-СИЧ ЧП (Украина, Запорожье)</t>
  </si>
  <si>
    <t>00711. МАНДРИЧ НАТАЛИЯ ИВАНОВНА ФЛП (Украина, Михайловка)</t>
  </si>
  <si>
    <t>00712. НОСОВИЧ ЛЕСЯ ЯРОСЛАВОВНА ФЛП (Украина, Тысменица)</t>
  </si>
  <si>
    <t>00713. АПТЕКА КОММУНАЛЬНАЯ НИКОПОЛЬСКАЯ КП (Украина, Никополь)</t>
  </si>
  <si>
    <t>00714. ГОДВАН ПАВЕЛ ПАВЛОВИЧ ФЛП (Украина, Богдан)</t>
  </si>
  <si>
    <t>00715. ГАУРЯК НИНА СЕРГЕЕВНА ФЛП (Украина, Клишковцы)</t>
  </si>
  <si>
    <t>00716. ДАНА ФАРМ ГРУПП ООО (Украина, Киев)</t>
  </si>
  <si>
    <t>00717. ГЛОВАЦКАЯ ЛИДИЯ ЛЮБОМИРОВНА ФЛП (Украина, Коломыя)</t>
  </si>
  <si>
    <t>00718. БИВОЛАРУ МАРИЯ МИХАЙЛОВНА ФЛП (Украина, Угля)</t>
  </si>
  <si>
    <t>00719. СТОУНТРЕЙД ООО (Украина, Песчаное)</t>
  </si>
  <si>
    <t>00720. ГОЖДА ИРИНА ЮРЬЕВНА ФЛП (Украина, Вижница)</t>
  </si>
  <si>
    <t>00721. АПТЕКА САЛЬВИЯ ООО (Украина, Чернигов)</t>
  </si>
  <si>
    <t>00722. КАЛИШКО ЦИНТИО ИОСИФОВНА ФЛП (Украина, Великая Паладь)</t>
  </si>
  <si>
    <t>00723. СМАЛЬ ЖАННА ГЕННАДЬЕВНА ФЛП (Украина, Переяслав)</t>
  </si>
  <si>
    <t>00724. ГАРАНТ К ПО (Украина, Ильинцы)</t>
  </si>
  <si>
    <t>00725. КУКУРУЗА АЛЕКСАНДР СТЕПАНОВИЧ ФЛП (Украина, Хмельник)</t>
  </si>
  <si>
    <t>00726. ВИМ ООО (Украина, Харьков)</t>
  </si>
  <si>
    <t>00727. ПИЛИПЕЦ ЕЛЕНА ВАСИЛЬЕВНА ФЛП (Украина, Чоп)</t>
  </si>
  <si>
    <t>00728. ОМЕЛЕНЧУК ВЛАДИМИР АНДРЕЕВИЧ ФЛП (Украина, Казанка)</t>
  </si>
  <si>
    <t>00729. КОВАЛЕНКО АЛЕНА ДМИТРИЕВНА ФЛП (Украина, Львов)</t>
  </si>
  <si>
    <t>00730. АЛЕКСАНДРИЙСКАЯ РАЙОННАЯ СОЦИАЛЬНАЯ АПТЕКА ООО (Украина, Пантаевка)</t>
  </si>
  <si>
    <t>00731. МОСТОВА НЕЛЯ ВАСИЛЬЕВНА ФЛП (Украина, Берегово)</t>
  </si>
  <si>
    <t>00732. АЛМАЗ КО ЧП (Украина, Обуховка)</t>
  </si>
  <si>
    <t>00733. ХРУЩ ВЛАДИМИР ОЛЕГОВИЧ ФЛП (Украина, Скалат)</t>
  </si>
  <si>
    <t>00734. АПТЕКА ГАРМОНИЯ ООО (Украина, Киев)</t>
  </si>
  <si>
    <t>00735. СЕРГИЕНКО ТАТЬЯНА АНАТОЛЬЕВНА ФЛП (Украина, Городня)</t>
  </si>
  <si>
    <t>00736. ШАПОВАЛОВА ЛЮДМИЛА МИХАЙЛОВНА ФЛП (Украина, Днепр)</t>
  </si>
  <si>
    <t>00737. ВИНОГРАДОВА ТАТЬЯНА БОРИСОВНА ФЛП (Украина, Царичанка)</t>
  </si>
  <si>
    <t>00738. ЛЕВЧЕНКО СЕРГЕЙ ВИКТОРОВИЧ ФЛП (Украина, Кривой Рог)</t>
  </si>
  <si>
    <t>00739. ТКАЧУК ОКСАНА ВИКТОРОВНА ФЛП (Украина, Махновка)</t>
  </si>
  <si>
    <t>00740. АПТЕКА №22 ЦЕНТРАЛЬНАЯ РАЙОННАЯ ФАРМАЦИЯ КП (Украина, Иршава)</t>
  </si>
  <si>
    <t>00741. АПТЕКА №128 КП (Украина, Рахов)</t>
  </si>
  <si>
    <t>00742. КАЛИШКО ЕВГЕНИЙ ЕВГЕНЬЕВИЧ ФЛП (Украина, Неветленфолу)</t>
  </si>
  <si>
    <t>00743. ВАСИЛЬЕВА ЕКАТЕРИНА ИВАНОВНА ФЛП (Украина, Теплодар)</t>
  </si>
  <si>
    <t>00744. ДАНИЛИЧ БОГДАНА ЮРЬЕВНА ФЛП (Украина, Буштыно)</t>
  </si>
  <si>
    <t>00745. ТОП МЕД ООО (Украина, Ужгород)</t>
  </si>
  <si>
    <t>00746. ЖАРИЙ АЛЕКСАНДР СТЕПАНОВИЧ ФЛП (Украина, Теплик)</t>
  </si>
  <si>
    <t>00747. БРЮКИН ЕВГЕНИЙ ВИКТОРОВИЧ ФЛП (Украина, Кучурган)</t>
  </si>
  <si>
    <t>00748. ЮРИЙЧУК ЛЮБОМИРА ВАСИЛЬЕВНА ФЛП (Украина, Черновцы)</t>
  </si>
  <si>
    <t>00749. ЖУКОВ ДМИТРИЙ ЛЬВОВИЧ ФЛП (Украина, Харьков)</t>
  </si>
  <si>
    <t>00750. ПОВАЛЬЧУК ТАТЬЯНА ЕВГЕНЬЕВНА ФЛП (Украина, Звягель)</t>
  </si>
  <si>
    <t>00751. КОСЕНКО ТАТЬЯНА НИКОЛАЕВНА ФЛП (Украина, Семеновка)</t>
  </si>
  <si>
    <t>00752. КОСТЕНКО КОНСТАНТИН ВЛАДИМИРОВИЧ ФЛП (Украина, Прилуки)</t>
  </si>
  <si>
    <t>00753. ВИШНЕВСКИЙ ВЛАДИСЛАВ ИГОРОВИЧ ФЛП (Украина, Тисовец)</t>
  </si>
  <si>
    <t>00754. ВИННИК ИРИНА МИХАЙЛОВНА ФЛП (Украина, Великая Березовица)</t>
  </si>
  <si>
    <t>00755. Предприятие объединения граждан МИР ИНВАЛИДЫ, БОЛЬНЫЕ ГЕМОФИЛИЕЙ ОО (Украина, Черкассы)</t>
  </si>
  <si>
    <t>00756. СЕРЕДЮК ЛЕСЯ АНАТОЛЬЕВНА ФЛП (Украина, Ратно)</t>
  </si>
  <si>
    <t>00757. ПОПОВИЧ МАРИАННА ВИКТОРОВНА ФЛП (Украина, Солотвино)</t>
  </si>
  <si>
    <t>00758. ЧЕХОВИЧ МАРИЯ ЗЕНОВЬЕВНА ФЛП (Украина, Загорье)</t>
  </si>
  <si>
    <t>00759. КИЗУБ МАРИНА ИВАНОВНА ФЛП (Украина, Ичня)</t>
  </si>
  <si>
    <t>00760. МАКОВЕЙ ТАТЬЯНА НИКОЛАЕВНА ФЛП (Украина, Черновцы)</t>
  </si>
  <si>
    <t>00761. МАГНОЛИЯ-ФАРМ ООО (Украина, Близнюки)</t>
  </si>
  <si>
    <t>00762. ГЛИНКА АЛЕНА СЕРГЕЕВНА ФЛП (Украина, Николаев)</t>
  </si>
  <si>
    <t>00763. ДУЧОЛ СВЕТЛАНА ВЛАДИМИРОВНА ФЛП (Украина, Цекиновка)</t>
  </si>
  <si>
    <t>00764. ПАВЛЕНКО ТАМАРА АЛЕКСАНДРОВНА ФЛП (Украина, Николаевка)</t>
  </si>
  <si>
    <t>00765. КОМПАНИЯ АРТМЕД ООО (Украина, Киев)</t>
  </si>
  <si>
    <t>00766. АРТ ЧП (Украина, Николаевка)</t>
  </si>
  <si>
    <t>00767. ПРУДНИКОВА ЕЛЕНА ЕВГЕНЬЕВНА ФЛП (Украина, Хоцки)</t>
  </si>
  <si>
    <t>00768. СКОЦКАЯ ЛЮДМИЛА МИХАЙЛОВНА ФЛП (Украина, Липовец)</t>
  </si>
  <si>
    <t>00769. ХУДИКОВСКАЯ СОФИЯ МИХАЙЛОВНА ФЛП (Украина, Перебыковцы)</t>
  </si>
  <si>
    <t>00770. РУТА ООО (Украина, Нововолынск)</t>
  </si>
  <si>
    <t>00771. ГОНСЕР КРИСТИНА СТЕФАНОВНА ФЛП (Украина, Зимняя Вода)</t>
  </si>
  <si>
    <t>00772. АПТЕКА №11 ЦЕНТРАЛЬНАЯ КП (Украина, Волочиск)</t>
  </si>
  <si>
    <t>00773. БОБУХ ТАМАРА АЛЕКСАНДРОВНА ФЛП (Украина, Барвенково)</t>
  </si>
  <si>
    <t>00774. ФОМИЧЕВА ИРИНА ВИКТОРОВНА ФЛП (Украина, Запорожье)</t>
  </si>
  <si>
    <t>00775. КОЦЮРУБА ЕЛЕНА ВЛАДИМИРОВНА ФЛП (Украина, Тульчин)</t>
  </si>
  <si>
    <t>00776. ЩЕРБЬЮК УЛЬЯНА ЭДУАРДОВНА ФЛП (Украина, Ясиня)</t>
  </si>
  <si>
    <t>00777. ВОЛОЩУК АННА СЕРГЕЕВНА ФЛП (Украина, Мамаевцы)</t>
  </si>
  <si>
    <t>00778. КОЛОДЮК СЕРГЕЙ АНАТОЛЬЕВИЧ ФЛП (Украина, Заболотье)</t>
  </si>
  <si>
    <t>00779. УКРПОЧТА АО (Украина, Киев)</t>
  </si>
  <si>
    <t>00780. КОВТУНОВИЧ ЮЛИЯ ФЕДОРОВНА ФЛП (Украина, Камышеваха)</t>
  </si>
  <si>
    <t>00781. МАРЧУК ОЛЬГА ГРИГОРЬЕВНА ФЛП (Украина, Рудка-Червинская)</t>
  </si>
  <si>
    <t>00782. СВИЧКАР НАТАЛИЯ ВАСИЛЬЕВНА ФЛП (Украина, Ильница)</t>
  </si>
  <si>
    <t>00783. ШЕПЕЛЕНКО ТАТЬЯНА ПЕТРОВНА ФЛП (Украина, Кулевча)</t>
  </si>
  <si>
    <t>00784. АПТЕКА №7 ООО (Украина, Черкассы)</t>
  </si>
  <si>
    <t>00785. ХАРЧЕНКО ОЛЕГ ВИКТОРОВИЧ ФЛП (Украина, Прилуки)</t>
  </si>
  <si>
    <t>00786. СИЛКО ЕВГЕНИЙ ВИКТОРОВИЧ ФЛП (Украина, Александровка)</t>
  </si>
  <si>
    <t>00787. КОБАЦКАЯ АННА МИХАЙЛОВНА ФЛП (Украина, Коломыя)</t>
  </si>
  <si>
    <t>00788. ЯВЕЛЯК ТАРАС МИХАЙЛОВИЧ ФЛП (Украина, Каменец-Подольский)</t>
  </si>
  <si>
    <t>00789. КОЗЛОВА ВИКТОРИЯ ВИКТОРОВНА ФЛП (Украина, Купянск)</t>
  </si>
  <si>
    <t>00790. ДОЛГОРУКАЯ ИННА ИВАНОВНА ФЛП (Украина, Днепр)</t>
  </si>
  <si>
    <t>00791. САНЬКОВА ЛЮДМИЛА ИГНАТОВНА ФЛП (Украина, Одесса)</t>
  </si>
  <si>
    <t>00792. МАТЕЙ АННА ГОБОРОВНА ФЛП (Украина, Вары)</t>
  </si>
  <si>
    <t>00793. ФАРМАТОН ООО (Украина, Львов)</t>
  </si>
  <si>
    <t>00794. ОБЛАСТНОЙ АПТЕЧНЫЙ СКЛАД КП (Украина, Ивано-Франковск)</t>
  </si>
  <si>
    <t>00795. ОЛЬВИЯ-ФАРМ ООО (Украина, Хорол)</t>
  </si>
  <si>
    <t>00796. ФАРМАТЕК ВМ ООО (Украина, Гусятин)</t>
  </si>
  <si>
    <t>00797. МАЛЬЦЕВА ЕКАТЕРИНА ВАЛЕРИЕВНА ФЛП (Украина, Богодухов)</t>
  </si>
  <si>
    <t>00798. ДИДЖИ ХЕЛС ООО (Украина, Киев)</t>
  </si>
  <si>
    <t>00799. АПТЕКА №1 ЦЕНТРАЛЬНАЯ ГОРОДСКАЯ КП (Украина, Коростень)</t>
  </si>
  <si>
    <t>00800. АПТЕКА №174 КП (Украина, Калуш)</t>
  </si>
  <si>
    <t>00801. КЕЛИОГЛО ЕКАТЕРИНА ПАВЛОВНА ФЛП (Украина, Рени)</t>
  </si>
  <si>
    <t>00802. ЛИПКО ВЛАДИМИР ГРИГОРЬЕВИЧ ФЛП (Украина, Коленковцы)</t>
  </si>
  <si>
    <t>00803. ЧУБРИНА ЛЮДМИЛА ВИКТОРОВНА ФЛП (Украина, Берегово)</t>
  </si>
  <si>
    <t>00804. СОБКО НАТАЛИЯ ИВАНОВНА ФЛП (Украина, Вергуны)</t>
  </si>
  <si>
    <t>00805. ЕВРЕШ РЕКА ИШТВАНОВНА ФЛП (Украина, Вары)</t>
  </si>
  <si>
    <t>00806. СОЛНЦЕВА ВЕРОНИКА ЮРЬЕВНА ФЛП (Украина, Днепр)</t>
  </si>
  <si>
    <t>00807. ЗУБОВА НАДЕЖДА ВЛАДИМИРОВНА ФЛП (Украина, Желтые Воды)</t>
  </si>
  <si>
    <t>00808. СИГИДИН НАДЕЖДА МИХАЙЛОВНА ФЛП (Украина, Порошково)</t>
  </si>
  <si>
    <t>00809. ЛЮВАР ООО (Украина, Киев)</t>
  </si>
  <si>
    <t>00810. СОКОЛОВСКАЯ ОЛЬГА МИХАЙЛОВНА ФЛП (Украина, Раздельная)</t>
  </si>
  <si>
    <t>00811. РОМАНЕНКО ЭЛЬВИРА МИХАЙЛОВНА ФЛП (Украина, Городковка)</t>
  </si>
  <si>
    <t>00812. МИЛЮТЕНКО ВИКТОРИЯ ИВАНОВНА ФЛП (Украина, Ичня)</t>
  </si>
  <si>
    <t>00813. ФАРМАЦИЯ КП (Украина, Краматорск)</t>
  </si>
  <si>
    <t>00814. ХАБЕНКО НАТАЛИЯ ВИКТОРОВНА ФЛП (Украина, Бахмач)</t>
  </si>
  <si>
    <t>00815. ФОМИН РОСТИСЛАВ АЛЕКСАНДРОВИЧ ФЛП (Украина, Божедаровка)</t>
  </si>
  <si>
    <t>00816. ГЕРГЕЛАБА ВЕРА АНДРЕЕВНА ФЛП (Украина, Русское Поле)</t>
  </si>
  <si>
    <t>00817. ХАРЕНКО ВИТАЛИНА ВАСИЛЬЕВНА ФЛП (Украина, Шпола)</t>
  </si>
  <si>
    <t>00818. МЕДСИМ ООО (Украина, Черновцы)</t>
  </si>
  <si>
    <t>00819. ДУРУНДА МИРОСЛАВ ВАСИЛЬЕВИЧ ФЛП (Украина, Виноградов)</t>
  </si>
  <si>
    <t>00820. ТОРКАЙ ВИТАЛИЙ ЛЕОНИДОВИЧ ФЛП (Украина, Спасское)</t>
  </si>
  <si>
    <t>00821. ЕВГЕНИЯ ООО (Украина, Киев)</t>
  </si>
  <si>
    <t>00822. ИПАТИЙ АЛЕНА ВАСИЛЬЕВНА ФЛП (Украина, Чудей)</t>
  </si>
  <si>
    <t>00823. ТРОСТЯНЕЦКАЯ КОММУНАЛЬНАЯ АПТЕКА ТГС КП (Украина, Тростянец)</t>
  </si>
  <si>
    <t>00824. ДОБРОФАРМ ООО (Украина, Чернигов)</t>
  </si>
  <si>
    <t>00825. ЛУПУ КЭТЭЛИНА ОЛЕГОВНА ФЛП (Украина, Опрышены)</t>
  </si>
  <si>
    <t>00826. ВИТЕНКО ИГОРЬ ДМИТРИЕВИЧ ФЛП (Украина, Лески)</t>
  </si>
  <si>
    <t>00827. КОМАРОВ АЛЕКСАНДР ЕВГЕНЬЕВИЧ ФЛП (Украина, Буды)</t>
  </si>
  <si>
    <t>00828. МОЛЧАНОВА ТАМАРА АЛЕКСЕЕВНА ФЛП (Украина, Одесса)</t>
  </si>
  <si>
    <t>00829. МОРУЖЕНКО ИРИНА ИЛЬИНИЧНА ФЛП (Украина, Константиновка)</t>
  </si>
  <si>
    <t>00830. 36,5 ЧП (Украина, Одесса)</t>
  </si>
  <si>
    <t>00831. ГОРДЕЕВА МАРИНА ИВАНОВНА ФЛП (Украина, Мурованые Куриловцы)</t>
  </si>
  <si>
    <t>00832. РАДУГА ООО (Украина, Светловодск)</t>
  </si>
  <si>
    <t>00833. ЛАК-ФАРМА ООО (Украина, Киев)</t>
  </si>
  <si>
    <t>00834. ТОМАШ ЕКАТЕРИНА ЭРНЕСТОВНА ФЛП (Украина, Вышково)</t>
  </si>
  <si>
    <t>00835. ГУЗЕЕВ ДМИТРИЙ ВИКТОРОВИЧ ФЛП (Украина, Путивль)</t>
  </si>
  <si>
    <t>00836. ПЕЛЬВЕЦКИЙ ВЛАДИМИР СТЕПАНОВИЧ ФЛП (Украина, Чортков)</t>
  </si>
  <si>
    <t>00837. НЕЧЕПУРЕНКО НАТАЛЬЯ ВЛАДИМИРОВНА ФЛП (Украина, Белгород-Днестровский)</t>
  </si>
  <si>
    <t>00838. УЛЬТРА АПТЕКА ООО (Украина, Микуличин)</t>
  </si>
  <si>
    <t>00839. ИПАТОВА ИРИНА АЛЕКСАНДРОВНА ФЛП (Украина, Погребище)</t>
  </si>
  <si>
    <t>00840. АПТЕКА №157 ЦЕНТРАЛЬНАЯ РАЙОННАЯ ЗГУРОВСКАЯ КП (Украина, Згуровка)</t>
  </si>
  <si>
    <t>00841. ЛАРИСА ЧП (Украина, Подлуби)</t>
  </si>
  <si>
    <t>00842. ИЛЬНИЦКАЯ АНТОНИНА НИКОЛАЕВНА ФЛП (Украина, Трускавец)</t>
  </si>
  <si>
    <t>00843. ПАВЛЕНКО МИХАИЛ МИХАЙЛОВИЧ ФЛП (Украина, Голубовка)</t>
  </si>
  <si>
    <t>00844. ЯВОРСКАЯ ЕЛЕНА НИКОЛАЕВНА ФЛП (Украина, Турка)</t>
  </si>
  <si>
    <t>00845. ФАРМ СИСТЕМ-КА ООО (Украина, Лукаши)</t>
  </si>
  <si>
    <t>00846. ДАЛЬМЕД-ЮТ ЧП (Украина, Великий Дальник)</t>
  </si>
  <si>
    <t>00847. КОВАЛЬ ГАЛИНА ДАНИЛОВНА ФЛП (Украина, Черновцы)</t>
  </si>
  <si>
    <t>00848. ФЕДОРЧУК ОКСАНА АЛЕКСАНДРОВНА ФЛП (Украина, Киселев)</t>
  </si>
  <si>
    <t>00849. ЗАКОРА СВЕТЛАНА ИВАНОВНА ФЛП (Украина, Змиев)</t>
  </si>
  <si>
    <t>00850. СТЕПАНЮК МАРИНА ЮРЬЕВНА ФЛП (Украина, Березнеговатое)</t>
  </si>
  <si>
    <t>00851. ГАПОНЕНКО ЛЮДМИЛА МИХАЙЛОВНА ФЛП (Украина, Русская Поляна)</t>
  </si>
  <si>
    <t>00852. САКЕВИЧ АННА ПЕТРОВНА ФЛП (Украина, Литин)</t>
  </si>
  <si>
    <t>00853. ДИВА-М ООО (Украина, Мукачево)</t>
  </si>
  <si>
    <t>00854. ФАРМАЦЕВТИЧЕСКАЯ КОМПАНИЯ ЭКОФАРМ ООО (Украина, Винница)</t>
  </si>
  <si>
    <t>00855. БУЗЬКО ЕКАТЕРИНА АНАТОЛЬЕВНА ФЛП (Украина, Слобода)</t>
  </si>
  <si>
    <t>00856. МЕЙЗЕР ЛИЛИЯ ВЛАДИМИРОВНА ФЛП (Украина, Харьков)</t>
  </si>
  <si>
    <t>00857. РУТА-ФАРМ ФИРМА ООО (Украина, Тернополь)</t>
  </si>
  <si>
    <t>00858. ПИНЧУК ЕЛЕНА АЛЕКСАНДРОВНА ФЛП (Украина, Варва)</t>
  </si>
  <si>
    <t>00859. АНТОНЕЦ ВЛАДИМИР ВИКТОРОВИЧ ФЛП (Украина, Гадяч)</t>
  </si>
  <si>
    <t>00860. САБАДОШ ЕВГЕНИЯ ИВАНОВНА ФЛП (Украина, Драгово)</t>
  </si>
  <si>
    <t>00861. НИКА МЧП (Украина, Теплик)</t>
  </si>
  <si>
    <t>00862. ТРОЦЕНКО ОЛЬГА ИСААКОВНА ФЛП (Украина, Днепр)</t>
  </si>
  <si>
    <t>00863. АПТЕКА №26 ЦЕНТРАЛЬНАЯ РАЙОННАЯ КП (Украина, Новоселица)</t>
  </si>
  <si>
    <t>00864. БОРОВСКАЯ ОКСАНА НИКОЛАЕВНА ФЛП (Украина, Словечно)</t>
  </si>
  <si>
    <t>00865. БОЙКО ТАТЬЯНА ВЛАДИСЛАВОВНА ФЛП (Украина, Белгород-Днестровский)</t>
  </si>
  <si>
    <t>00866. БОРТНИЧУК ОКСАНА ВЛАДИМИРОВНА ФЛП (Украина, Киев)</t>
  </si>
  <si>
    <t>00867. ЛЕБЕДИЧ СВЕТЛАНА АЛЕКСАНДРОВНА ФЛП (Украина, Краснополье)</t>
  </si>
  <si>
    <t>00868. ЧОРНЕЙ ОЛЕГ ДМИТРИЕВИЧ ФЛП (Украина, Путила)</t>
  </si>
  <si>
    <t>00869. АПТЕКА №29 ООО (Украина, Львов)</t>
  </si>
  <si>
    <t>00870. Центр медицинский АМБУЛАТОРИЯ СЕМЕЙНОГО ДОКТОРА ООО (Украина, Одесса)</t>
  </si>
  <si>
    <t>00871. АПТЕКА №287 МЕЖБОЛЬНИЧНАЯ КП (Украина, Сокаль)</t>
  </si>
  <si>
    <t>00872. МИРОНЯК РОМАН ВЛАДИМИРОВИЧ ФЛП (Украина, Коломыя)</t>
  </si>
  <si>
    <t>00873. РИСКАЛЬЧУК ОЛЕГ БОРИСОВИЧ ФЛП (Украина, Ободовка)</t>
  </si>
  <si>
    <t>00874. МЫХАЛЬЧУК ПАРАСКА ДМИТРИЕВНА ФЛП (Украина, Милиево)</t>
  </si>
  <si>
    <t>00875. АПТЕКА №78 ЦЕНТРАЛЬНАЯ РАЙОННАЯ КП (Украина, Хмельницкий)</t>
  </si>
  <si>
    <t>00876. ФАРМИОС ООО (Украина, Житомир)</t>
  </si>
  <si>
    <t>00877. АПТЕКА №1 КП (Украина, Заречное)</t>
  </si>
  <si>
    <t>00878. ЮЛИКАП ЛТД ПКФ ООО (Украина, Луцк)</t>
  </si>
  <si>
    <t>00879. ГЛИВЛЯС ОКСАНА ВАСИЛЬЕВНА ФЛП (Украина, Мукачево)</t>
  </si>
  <si>
    <t>00880. ГУЛЕЙ РУСЛАН ЮРЬЕВИЧ ФЛП (Украина, Яблонов)</t>
  </si>
  <si>
    <t>00881. СТРОИЧ ВЛАДИМИР ВАСИЛЬЕВИЧ ФЛП (Украина, Рожнов)</t>
  </si>
  <si>
    <t>00882. КОРЕНЬ СВЕТЛАНА ВАСИЛЬЕВНА ФЛП (Украина, Просяная)</t>
  </si>
  <si>
    <t>00883. АСВИТ ЧПФ (Украина, Одесса)</t>
  </si>
  <si>
    <t>00884. ГАКМАН ДМИТРИЙ ТАРАСОВИЧ ФЛП (Украина, Испас)</t>
  </si>
  <si>
    <t>00885. ДЕМЬЯНЧУК ЮЛИЯ ОЛЕГОВНА ФЛП (Украина, Шевченково)</t>
  </si>
  <si>
    <t>00886. КОНДРАТЮК ОЛЬГА НИКОЛАЕВНА ФЛП (Украина, Коцюбинское)</t>
  </si>
  <si>
    <t>00887. ЦИЖ ИГОРЬ МИРОСЛАВОВИЧ ФЛП (Украина, Винники)</t>
  </si>
  <si>
    <t>00888. КОСКО-ФАРМ ООО (Украина, Винница)</t>
  </si>
  <si>
    <t>00889. ГУШУЛ МАРЬЯНА ВАСИЛЬЕВНА ФЛП (Украина, Рожнов)</t>
  </si>
  <si>
    <t>00890. ЗАБАНДЖАЛА ТАРАС РОМАНОВИЧ ФЛП (Украина, Тернополь)</t>
  </si>
  <si>
    <t>00891. ПОП ЕЛЕНА ПЕТРОВНА ФЛП (Украина, Ольховцы-Лазы)</t>
  </si>
  <si>
    <t>00892. ЧЕРНЕНЬКАЯ ЛЮБОВЬ НИКОЛАЕВНА ФЛП (Украина, Межевая)</t>
  </si>
  <si>
    <t>00893. РУМЯНЦЕВА НАТАЛЬЯ ЛЕОНИДОВНА ФЛП (Украина, Барвенково)</t>
  </si>
  <si>
    <t>00894. ДЕРЕПАЩУК НАТАЛИЯ ВЛАДИМИРОВНА ФЛП (Украина, Винница)</t>
  </si>
  <si>
    <t>00895. АПТЕКА №91 ЦЕНТРАЛЬНАЯ РАЙОННАЯ ООО (Украина, Канев)</t>
  </si>
  <si>
    <t>00896. Центр медицинский КИЕВСКАЯ РУСЬ МЕДИЦИНСКИЙ ЦЕНТР-СХОДНИЦА ООО (Украина, Сходница)</t>
  </si>
  <si>
    <t>00897. ГАРАНТ-ФАРМ ТК ООО (Украина, Днепр)</t>
  </si>
  <si>
    <t>00898. СУРИНЕЦ ВИТАЛИНА МИХАЙЛОВНА ФЛП (Украина, Сокирница)</t>
  </si>
  <si>
    <t>00899. КОНДЮХ ГАЛИНА ПЕТРОВНА ФЛП (Украина, Жовтанцы)</t>
  </si>
  <si>
    <t>00900. АНТОЛ ВАСИЛИЙ ДМИТРИЕВИЧ ФЛП (Украина, Осий)</t>
  </si>
  <si>
    <t>00901. ДОХВАТ ОКСАНА ВЛАДИМИРОВНА ФЛП (Украина, Золотники)</t>
  </si>
  <si>
    <t>00902. ПОЧАПСКАЯ ГАЛИНА ПЕТРОВНА ФЛП (Украина, Буск)</t>
  </si>
  <si>
    <t>00903. КЬЮ ФАРМ ООО (Украина, Черновцы)</t>
  </si>
  <si>
    <t>00904. КЛИМЧЕНКО ЯНА АЛЕКСАНДРОВНА ФЛП (Украина, Оржица)</t>
  </si>
  <si>
    <t>00905. ГАРКУША ВИКТОРИЯ ВИТАЛИЕВНА ФЛП (Украина, Новоградковка)</t>
  </si>
  <si>
    <t>00906. ЗАГОРОДНЫЙ ОЛЕГ НИКОЛАЕВИЧ ФЛП (Украина, Тернополь)</t>
  </si>
  <si>
    <t>00907. КОНВАЛИЯ ООО (Украина, Бар)</t>
  </si>
  <si>
    <t>00908. СИНА-ФАРМ ЧП (Украина, Запорожье)</t>
  </si>
  <si>
    <t>00909. МУДРИЦКАЯ НАТАЛИЯ СЕРГЕЕВНА ФЛП (Украина, Заможное)</t>
  </si>
  <si>
    <t>00910. КАЛИНИЧЕНКО ОЛЬГА ВАСИЛЬЕВНА ФЛП (Украина, Ахтырка)</t>
  </si>
  <si>
    <t>00911. ПОДУШКИН ЮРИЙ ВИКТОРОВИЧ ФЛП (Украина, Дружковка)</t>
  </si>
  <si>
    <t>00912. ПОСТОЛОВСКАЯ ВИТАЛИЯ АНДРЕЕВНА ФЛП (Украина, Подлужье)</t>
  </si>
  <si>
    <t>00913. МИГАЛАТЮК АЛЕНА НИКОЛАЕВНА ФЛП (Украина, Зарожаны)</t>
  </si>
  <si>
    <t>00914. ГРУШЕЦКАЯ ВАЛЕНТИНА ИВАНОВНА ФЛП (Украина, Ивановцы)</t>
  </si>
  <si>
    <t>00915. БИЛАНИЧ ТАМАРА ВАСИЛЬЕВНА ФЛП (Украина, Ольховцы)</t>
  </si>
  <si>
    <t>00916. КАТЯ ООО (Украина, Голованевск)</t>
  </si>
  <si>
    <t>00917. БОРТНИК ВЯЧЕСЛАВ ИГОРЕВИЧ ФЛП (Украина, Народичи)</t>
  </si>
  <si>
    <t>00918. АПТЕКА №113 ЦЕНТРАЛЬНАЯ РАЙОННАЯ КП (Украина, Коростень)</t>
  </si>
  <si>
    <t>00919. ЛЮБЧИК ТАТЬЯНА ГРИГОРЬЕВНА ФЛП (Украина, Винница)</t>
  </si>
  <si>
    <t>00920. БЕРЕЗОВСКАЯ НАТАЛИЯ ВЛАДИМИРОВНА ФЛП (Украина, Любашевка)</t>
  </si>
  <si>
    <t>00921. КАПИТАЛ ООО (Украина, Киев)</t>
  </si>
  <si>
    <t>00922. ЛАРКИНА ОЛЬГА АНДРЕЕВНА ФЛП (Украина, Днепр)</t>
  </si>
  <si>
    <t>00923. УКРФАРМ ООО (Украина, Ровно)</t>
  </si>
  <si>
    <t>00924. СОБЧУК ОЛЕГ ВАЛЕРЬЕВИЧ ФЛП (Украина, Махновка)</t>
  </si>
  <si>
    <t>00925. СЕВЕР-ФАРМ ООО (Украина, Чернигов)</t>
  </si>
  <si>
    <t>00926. МАТИЦИН ВЛАДИМИР НИКОЛАЕВИЧ ФЛП (Украина, Овруч)</t>
  </si>
  <si>
    <t>00927. ГОРПЕНЮК АННА ГРИГОРЬЕВНА ФЛП (Украина, Заставна)</t>
  </si>
  <si>
    <t>00928. ТАРНАВСКАЯ НАТАЛИЯ ВАСИЛЬЕВНА ФЛП (Украина, Подвысокое)</t>
  </si>
  <si>
    <t>00929. МОЦЕНКО НАДЕЖДА НИКОЛАЕВНА ФЛП (Украина, Бобровица)</t>
  </si>
  <si>
    <t>00930. ЖДАНЮК ИВАННА ВИТАЛЬЕВНА ФЛП (Украина, Приветное)</t>
  </si>
  <si>
    <t>00931. БУТАШ ВЛАДИМИР МИХАЙЛОВИЧ ФЛП (Украина, Верхнее Водяное)</t>
  </si>
  <si>
    <t>00932. САГЕЛЬ ОКСАНА ОРЕСТОВНА ФЛП (Украина, Зборов)</t>
  </si>
  <si>
    <t>00933. ПАНЧАК МАРИЯ ИГОРЕВНА ФЛП (Украина, Братковцы)</t>
  </si>
  <si>
    <t>00934. ЛЕДИФАРМ ЧП (Украина, Калиновка)</t>
  </si>
  <si>
    <t>00935. ВИТАНИЯ ООО (Украина, Покровск)</t>
  </si>
  <si>
    <t>00936. КРАСНЕВИЧ ВАЛЕРИЯ ВАСИЛЬЕВНА ФЛП (Украина, Великий Бычков)</t>
  </si>
  <si>
    <t>00937. ДОБРОВОЛЬСКИЙ ИГОРЬ АНАТОЛЬЕВИЧ ФЛП (Украина, Жашков)</t>
  </si>
  <si>
    <t>00938. ПРОКОПЧУК МИХАИЛ ВЛАДИМИРОВИЧ ФЛП (Украина, Ивано-Франковск)</t>
  </si>
  <si>
    <t>00939. ОЛЬГА ЧП (Украина, Кирнасовка)</t>
  </si>
  <si>
    <t>00940. МАЦИКАНИЧ ВАСИЛИЙ АНДРЕЕВИЧ ФЛП (Украина, Сахновщина)</t>
  </si>
  <si>
    <t>00941. ПОЛЬКА НАДЕЖДА ЗЕНОВЬЕВНА ФЛП (Украина, Сходница)</t>
  </si>
  <si>
    <t>00942. ОСИПЧУК ЕЛЕНА НИКОЛАЕВНА ФЛП (Украина, Владычная)</t>
  </si>
  <si>
    <t>00943. ТРИЩ НАТАЛИЯ АЛЕКСЕЕВНА ФЛП (Украина, Новый Роздол)</t>
  </si>
  <si>
    <t>00944. МЕЛЬНИЧЕНКО НИНА ВЛАДИМИРОВНА ФЛП (Украина, Сигнаевка)</t>
  </si>
  <si>
    <t>00945. ПРЕСЛИЦКАЯ СНЕЖАНА ЭДУАРДОВНА ФЛП (Украина, Новояворовск)</t>
  </si>
  <si>
    <t>00946. БОБРОВИЧ АННА МИХАЙЛОВНА ФЛП (Украина, Свалява)</t>
  </si>
  <si>
    <t>00947. ЗАХАРУК АЛЕКСАНДРА ВАСИЛЬЕВНА ФЛП (Украина, Заболотов)</t>
  </si>
  <si>
    <t>00948. БОНДАРЕНКО ВИТАЛИЙ АЛЕКСАНДРОВИЧ ФЛП (Украина, Запорожье)</t>
  </si>
  <si>
    <t>00949. ЖИВОДИР ЛЮБОВЬ ВИКТОРОВНА ФЛП (Украина, Бахмач)</t>
  </si>
  <si>
    <t>00950. ЛИСАЧУК АНАТОЛИЙ АНАТОЛЬЕВИЧ ФЛП (Украина, Шепетовка)</t>
  </si>
  <si>
    <t>00951. ОВЧАРЕНКО НАТАЛИЯ НИКОЛАЕВНА ФЛП (Украина, Харьков)</t>
  </si>
  <si>
    <t>00952. ЗИЛИНЕЦ АННА МИХАЙЛОВНА ФЛП (Украина, Белки)</t>
  </si>
  <si>
    <t>00953. АПТЕКАРЬ ООО (Украина, Одесса)</t>
  </si>
  <si>
    <t>00954. СЕНИВ ВАСИЛИЙ ЯРОСЛАВОВИЧ ФЛП (Украина, Калуш)</t>
  </si>
  <si>
    <t>00955. ВАНДЮК ЖАННА НИКОЛАЕВНА ФЛП (Украина, Деражня)</t>
  </si>
  <si>
    <t>00956. АПТЕКА 130 ООО (Украина, Ужгород)</t>
  </si>
  <si>
    <t>00957. БОДНАРУК ИВАН ДМИТРИЕВИЧ ФЛП (Украина, Красник)</t>
  </si>
  <si>
    <t>00958. СОЗАНСКАЯ ИРИНА РОМАНОВНА ФЛП (Украина, Збараж)</t>
  </si>
  <si>
    <t>00959. ЯНУЛЬ НАЗАР ВАСИЛЬЕВИЧ ФЛП (Украина, Цумань)</t>
  </si>
  <si>
    <t>00960. ТАТАРЕНКО ИГОРЬ НИКОЛАЕВИЧ ФЛП (Украина, Новомиргород)</t>
  </si>
  <si>
    <t>00961. АПТЕКА №17 ЦЕНТРАЛЬНАЯ РАЙОННАЯ ФАРМАЦИЯ КП (Украина, Рахов)</t>
  </si>
  <si>
    <t>00962. АКВАВИТА ПЛЮС ЧП (Украина, Гостомель)</t>
  </si>
  <si>
    <t>00963. ФЕДЕЦКАЯ АГАФЬЯ ВАСИЛЬЕВНА ФЛП (Украина, Воловец)</t>
  </si>
  <si>
    <t>00964. МАЛЮТА ТАТЬЯНА ВИКТОРОВНА ФЛП (Украина, Бахмач)</t>
  </si>
  <si>
    <t>00965. АПТЕКА МАТЕРИ И РЕБЕНКА ООО (Украина, Львов)</t>
  </si>
  <si>
    <t>00966. ГУДЗЬ ЕЛЕНА ВЛАДИМИРОВНА ФЛП (Украина, Решетиловка)</t>
  </si>
  <si>
    <t>00967. ДЕМЧУК ИРИНА АНАТОЛЬЕВНА ФЛП (Украина, Тернополь)</t>
  </si>
  <si>
    <t>00968. ПРОКОП НАТАЛИЯ ВАСИЛЬЕВНА ФЛП (Украина, Колодное)</t>
  </si>
  <si>
    <t>00969. ЛАК ФАРМА ПЛЮС ООО (Украина, Киев)</t>
  </si>
  <si>
    <t>00970. ДАННИК ВАДИМ ИВАНОВИЧ ФЛП (Украина, Черкассы)</t>
  </si>
  <si>
    <t>00971. ПИЛИПЕНКО ВАСИЛИЙ НИКОЛАЕВИЧ ФЛП (Украина, Ирклиев)</t>
  </si>
  <si>
    <t>00972. ДОЛЬНАЯ ИННА ВЛАДИМИРОВНА ФЛП (Украина, Заречанка)</t>
  </si>
  <si>
    <t>00973. АКСИС И К ООО (Украина, Ивано-Франковск)</t>
  </si>
  <si>
    <t>00974. БОНИКАС-ФАРМ ООО (Украина, Бровары)</t>
  </si>
  <si>
    <t>00975. ПАЛЛАДА ООО (Украина, Павлоград)</t>
  </si>
  <si>
    <t>00976. ЕВРЕШ РИХАРД ФЕДОРОВИЧ ФЛП (Украина, Шаян)</t>
  </si>
  <si>
    <t>00977. БЫКОВАЯ ОЛЬГА РОМАНОВНА ФЛП (Украина, Микулинцы)</t>
  </si>
  <si>
    <t>00978. ЧЕПА АННА НИКОЛАЕВНА ФЛП (Украина, Борзна)</t>
  </si>
  <si>
    <t>00979. МУЗЫКА-ПАНАСЮК ТАИСИЯ ВЛАДИМИРОВНА ФЛП (Украина, Печера)</t>
  </si>
  <si>
    <t>00980. ПРИЗ МАРИЯ НИКОЛАЕВНА ФЛП (Украина, Киев)</t>
  </si>
  <si>
    <t>00981. КОЩЕНКО АЛЕКСАНДР АЛЕКСАНДРОВИЧ ФЛП (Украина, Красятичи)</t>
  </si>
  <si>
    <t>00982. ФАРИНЕЦ НАДЕЖДА НИКОЛАЕВНА ФЛП (Украина, Среднее)</t>
  </si>
  <si>
    <t>00983. САДГОР ООО (Украина, Черновцы)</t>
  </si>
  <si>
    <t>00984. ЛАПКО АННА НИКОЛАЕВНА ФЛП (Украина, Запсонь)</t>
  </si>
  <si>
    <t>00985. ГАЛКИНА ВЕРА АЛЕКСАНДРОВНА ФЛП (Украина, Черновцы)</t>
  </si>
  <si>
    <t>00986. БРОВЧУК АЛЕКСАНДРА МИХАЙЛОВНА ФЛП (Украина, Коломыя)</t>
  </si>
  <si>
    <t>00987. КАПИЦА МИХАИЛ ВИКТОРОВИЧ ФЛП (Украина, Одесса)</t>
  </si>
  <si>
    <t>00988. ГОМАН ЛАРИСА ВИТАЛЬЕВНА ФЛП (Украина, Николаев)</t>
  </si>
  <si>
    <t>00989. НОРМАКОМ ПКП ООО (Украина, Львов)</t>
  </si>
  <si>
    <t>00990. ЯНОВСКИЙ НИКОЛАЙ НИКОЛАЕВИЧ ФЛП (Украина, Петрово)</t>
  </si>
  <si>
    <t>00991. КАТОНА АНИТА ИОСИФОВНА ФЛП (Украина, Малая Добронь)</t>
  </si>
  <si>
    <t>00992. БОЛЬНИЧНАЯ АПТЕКА КАНЕВСКОГО РАЙОНА КП (Украина, Канев)</t>
  </si>
  <si>
    <t>00993. ТИМЧУК АНДРЕЙ АЛЕКСЕЕВИЧ ФЛП (Украина, Песочин)</t>
  </si>
  <si>
    <t>00994. ТЫРСА ТАТЬЯНА АЛЕКСАНДРОВНА ФЛП (Украина, Шпола)</t>
  </si>
  <si>
    <t>00995. ТАЩУК БОГДАН АЛЕКСЕЕВИЧ ФЛП (Украина, Мамаевцы)</t>
  </si>
  <si>
    <t>00996. МИГАЛКО АНДРЕЙ АНДРЕЕВИЧ ФЛП (Украина, Дибровка)</t>
  </si>
  <si>
    <t>00997. ГАЛЕН ФАРМГРУПП ООО (Украина, Кривой Рог)</t>
  </si>
  <si>
    <t>00998. ПОЛИЩУК ВИКТОР ИВАНОВИЧ ФЛП (Украина, Ямполь)</t>
  </si>
  <si>
    <t>00999. БИЛЫК РОМАН РОМАНОВИЧ ФЛП (Украина, Тышковцы)</t>
  </si>
  <si>
    <t>01000. ДЕЛЕГАН МИХАИЛ МИХАЙЛОВИЧ ФЛП (Украина, Среднее)</t>
  </si>
  <si>
    <t>01001. ЗЛОБОВСКИЙ АНДРЕЙ ВЛАДИМИРОВИЧ ФЛП (Украина, Днепр)</t>
  </si>
  <si>
    <t>01002. ПЕТРИК БОГДАНА ВЛАДИМИРОВНА ФЛП (Украина, Хоростков)</t>
  </si>
  <si>
    <t>01003. КЛЕБАН НАТАЛИЯ МИХАЙЛОВНА ФЛП (Украина, Ивано-Франковск)</t>
  </si>
  <si>
    <t>01004. ВЕДА ФАРМ ООО (Украина, Одесса)</t>
  </si>
  <si>
    <t>01005. КУШУГУМСКИЙ МЕДИЦИНСКИЙ ЦЕНТР ООО (Украина, Кушугум)</t>
  </si>
  <si>
    <t>01006. СТЕЦИК ЛЕСЯ ИОСИФОВНА ФЛП (Украина, Козова)</t>
  </si>
  <si>
    <t>01007. ШОВКОПЛЯС ПАВЕЛ ВЛАДИМИРОВИЧ ФЛП (Украина, Угорники)</t>
  </si>
  <si>
    <t>01008. МЕЛЬНИК ЯРОСЛАВ ВАСИЛЬЕВИЧ ФЛП (Украина, Коломыя)</t>
  </si>
  <si>
    <t>01009. ВИТО АПТЕКА ООО (Украина, Мурованые Куриловцы)</t>
  </si>
  <si>
    <t>01010. АШКИНАДЗЕ АЛИНА ВАЛЕНТИНОВНА ФЛП (Украина, Черновцы)</t>
  </si>
  <si>
    <t>01011. ТЕМНОХУД АНДРЕЙ ИВАНОВИЧ ФЛП (Украина, Слобожанское)</t>
  </si>
  <si>
    <t>01012. АПТЕКА №181 КП (Украина, Белая Церковь)</t>
  </si>
  <si>
    <t>01013. КОЛЕСНИК АННА ЯРОСЛАВОВНА ФЛП (Украина, Винница)</t>
  </si>
  <si>
    <t>01014. ЗОРИЧ ВАЛЕНТИНА ВАСИЛЬЕВНА ФЛП (Украина, Худяки)</t>
  </si>
  <si>
    <t>01015. МЕДИФАРМ ООО (Украина, Каменское)</t>
  </si>
  <si>
    <t>01016. ОСАДЧУК ОКСАНА БОГДАНОВНА ФЛП (Украина, Городенка)</t>
  </si>
  <si>
    <t>01017. ВИТРУК АЛЕКСАНДР ПЕТРОВИЧ ФЛП (Украина, Гавришовка)</t>
  </si>
  <si>
    <t>01018. ГНАТ ОКСАНА ЯРОСЛАВОВНА ФЛП (Украина, Микуличин)</t>
  </si>
  <si>
    <t>01019. ЛИВ-ФАРМ ООО (Украина, Очаков)</t>
  </si>
  <si>
    <t>01020. СОЛЯНИК ИРИНА ЕВГЕНЬЕВНА ФЛП (Украина, Перемышляны)</t>
  </si>
  <si>
    <t>01021. ЛОГВИНЕНКО ЕВГЕНИЯ ВЛАДИМИРОВНА ФЛП (Украина, Гавриловка)</t>
  </si>
  <si>
    <t>01022. БОЙЧУК АЛЕКСЕЙ НИКОЛАЕВИЧ ФЛП (Украина, Рожнов)</t>
  </si>
  <si>
    <t>01023. ГИНКГО БИЛОБА ООО (Украина, Ужгород)</t>
  </si>
  <si>
    <t>01024. КАДАР ОКСАНА ВАСИЛЬЕВНА ФЛП (Украина, Тересва)</t>
  </si>
  <si>
    <t>01025. ЧЕПУРНАЯ НАТАЛИЯ АНАТОЛЬЕВНА ФЛП (Украина, Чаплино)</t>
  </si>
  <si>
    <t>01026. ЦЬОХА ВИТАЛИЙ ВАСИЛЬЕВИЧ ФЛП (Украина, Малин)</t>
  </si>
  <si>
    <t>01027. АПТЕКА №100 КП (Украина, Надворная)</t>
  </si>
  <si>
    <t>01028. СКРИБАНТОВИЧ АЛЛА АНАТОЛЬЕВНА ФЛП (Украина, Троицкое)</t>
  </si>
  <si>
    <t>01029. УКРФАРМИНВЕСТ ООО (Украина, Белая Церковь)</t>
  </si>
  <si>
    <t>01030. МЕДЛАЙФ ЧП (Украина, Александрия)</t>
  </si>
  <si>
    <t>01031. САВЧУК НАТАЛИЯ ВЛАДИМИРОВНА ФЛП (Украина, Шацк)</t>
  </si>
  <si>
    <t>01032. КАНАЗИРСКИЙ ВАСИЛИЙ ДМИТРИЕВИЧ ФЛП (Украина, Болград)</t>
  </si>
  <si>
    <t>01033. НОГА ЮЛИЯ АНДРЕЕВНА ФЛП (Украина, Бобринец)</t>
  </si>
  <si>
    <t>01034. АПТЕКА-98 КП (Украина, Новоднестровск)</t>
  </si>
  <si>
    <t>01035. СЕМЕГЕН АРТЕМ ЯРОСЛАВОВИЧ ФЛП (Украина, Неполоковцы)</t>
  </si>
  <si>
    <t>01036. ГОРОДЕЛЬСКАЯ ЛЮДМИЛА РУСЛАНОВНА ФЛП (Украина, Староконстантинов)</t>
  </si>
  <si>
    <t>01037. КОВАЛЬ ЛЮДМИЛА АЛЕКСАНДРОВНА ФЛП (Украина, Городковка)</t>
  </si>
  <si>
    <t>01038. МФ-ФАРМ ООО (Украина, Богородчаны)</t>
  </si>
  <si>
    <t>01039. ПРОКОПЧУК ЯРОСЛАВ БОГДАНОВИЧ ФЛП (Украина, Буштыно)</t>
  </si>
  <si>
    <t>01040. КЛОДНИЦКИЙ ДМИТРИЙ ВАЛЕНТИНОВИЧ ФЛП (Украина, Буча)</t>
  </si>
  <si>
    <t>01041. СЕМЕНЮК ОЛЬГА СЕРГЕЕВНА ФЛП (Украина, Пивденное)</t>
  </si>
  <si>
    <t>01042. ПОПОВ ДМИТРИЙ ВИКТОРОВИЧ ФЛП (Украина, Межлиманское)</t>
  </si>
  <si>
    <t>01043. ПЕРАНСКИЙ ВИКТОР АНАТОЛЬЕВИЧ ФЛП (Украина, Долинская)</t>
  </si>
  <si>
    <t>01044. БОГАЧ АННА МИХАЙЛОВНА ФЛП (Украина, Золотарево)</t>
  </si>
  <si>
    <t>01045. ФОРКОШ ИОСИФ ИОСИФОВИЧ ФЛП (Украина, Вышково)</t>
  </si>
  <si>
    <t>01046. ТОКАРЧАК РОМАН ИГОРЕВИЧ ФЛП (Украина, Немиров)</t>
  </si>
  <si>
    <t>01047. ФАРММЕДЦЕНТР ООО (Украина, Заставна)</t>
  </si>
  <si>
    <t>01048. ЧЕРНОУС НАТАЛЬЯ НИКОЛАЕВНА ФЛП (Украина, Ольшана)</t>
  </si>
  <si>
    <t>01049. ПОНИЗОВНЫЙ РОМАН ВЛАДИМИРОВИЧ ФЛП (Украина, Кагарлык)</t>
  </si>
  <si>
    <t>01050. УСЕНКО ЛИАНА МИХАЙЛОВНА ФЛП (Украина, Казатин)</t>
  </si>
  <si>
    <t>01051. КРЫЖАНОВСКИЙ АНДРЕЙ МИХАЙЛОВИЧ ФЛП (Украина, Новый Роздол)</t>
  </si>
  <si>
    <t>01052. ЗАБОЛОТНАЯ ТАТЬЯНА НИКОЛАЕВНА ФЛП (Украина, Маньковка)</t>
  </si>
  <si>
    <t>01053. ЖИБАК ИРИНА НИКОЛАЕВНА ФЛП (Украина, Тернополь)</t>
  </si>
  <si>
    <t>01054. КОЗЮПА НАТАЛИЯ ЗИНОВЬЕВНА ФЛП (Украина, Тернополь)</t>
  </si>
  <si>
    <t>01055. ВОРОБЬЕВ ОЛЕГ ОЛЕГОВИЧ ФЛП (Украина, Одесса)</t>
  </si>
  <si>
    <t>01056. ФАРМЭКСПРЕСС ПЛЮС ООО (Украина, Голованевск)</t>
  </si>
  <si>
    <t>01057. ПЕТРУНЬ ЛЮДМИЛА ВАСИЛЬЕВНА ФЛП (Украина, Устье)</t>
  </si>
  <si>
    <t>01058. СОЮЗ-ФАРМ ЧП (Украина, Синельниково)</t>
  </si>
  <si>
    <t>01059. САНТИС ООО (Украина, Днепр)</t>
  </si>
  <si>
    <t>01060. САВЧУК ИРИНА ВИТАЛЬЕВНА ФЛП (Украина, Шамраевка)</t>
  </si>
  <si>
    <t>01061. САНУС МЕД ООО (Украина, Киев)</t>
  </si>
  <si>
    <t>01062. МЕЛАНЮК АНДРЕЙ ЮРЬЕВИЧ ФЛП (Украина, Заречье)</t>
  </si>
  <si>
    <t>01063. СТРОИТЕЛЬ ООО (Украина, Житомир)</t>
  </si>
  <si>
    <t>01064. ВОРОБЕЙ ТАТЬЯНА ВЛАДИМИРОВНА ФЛП (Украина, Коростень)</t>
  </si>
  <si>
    <t>01065. ЦВЯЩЕНКО ЕКАТЕРИНА НИКОЛАЕВНА ФЛП (Украина, Леськи)</t>
  </si>
  <si>
    <t>01066. ЧЕПИЛЬ ЗОРЯНА ВЛАДИМИРОВНА ФЛП (Украина, Сокаль)</t>
  </si>
  <si>
    <t>01067. ГОРВАТ ИВАННА МИХАЙЛОВНА ФЛП (Украина, Синевирская Поляна)</t>
  </si>
  <si>
    <t>01068. БУЧОК СНЕЖАНА НИКОЛАЕВНА ФЛП (Украина, Берегомет)</t>
  </si>
  <si>
    <t>01069. РОМАНИВ МИХАИЛ ИВАНОВИЧ ФЛП (Украина, Малая Виска)</t>
  </si>
  <si>
    <t>01070. ЖОСАН ГАЛИНА ГАВРИЛОВНА ФЛП (Украина, Надречное)</t>
  </si>
  <si>
    <t>01071. АПТЕКА ГОРОДОЦКАЯ КП (Украина, Городок)</t>
  </si>
  <si>
    <t>01072. АПТЕКА ЦЕНТРАЛЬНАЯ ГОРОДСКАЯ КП (Украина, Тлумач)</t>
  </si>
  <si>
    <t>01073. ТАЦЮК НАТАЛИЯ АЛЕКСАНДРОВНА ФЛП (Украина, Коломыя)</t>
  </si>
  <si>
    <t>01074. ЛИЛИАНА ЧП (Украина, Калуш)</t>
  </si>
  <si>
    <t>01075. МЕЛЬНИК ВИТАЛИЙ ЗИНОВЬЕВИЧ ФЛП (Украина, Сокаль)</t>
  </si>
  <si>
    <t>01076. АПТЕКА №85 ГРЕБЕНКОВСКАЯ ЗОНАЛЬНАЯ ООО (Украина, Гребенки)</t>
  </si>
  <si>
    <t>01077. САМОЙЛЕНКО ЮЛИЯ АЛЕКСАНДРОВНА ФЛП (Украина, Одесса)</t>
  </si>
  <si>
    <t>01078. МОСКАЛЬКОВА СВЕТЛАНА МИХАЙЛОВНА ФЛП (Украина, Лежино)</t>
  </si>
  <si>
    <t>01079. ЗДОРОВЬЕ ЧП (Украина, Царичанка)</t>
  </si>
  <si>
    <t>01080. ТИМОШЕНКО РУСЛАН АЛЕКСАНДРОВИЧ ФЛП (Украина, Березовка)</t>
  </si>
  <si>
    <t>01081. АПТЕКА №21 КП (Украина, Антонины)</t>
  </si>
  <si>
    <t>01082. ФАРМА-КОР ЛТД ФИРМА ООО (Украина, Луцк)</t>
  </si>
  <si>
    <t>01083. ТКАЧЕНКО ТАТЬЯНА НИКОЛАЕВНА ФЛП (Украина, Козин)</t>
  </si>
  <si>
    <t>01084. КРИЛЬ ИВАННА МИХАЙЛОВНА ФЛП (Украина, Верхнее Высоцкое)</t>
  </si>
  <si>
    <t>01085. ПСЯЙКА МИРОСЛАВА МИХАЙЛОВНА ФЛП (Украина, Ставное)</t>
  </si>
  <si>
    <t>01086. КОГОТЮК АЛЛА НИКОЛАЕВНА ФЛП (Украина, Дубно)</t>
  </si>
  <si>
    <t>01087. НЕСТЕРЕНКО АЛЕКСАНДР ВЛАДИМИРОВИЧ ФЛП (Украина, Кременец)</t>
  </si>
  <si>
    <t>01088. ЛИК-ФАРМА ООО (Украина, Малиновка)</t>
  </si>
  <si>
    <t>01089. СЛЮСАР НАТАЛИЯ ВЛАДИМИРОВНА ФЛП (Украина, Обухов)</t>
  </si>
  <si>
    <t>01090. СТЕПАНОВА СВЕТЛАНА НИКОЛАЕВНА ФЛП (Украина, Овруч)</t>
  </si>
  <si>
    <t>01091. АНДРУШКО АНАСТАСИЯ ВЛАДИМИРОВНА ФЛП (Украина, Черкассы)</t>
  </si>
  <si>
    <t>01092. ПРИТУЛА НАТАЛЬЯ АНАТОЛЬЕВНА ФЛП (Украина, Крыжополь)</t>
  </si>
  <si>
    <t>01093. ГАЙДЕЙ ОКСАНА ВЛАДИМИРОВНА ФЛП (Украина, Кельменцы)</t>
  </si>
  <si>
    <t>01094. ПОЛЯНСКАЯ ТАИСА ВЛАДИМИРОВНА ФЛП (Украина, Бузовка)</t>
  </si>
  <si>
    <t>01095. РОЖОК АЛЕКСЕЙ МИХАЙЛОВИЧ ФЛП (Украина, Киев)</t>
  </si>
  <si>
    <t>01096. КУРИК ТАТЬЯНА ВИКТОРОВНА ФЛП (Украина, Панка)</t>
  </si>
  <si>
    <t>01097. ВЕЛИЕВА ГАЛИНА ХАРИТОНОВНА ФЛП (Украина, Яворницкое)</t>
  </si>
  <si>
    <t>01098. МАРЧУК ОЛЕГ ИВАНОВИЧ ФЛП (Украина, Мамаевцы)</t>
  </si>
  <si>
    <t>01099. МОВЧАН НАЗАРИЙ СЕРГЕЕВИЧ ФЛП (Украина, Литинка)</t>
  </si>
  <si>
    <t>01100. ВЛАДЮК ГАЛИНА МИХАЙЛОВНА ФЛП (Украина, Малехов)</t>
  </si>
  <si>
    <t>01101. ГРОМЦЕВ КОНСТАНТИН НИКОЛАЕВИЧ ФЛП (Украина, Подгородное)</t>
  </si>
  <si>
    <t>01102. АПТЕКА №79 ЦЕНТРАЛЬНАЯ РАЙОННАЯ КП (Украина, Броды)</t>
  </si>
  <si>
    <t>01103. ЗДОРОВ ФАРМ ООО (Украина, Киев)</t>
  </si>
  <si>
    <t>01104. ХАШЕМИ ДАРИНА АЛЕКСАНДРОВНА ФЛП (Украина, Петропавловская Борщаговка)</t>
  </si>
  <si>
    <t>01105. ШИТИЛЕВ ДМИТРИЙ АЛЕКСЕЕВИЧ ФЛП (Украина, Бобринец)</t>
  </si>
  <si>
    <t>01106. МАТЕЙКО ОЛЬГА ЯРОСЛАВОВНА ФЛП (Украина, Махаринцы)</t>
  </si>
  <si>
    <t>01107. БЕЗИМА НАТАЛИЯ ВИКТОРОВНА ФЛП (Украина, Кобеляки)</t>
  </si>
  <si>
    <t>01108. ВЫГОВСКАЯ ИРИНА АНАТОЛЬЕВНА ФЛП (Украина, Коростень)</t>
  </si>
  <si>
    <t>01109. МУЗЫКА ИРИНА ГРИГОРЬЕВНА ФЛП (Украина, Бобринец)</t>
  </si>
  <si>
    <t>01110. ШКРЕБКО НАТАЛЬЯ ВСЕВОЛОДОВНА ФЛП (Украина, Иваница)</t>
  </si>
  <si>
    <t>01111. ПРОДАН АЛЛА МИХАЙЛОВНА ФЛП (Украина, Свалява)</t>
  </si>
  <si>
    <t>01112. ЗАДОРОЖНАЯ НАТАЛИЯ ИГОРЕВНА ФЛП (Украина, Арбузинка)</t>
  </si>
  <si>
    <t>01113. АПТЕКА ИТАЛЬЯНА ФАРМАЧИЯ СТАСИ ООО (Украина, Черновцы)</t>
  </si>
  <si>
    <t>01114. БИОС-В ООО (Украина, Винница)</t>
  </si>
  <si>
    <t>01115. ВАСКУЛ ГАЛИНА НИКОЛАЕВНА ФЛП (Украина, Коломыя)</t>
  </si>
  <si>
    <t>01116. САЩУК ТАТЬЯНА ЯРОСЛАВОВНА ФЛП (Украина, Тюдов)</t>
  </si>
  <si>
    <t>01117. БЫКОВ ИВАН ПЕТРОВИЧ ФЛП (Украина, Смотрич)</t>
  </si>
  <si>
    <t>01118. ТАБАЧНЮК ЛИЛИЯ ВАСИЛЬЕВНА ФЛП (Украина, Криховцы)</t>
  </si>
  <si>
    <t>01119. ОРЕХОВА ЕЛЕНА ЛЕОНИДОВНА ФЛП (Украина, Мирноград)</t>
  </si>
  <si>
    <t>01120. ГОЛОБОРОДЬКО АНДРЕЙ ИГОРЕВИЧ ФЛП (Украина, Полтава)</t>
  </si>
  <si>
    <t>01121. ДУХНИЙ ИВАН МИХАЙЛОВИЧ ФЛП (Украина, Микулинцы)</t>
  </si>
  <si>
    <t>01122. МРИЯ ООО (Украина, Теофиполь)</t>
  </si>
  <si>
    <t>01123. ОФИЛАТ МАРИНА ВЛАДИМИРОВНА ФЛП (Украина, Малый Житин)</t>
  </si>
  <si>
    <t>01124. АПТЕКА №28 ООО (Украина, Львов)</t>
  </si>
  <si>
    <t>01125. ЗИНЧЕНКО ЮРИЙ МИХАЙЛОВИЧ ФЛП (Украина, Берестин)</t>
  </si>
  <si>
    <t>01126. ПЕРЕСЫПКИН АЛЕКСАНДР ВАСИЛЬЕВИЧ ФЛП (Украина, Сахновщина)</t>
  </si>
  <si>
    <t>01127. МАКОВИЙ ВАЛЕНТИНА ЛЕОНТЬЕВНА ФЛП (Украина, Дзыговка)</t>
  </si>
  <si>
    <t>01128. ВАХМЯНИНА ЕЛЕНА ВЛАДИМИРОВНА ФЛП (Украина, Глухов)</t>
  </si>
  <si>
    <t>01129. КИЕВ КОММЕРС ГРУПП ООО (Украина, Киев)</t>
  </si>
  <si>
    <t>01130. КОСТРЕЦ АНГЕЛИНА ЕВГЕНЬЕВНА ФЛП (Украина, Нижнее Селище)</t>
  </si>
  <si>
    <t>01131. СКОРАЯ ПОМОЩЬ ПУЛЬС ООО (Украина, Ровно)</t>
  </si>
  <si>
    <t>01132. ДЕМСКАЯ МАРИЯ НИКОЛАЕВНА ФЛП (Украина, Николаевка)</t>
  </si>
  <si>
    <t>01133. ГЕРАСИМЕНКО РОМАН СЕРГЕЕВИЧ ФЛП (Украина, Лосиновка)</t>
  </si>
  <si>
    <t>01134. КУЗЬМЕНКО ЛЮДМИЛА ВЛАДИМИРОВНА ФЛП (Украина, Могилев-Подольский)</t>
  </si>
  <si>
    <t>01135. ТОКАРЬ МАРИЯ МИХАЙЛОВНА ФЛП (Украина, Добрянское)</t>
  </si>
  <si>
    <t>01136. ДОМНЕНКО КЛАВДИЯ ВЛАДИМИРОВНА ФЛП (Украина, Андреевка)</t>
  </si>
  <si>
    <t>01137. ТЕСЕРТЕК ООО (Украина, Верхнячка)</t>
  </si>
  <si>
    <t>01138. РУДЯК ЕВГЕНИЙ ВЛАДИМИРОВИЧ ФЛП (Украина, Диновцы)</t>
  </si>
  <si>
    <t>01139. ТРИЩ ВЛАДИМИР ЯРОСЛАВОВИЧ ФЛП (Украина, Магеров)</t>
  </si>
  <si>
    <t>01140. МАСАЛОВ ВЛАДИМИР ВЛАДИМИРОВИЧ ФЛП (Украина, Одесса)</t>
  </si>
  <si>
    <t>01141. ЛОТУСМЕД ООО (Украина, Киев)</t>
  </si>
  <si>
    <t>01142. ДЯЧЕНКО АНДРЕЙ ВИКТОРОВИЧ ФЛП (Украина, Сумы)</t>
  </si>
  <si>
    <t>01143. БАРСКИЙ МИХАИЛ БОГДАНОВИЧ ФЛП (Украина, Тернополь)</t>
  </si>
  <si>
    <t>01144. КОРНУТА ЛЮДМИЛА НИКОЛАЕВНА ФЛП (Украина, Угля)</t>
  </si>
  <si>
    <t>01145. СКЛ-ФАРМ ООО (Украина, Киев)</t>
  </si>
  <si>
    <t>01146. КНЯЗЕВА ВАНДА АЛЕКСАНДРОВНА ФЛП (Украина, Степовое)</t>
  </si>
  <si>
    <t>01147. АГРОСВИТ ООО (Украина, Карапыши)</t>
  </si>
  <si>
    <t>01148. ЗАБОЛОТНЯ ЛАРИСА АНДРЕЕВНА ФЛП (Украина, Ольшана)</t>
  </si>
  <si>
    <t>01149. ЖУК РОМАН АЛЕКСАНДРОВИЧ ФЛП (Украина, Тернополь)</t>
  </si>
  <si>
    <t>01150. СТРУЖАК АЛЕКСАНДР АЛЕКСАНДРОВИЧ ФЛП (Украина, Великие Лазы)</t>
  </si>
  <si>
    <t>01151. ДЕРЕНЕВСКАЯ ИРИНА ЯРОСЛАВОВНА ФЛП (Украина, Гусятин)</t>
  </si>
  <si>
    <t>01152. ТКАЧУК ЮРИЙ ОЛЕГОВИЧ ФЛП (Украина, Лопатин)</t>
  </si>
  <si>
    <t>01153. МИШКОВЕЦ ТАТЬЯНА ВИКТОРОВНА ФЛП (Украина, Краматорск)</t>
  </si>
  <si>
    <t>01154. АТОМ ЧП (Украина, Харьков)</t>
  </si>
  <si>
    <t>01155. МАЦИБУРА ОЛЬГА БОРИСОВНА ФЛП (Украина, Беленькое)</t>
  </si>
  <si>
    <t>01156. ЧУБАТА ИРИНА АЛЕКСАНДРОВНА ФЛП (Украина, Рахны-Лесовые)</t>
  </si>
  <si>
    <t>01157. ГНАТ ВИКТОР СЕРГЕЕВИЧ ФЛП (Украина, Микуличин)</t>
  </si>
  <si>
    <t>01158. ПРОФМЕД ПЛЮС ООО (Украина, Киев)</t>
  </si>
  <si>
    <t>01159. ВАЩИШАК ИРИНА ИВАНОВНА ФЛП (Украина, Тысменица)</t>
  </si>
  <si>
    <t>01160. КАЧАЛОВ ВЛАДИМИР ИВАНОВИЧ ФЛП (Украина, Киев)</t>
  </si>
  <si>
    <t>01161. ГАДЖУК НАТАЛИЯ ВАСИЛЬЕВНА ФЛП (Украина, Смодна)</t>
  </si>
  <si>
    <t>01162. СЛОБОДЯН СВЕТЛАНА СИГИЗМУНДОВНА ФЛП (Украина, Молодежное)</t>
  </si>
  <si>
    <t>01163. ФАРМАКЛУБ ООО (Украина, Сливино)</t>
  </si>
  <si>
    <t>01164. ШПАК ТАТЬЯНА ЯНОШЕВНА ФЛП (Украина, Буштыно)</t>
  </si>
  <si>
    <t>01165. ТАБАХАРНЮК АЛЛА ВАСИЛЬЕВНА ФЛП (Украина, Яблонов)</t>
  </si>
  <si>
    <t>01166. АНОЦКАЯ ЕЛЕНА ОЛЕГОВНА ФЛП (Украина, Кривой Рог)</t>
  </si>
  <si>
    <t>01167. АНДРЕЙЧУК ЛЮБОВЬ ЯРОСЛАВОВНА ФЛП (Украина, Куты)</t>
  </si>
  <si>
    <t>01168. БАШАРОВА ЕЛЕНА ВЛАДИМИРОВНА ФЛП (Украина, Киев)</t>
  </si>
  <si>
    <t>01169. СИВАНЫК ИГОРЬ ВЛАДИМИРОВИЧ ФЛП (Украина, Угринов)</t>
  </si>
  <si>
    <t>01170. ДИАМЕД ООО (Украина, Киев)</t>
  </si>
  <si>
    <t>01171. АПТЕКА №49 ООО (Украина, Львов)</t>
  </si>
  <si>
    <t>01172. БОЛОТОВА ИРИНА СЕРГЕЕВНА ФЛП (Украина, Николаев)</t>
  </si>
  <si>
    <t>01173. ДИМОВА АЛЛА ВЛАДИСЛАВОВНА ФЛП (Украина, Белгород-Днестровский)</t>
  </si>
  <si>
    <t>01174. СТРОИЧ СОФИЯ МАРТЫНОВНА ФЛП (Украина, Кобаки)</t>
  </si>
  <si>
    <t>01175. ХАРЛАН АНАТОЛИЙ СЕМЕНОВИЧ ФЛП (Украина, Николаев)</t>
  </si>
  <si>
    <t>01176. Центр лечебно-диагностический ЛОРИТОМ ООО (Украина, Харьков)</t>
  </si>
  <si>
    <t>01177. СТАРОСВИТСКИЙ АЛЕКСАНДР ВИКТОРОВИЧ ФЛП (Украина, Белая Церковь)</t>
  </si>
  <si>
    <t>01178. ПОПОВИЧ ЮРИЙ ВАСИЛЬЕВИЧ ФЛП (Украина, Перегинское)</t>
  </si>
  <si>
    <t>01179. РЫБАК АННА ВЛАДИМИРОВНА ФЛП (Украина, Одесса)</t>
  </si>
  <si>
    <t>01180. КОЗЛОВСКАЯ ОКСАНА ПЕТРОВНА ФЛП (Украина, Бахмач)</t>
  </si>
  <si>
    <t>01181. УКРФАРМТРАНС ООО (Украина, Черкассы)</t>
  </si>
  <si>
    <t>01182. ЛЕВИЦКАЯ ИРИНА АНДРЕЕВНА ФЛП (Украина, Шепетовка)</t>
  </si>
  <si>
    <t>01183. АРТЕМЕНКО ТАТЬЯНА АЛЕКСАНДРОВНА ФЛП (Украина, Шпола)</t>
  </si>
  <si>
    <t>01184. ПАЛИЙЧУК ИВАН ВАСИЛЬЕВИЧ ФЛП (Украина, Неполоковцы)</t>
  </si>
  <si>
    <t>01185. КАЛИТЧУК АННА ГРИГОРЬЕВНА ФЛП (Украина, Видинов)</t>
  </si>
  <si>
    <t>01186. ФАРМАКО ООО (Украина, Вишневое)</t>
  </si>
  <si>
    <t>01187. АПТЕКА №126 КП (Украина, Борислав)</t>
  </si>
  <si>
    <t>01188. АРНИКА ООО (Украина, Киев)</t>
  </si>
  <si>
    <t>01189. САМКОВ МИХАИЛ АЛЕКСАНДРОВИЧ ФЛП (Украина, Чернобаевка)</t>
  </si>
  <si>
    <t>01190. КВАЧУК НИКОЛАЙ ВАЛЕНТИНОВИЧ ФЛП (Украина, Боровое)</t>
  </si>
  <si>
    <t>01191. АПТЕКА №4 ООО (Украина, Днепр)</t>
  </si>
  <si>
    <t>01192. ПОЛИВКО ОКСАНА СЕРГЕЕВНА ФЛП (Украина, Родинское)</t>
  </si>
  <si>
    <t>01193. МЕЛЬНИЧУК ВАСИЛИЙ ДМИТРИЕВИЧ ФЛП (Украина, Коломыя)</t>
  </si>
  <si>
    <t>01194. ЦУРКАН ВИКТОРИЯ ВИКТОРОВНА ФЛП (Украина, Одесса)</t>
  </si>
  <si>
    <t>01195. ВАЛЕНТИНА СЕРВИС ПЛЮС МАГАЗИН ДОМ РАДИО ООО ДП (Украина, Днепр)</t>
  </si>
  <si>
    <t>01196. ДУМБРАВА ТАМАРА ИВАНОВНА ФЛП (Украина, Одесса)</t>
  </si>
  <si>
    <t>01197. ХОМЕНКО ВЛАДИМИР АНДРЕЕВИЧ ФЛП (Украина, Зарванцы)</t>
  </si>
  <si>
    <t>01198. ЯРМУС МАРТА ИГОРЕВНА ФЛП (Украина, Винники)</t>
  </si>
  <si>
    <t>01199. ШИМОНОВСКИЙ ВАСИЛИЙ СТЕПАНОВИЧ ФЛП (Украина, Тячев)</t>
  </si>
  <si>
    <t>01200. КРАЙНЯЙ ЛИЛИЯ МИХАЙЛОВНА ФЛП (Украина, Сельцо)</t>
  </si>
  <si>
    <t>01201. БАРАБАШ ОЛЕСЯ БОГДАНОВНА ФЛП (Украина, Долина)</t>
  </si>
  <si>
    <t>01202. НЯГУЛОВА ДОМНИКИЯ ГЕОРГИЕВНА ФЛП (Украина, Николаевка)</t>
  </si>
  <si>
    <t>01203. КУЦЕНКО ЕЛИЗАВЕТА ВАЛЕРЬЕВНА ФЛП (Украина, Голубовка)</t>
  </si>
  <si>
    <t>01204. ФИРМА МЕДСЕРВИС ЧП (Украина, Никополь)</t>
  </si>
  <si>
    <t>01205. ДЖИ-ФАРМ ООО (Украина, Киев)</t>
  </si>
  <si>
    <t>01206. КОСМИНА НАДЕЖДА ДАНИЛОВНА ФЛП (Украина, Киверцы)</t>
  </si>
  <si>
    <t>01207. ЗОРИЙ АННА ГРИГОРЬЕВНА ФЛП (Украина, Веренчанка)</t>
  </si>
  <si>
    <t>01208. ЧОРНОВОЛ МИХАИЛ МИХАЙЛОВИЧ ФЛП (Украина, Лысянка)</t>
  </si>
  <si>
    <t>01209. БИЛАНИЧ ТАТЬЯНА ВАСИЛЬЕВНА ФЛП (Украина, Ольховцы)</t>
  </si>
  <si>
    <t>01210. КОРОЛЬ НАЗАР ВЛАДИМИРОВИЧ ФЛП (Украина, Печенежин)</t>
  </si>
  <si>
    <t>01211. ВЫГОР МЧП (Украина, Хыров)</t>
  </si>
  <si>
    <t>01212. ЛУЦИВ АЛЕКСАНДРА ПЕТРОВНА ФЛП (Украина, Бельшовцы)</t>
  </si>
  <si>
    <t>01213. ФЕДИК ОЛЕГ ВАСИЛЬЕВИЧ ФЛП (Украина, Шкло)</t>
  </si>
  <si>
    <t>01214. ТИМОШЕНКО ТАМАРА ВАСИЛЬЕВНА ФЛП (Украина, Недригайлов)</t>
  </si>
  <si>
    <t>01215. КЛЮЧ ЗДОРОВЬЯ ЧП (Украина, Хыров)</t>
  </si>
  <si>
    <t>01216. АПТЕКА ЕВА ЧП (Украина, Хмельницкий)</t>
  </si>
  <si>
    <t>01217. АПТЕКА МЧП (Украина, Здолбунов)</t>
  </si>
  <si>
    <t>01218. ЧЕТНЕКИ КРИСТИНА АВГУСТИНОВНА ФЛП (Украина, Дюла)</t>
  </si>
  <si>
    <t>01219. АНДРЕЕВА СВЕТЛАНА ПЕТРОВНА ФЛП (Украина, Коростень)</t>
  </si>
  <si>
    <t>01220. ГОРЯГА ТАТЬЯНА ВЛАДИМИРОВНА ФЛП (Украина, Новая Одесса)</t>
  </si>
  <si>
    <t>01221. ИПАТИЙ ВАЛЕРИЯ СЕРГЕЕВНА ФЛП (Украина, Каменная)</t>
  </si>
  <si>
    <t>01222. ХУДЯКОВ МАКСИМ ЕВГЕНЬЕВИЧ ФЛП (Украина, Черновцы)</t>
  </si>
  <si>
    <t>01223. ЛИКИЛАЙФ ООО (Украина, Днепр)</t>
  </si>
  <si>
    <t>01224. СТЭП-ФАРМ ООО (Украина, Новоукраинка)</t>
  </si>
  <si>
    <t>01225. НЕДОГОНОВА ТАТЬЯНА МИХАЙЛОВНА ФЛП (Украина, Зборов)</t>
  </si>
  <si>
    <t>01226. СТАВИТ ООО (Украина, Киев)</t>
  </si>
  <si>
    <t>01227. ЕВЧАК МИХАИЛ ЮРЬЕВИЧ ФЛП (Украина, Ясеница)</t>
  </si>
  <si>
    <t>01228. АКБАРС ЧП (Украина, Днепр)</t>
  </si>
  <si>
    <t>01229. САВЮК ГАЛИНА ИВАНОВНА ФЛП (Украина, Брусница)</t>
  </si>
  <si>
    <t>01230. ЛУКИВ ОКСАНА ИВАНОВНА ФЛП (Украина, Скалат)</t>
  </si>
  <si>
    <t>01231. МАЦИГИН ОЛЬГА НИКОЛАЕВНА ФЛП (Украина, Трускавец)</t>
  </si>
  <si>
    <t>01232. ТАРАСЕНКО ЛИДИЯ ПАВЛОВНА ФЛП (Украина, Днепровское)</t>
  </si>
  <si>
    <t>01233. АДОНИС ЧФ (Украина, Кринички)</t>
  </si>
  <si>
    <t>01234. ДЕНДИ-ФАРМ ООО (Украина, Киев)</t>
  </si>
  <si>
    <t>01235. МАГДЫЧ НИКОЛАЙ СТЕПАНОВИЧ ФЛП (Украина, Нижняя Яблонька)</t>
  </si>
  <si>
    <t>01236. МОТУЛЯК ОЛЕГ ВАСИЛЬЕВИЧ ФЛП (Украина, Черновцы)</t>
  </si>
  <si>
    <t>01237. Центр медицинский КЛИНИКА ПРОФЕССОРА С.ХМИЛЯ ЧП (Украина, Тернополь)</t>
  </si>
  <si>
    <t>01238. УМАНСКИЙ ВЛАДИМИР ФЕДОРОВИЧ ФЛП (Украина, Буки)</t>
  </si>
  <si>
    <t>01239. ФУРМАН БОГДАН ВЯЧЕСЛАВОВИЧ ФЛП (Украина, Винницкие Хутора)</t>
  </si>
  <si>
    <t>01240. ЛИЛИЯ ООО (Украина, Спас)</t>
  </si>
  <si>
    <t>01241. ПОНИЗОВНА НАТАЛЬЯ ВАСИЛЬЕВНА ФЛП (Украина, Кагарлык)</t>
  </si>
  <si>
    <t>01242. ВАТРИЧ ЕЛЕНА ИОСИФОВНА ФЛП (Украина, Испас)</t>
  </si>
  <si>
    <t>01243. КРЫЛОВА ЕЛЕНА ФЛП (Украина, Николаев)</t>
  </si>
  <si>
    <t>01244. МОРОЗ ВЛАДИМИР ЯРОСЛАВОВИЧ ФЛП (Украина, Хоростков)</t>
  </si>
  <si>
    <t>01245. ВОРОНЦОВА НАДЕЖДА ИВАНОВНА ФЛП (Украина, Путивль)</t>
  </si>
  <si>
    <t>01246. СНЯТИНСКАЯ АПТЕКА №52 КП (Украина, Снятин)</t>
  </si>
  <si>
    <t>01247. АПТЕКА №339 МЕЖБОЛЬНИЧНАЯ КП (Украина, Богодухов)</t>
  </si>
  <si>
    <t>01248. МАЛЫХ АРСЕН ВАЛЕНТИНОВИЧ ФЛП (Украина, Сухой Лиман)</t>
  </si>
  <si>
    <t>01249. ГЛОБА ВЕРА НИКОЛАЕВНА ФЛП (Украина, Ржищев)</t>
  </si>
  <si>
    <t>01250. ЛИНАФАРМ ООО (Украина, Днепр)</t>
  </si>
  <si>
    <t>01251. ПАЙШ ИВАННА ИВАНОВНА ФЛП (Украина, Перегинское)</t>
  </si>
  <si>
    <t>01252. РЕМЕДИУМ ООО (Украина, Белая Церковь)</t>
  </si>
  <si>
    <t>01253. ПИЛИПЕНКО ИВАН ПАВЛОВИЧ ФЛП (Украина, Лебедин)</t>
  </si>
  <si>
    <t>01254. ГЛАДУН ТАТЬЯНА ИВАНОВНА ФЛП (Украина, Черневцы)</t>
  </si>
  <si>
    <t>01255. КОПА ВИКТОРИЯ АЛЕКСАНДРОВНА ФЛП (Украина, Бахмач)</t>
  </si>
  <si>
    <t>01256. ХАНЕНКО РОМАН ВАСИЛЬЕВИЧ ФЛП (Украина, Золочев)</t>
  </si>
  <si>
    <t>01257. ДУБИНСКАЯ МАРИЯ ВАСИЛЬЕВНА ФЛП (Украина, Коровия)</t>
  </si>
  <si>
    <t>01258. ВИТА-ФАРМ ЧП (Украина, Добровеличковка)</t>
  </si>
  <si>
    <t>01259. ШВЕЦ ВИТАЛИЙ ГРИГОРЬЕВИЧ ФЛП (Украина, Троицкое)</t>
  </si>
  <si>
    <t>01260. КАШПУР АНДРЕЙ ИГОРЕВИЧ ФЛП (Украина, Киев)</t>
  </si>
  <si>
    <t>01261. НЕСМИЯНОВ РУСЛАН АЛЕКСАНДРОВИЧ ФЛП (Украина, Лука-Мелешковская)</t>
  </si>
  <si>
    <t>01262. РЯБОВА ТАТЬЯНА ПЕТРОВНА ФЛП (Украина, Баштанка)</t>
  </si>
  <si>
    <t>01263. ФАРИНА АЛЕКСАНДРА АНДРЕЕВНА ФЛП (Украина, Крымно)</t>
  </si>
  <si>
    <t>01264. ЯН ЧП (Украина, Киев)</t>
  </si>
  <si>
    <t>01265. МОЛЧАНОВА ТАТЬЯНА АЛЕКСАНДРОВНА ФЛП (Украина, Одесса)</t>
  </si>
  <si>
    <t>01266. КОЛОСОВСКАЯ НАТАЛИЯ ИГОРЕВНА ФЛП (Украина, Обжилое)</t>
  </si>
  <si>
    <t>01267. ЛЮБИНЕЦ ЯНИНА ВЛАДИМИРОВНА ФЛП (Украина, Березовое)</t>
  </si>
  <si>
    <t>01268. САВЧЕНКО ЗОЯ ЮРЬЕВНА ФЛП (Украина, Сумы)</t>
  </si>
  <si>
    <t>01269. ГОСПОДАРЮК РОМАНА ПЕТРОВНА ФЛП (Украина, Ростоки)</t>
  </si>
  <si>
    <t>01270. ЛАГНО НАТАЛИЯ ВЛАДИМИРОВНА ФЛП (Украина, Днепр)</t>
  </si>
  <si>
    <t>01271. УСЕНКО МАРИЯ АНДРЕЕВНА ФЛП (Украина, Броды)</t>
  </si>
  <si>
    <t>01272. ТКАЧЕНКО ВИКТОРИЯ ВИТАЛЬЕВНА ФЛП (Украина, Одесса)</t>
  </si>
  <si>
    <t>01273. ЯНКОВА НАДЕЖДА ВАСИЛЬЕВНА ФЛП (Украина, Крыжополь)</t>
  </si>
  <si>
    <t>01274. КОМИНКО ЛАРИСА НИКИТИЧНА ФЛП (Украина, Тернополь)</t>
  </si>
  <si>
    <t>01275. АНЕМОНА ООО (Украина, Мукачево)</t>
  </si>
  <si>
    <t>01276. СТАШКО АЛЕКСАНДР ЮРЬЕВИЧ ФЛП (Украина, Свалява)</t>
  </si>
  <si>
    <t>01277. СТРАДЕЦКИЙ ВАСИЛИЙ ГРИГОРЬЕВИЧ ФЛП (Украина, Заставна)</t>
  </si>
  <si>
    <t>01278. КЛЮЙКО ТАТЬЯНА ВАЛЕРЬЕВНА ФЛП (Украина, Руденковка)</t>
  </si>
  <si>
    <t>01279. ЖМУДЬ ИРИНА МИХАЙЛОВНА ФЛП (Украина, Винница)</t>
  </si>
  <si>
    <t>01280. МАЦЮК ГАЛИНА ВАСИЛЬЕВНА ФЛП (Украина, Коломыя)</t>
  </si>
  <si>
    <t>01281. БЕЛЛАДОННА ООО (Украина, Харьков)</t>
  </si>
  <si>
    <t>01282. ФАРМАКОМ ЛТД ООО (Украина, Ковель)</t>
  </si>
  <si>
    <t>01283. Центр практической наркологии Запорожский ООО (Украина, Запорожье)</t>
  </si>
  <si>
    <t>01284. ИВАЩИК ТАТЬЯНА АНАТОЛЬЕВНА ФЛП (Украина, Ковель)</t>
  </si>
  <si>
    <t>01285. ДОЛИНСКАЯ ЦЕНТРАЛЬНАЯ АПТЕКА №18 КП (Украина, Долина)</t>
  </si>
  <si>
    <t>01286. ОСОКИНА ЮЛИЯ ДИЛИПОВНА ФЛП (Украина, Харьков)</t>
  </si>
  <si>
    <t>01287. МИТРИК ИОН ВАСИЛЬЕВИЧ ФЛП (Украина, Красноильск)</t>
  </si>
  <si>
    <t>01288. ВАКУЛЯК АЛЛА ЛЕОНИДОВНА ФЛП (Украина, Клекотина)</t>
  </si>
  <si>
    <t>01289. РОМИНСКИЙ АНДРЕЙ МИХАЙЛОВИЧ ФЛП (Украина, Букачевцы)</t>
  </si>
  <si>
    <t>01290. ЗАМОГИЛЬНАЯ ОЛЬГА АЛЕКСАНДРОВНА ФЛП (Украина, Градижск)</t>
  </si>
  <si>
    <t>01291. ПИСАНЧИН ГАЛИНА ЛЕОНИДОВНА ФЛП (Украина, Турка)</t>
  </si>
  <si>
    <t>01292. ГРИНЯЕВА МАРИЯ ВАСИЛЬЕВНА ФЛП (Украина, Горб)</t>
  </si>
  <si>
    <t>01293. РУРАК ВАЛЕРИЙ ВЛАДИМИРОВИЧ ФЛП (Украина, Драница)</t>
  </si>
  <si>
    <t>01294. АНДРИЦКАЯ КРИСТИНА НИКОЛАЕВНА ФЛП (Украина, Балковцы)</t>
  </si>
  <si>
    <t>01295. ФОРВАРД 2000 ООО (Украина, Недогарки)</t>
  </si>
  <si>
    <t>01296. БИЛЕНЬКА ОКСАНА ВАСИЛЬЕВНА ФЛП (Украина, Великая Березовица)</t>
  </si>
  <si>
    <t>01297. БОБРОВНИК ОЛЕГ ВАСИЛЬЕВИЧ ФЛП (Украина, Олевск)</t>
  </si>
  <si>
    <t>01298. ПИНЧУК ЮРИЙ СЕРГЕЕВИЧ ФЛП (Украина, Варва)</t>
  </si>
  <si>
    <t>01299. ПАХОМОВА ЕЛЕНА ЮРЬЕВНА ФЛП (Украина, Харьков)</t>
  </si>
  <si>
    <t>01300. АЛЕКСАНДР-С МЧП (Украина, Ивановка)</t>
  </si>
  <si>
    <t>01301. ОЛЕКС НПЧП (Украина, Запорожье)</t>
  </si>
  <si>
    <t>01302. СТАРЧЕНКО ЕЛЕНА ВИКТОРОВНА ФЛП (Украина, Шостка)</t>
  </si>
  <si>
    <t>01303. КАЛАШНИКОВ ВЛАДИМИР ВАЛЕНТИНОВИЧ ФЛП (Украина, Конотоп)</t>
  </si>
  <si>
    <t>01304. ПОЛТАВСКАЯ РАЙОННАЯ АПТЕКА №1 КП (Украина, Полтава)</t>
  </si>
  <si>
    <t>01305. КОРНИЕНКО АННА СТЕПАНОВНА ФЛП (Украина, Лубны)</t>
  </si>
  <si>
    <t>01306. БЕРЕЗКА-2000 ООО (Украина, Киев)</t>
  </si>
  <si>
    <t>01307. БОДЮЛ МАРИЯ МИХАЙЛОВНА ФЛП (Украина, Теплодар)</t>
  </si>
  <si>
    <t>01308. КВАША ОКСАНА ВЯЧЕСЛАВОВНА ФЛП (Украина, Николаев)</t>
  </si>
  <si>
    <t>01309. АПТЕКА №242 КП (Украина, Новояворовск)</t>
  </si>
  <si>
    <t>01310. ВОЛЫНЬ ЦМ ЧФ (Украина, Ровно)</t>
  </si>
  <si>
    <t>01311. ПАЩЕНКО ЛИДИЯ ИВАНОВНА ФЛП (Украина, Москаленки)</t>
  </si>
  <si>
    <t>01312. БЕЗЫМА ОЛЕГ ФЕДОРОВИЧ ФЛП (Украина, Кобеляки)</t>
  </si>
  <si>
    <t>01313. ЛИСНЕВСКАЯ ИННА ВЛАДИМИРОВНА ФЛП (Украина, Павлоград)</t>
  </si>
  <si>
    <t>01314. ЛУКАШИВ ЛАРИСА ЛЬВОВНА ФЛП (Украина, Скала-Подольская)</t>
  </si>
  <si>
    <t>01315. ЕФРЕМОВ ЮРИЙ ВАЛЕНТИНОВИЧ ФЛП (Украина, Коростышев)</t>
  </si>
  <si>
    <t>01316. ФЕЕР МИХАИЛ ИВАНОВИЧ ФЛП (Украина, Угля)</t>
  </si>
  <si>
    <t>01317. ГАРДУБЕЙ ИРИНА ИВАНОВНА ФЛП (Украина, Залужье)</t>
  </si>
  <si>
    <t>01318. ОГРЕНИЧ АЛЕКСАНДР ИВАНОВИЧ ФЛП (Украина, Клещинцы)</t>
  </si>
  <si>
    <t>01319. БЕЛЕЦКАЯ НАДЕЖДА ВАСИЛЬЕВНА ФЛП (Украина, Рокосово)</t>
  </si>
  <si>
    <t>01320. ДМИТРИШИН НАЗАРИЙ АНДРЕЕВИЧ ФЛП (Украина, Должка)</t>
  </si>
  <si>
    <t>01321. СОРОЧАН ЕКАТЕРИНА ВИТАЛЬЕВНА ФЛП (Украина, Тернополь)</t>
  </si>
  <si>
    <t>01322. АПТЕКА КИАВО МЧП (Украина, Киев)</t>
  </si>
  <si>
    <t>01323. МАРТЫНЮК МАКСИМ ГЕОРГИЕВИЧ ФЛП (Украина, Банилов-Подгорный)</t>
  </si>
  <si>
    <t>01324. ЛЯЧ ЛЮДМИЛА ВЛАДИМИРОВНА ФЛП (Украина, Великая Косница)</t>
  </si>
  <si>
    <t>01325. АТАМАСЬ ИРИНА СЕРГЕЕВНА ФЛП (Украина, Дубиевка)</t>
  </si>
  <si>
    <t>01326. ПАНЬКОВИЧ МАРИЯ МИХАЙЛОВНА ФЛП (Украина, Березники)</t>
  </si>
  <si>
    <t>01327. ДОЛГАЯ АЛЕКСАНДРА ВЛАДИМИРОВНА ФЛП (Украина, Одесса)</t>
  </si>
  <si>
    <t>01328. УКРМЕДФАРМ ЧАО (Украина, Киев)</t>
  </si>
  <si>
    <t>01329. БАБИЙ ТАТЬЯНА ЮРЬЕВНА ФЛП (Украина, Великая Косница)</t>
  </si>
  <si>
    <t>01330. ВИСКО ООО (Украина, Кривой Рог)</t>
  </si>
  <si>
    <t>01331. ЛУЧКА ЕВА ИВАНОВНА ФЛП (Украина, Збараж)</t>
  </si>
  <si>
    <t>01332. КОВАЛЬ (АВТОТЕХСЕРВИС) ООО (Украина, Побережье)</t>
  </si>
  <si>
    <t>01333. ДАВИДЮК ТАТЬЯНА ЯКОВЛЕВНА ФЛП (Украина, Липники)</t>
  </si>
  <si>
    <t>01334. БАЛАЕВА ЛИНА ИВАНОВНА ФЛП (Украина, Носовка)</t>
  </si>
  <si>
    <t>01335. ЗАДИЛ-СЕРВИС ЧП (Украина, Подпечеры)</t>
  </si>
  <si>
    <t>01336. ПЕЛЬВЕЦКАЯ АЛИНА ВИТАЛЬЕВНА ФЛП (Украина, Чортков)</t>
  </si>
  <si>
    <t>01337. ЦИНДА СЕРГЕЙ ВЛАДИМИРОВИЧ ФЛП (Украина, Домантово)</t>
  </si>
  <si>
    <t>01338. ЧУБЕНКО ИВАН ЛЕОНИДОВИЧ ФЛП (Украина, Ромны)</t>
  </si>
  <si>
    <t>01339. ЛЕМЕНТОВСКАЯ ЛЮДМИЛА ПЕТРОВНА ФЛП (Украина, Умань)</t>
  </si>
  <si>
    <t>01340. КУКУ АЛЕКСАНДР ВЛАДИМИРОВИЧ ФЛП (Украина, Черновцы)</t>
  </si>
  <si>
    <t>01341. ВОЛОШИН НАТАЛИЯ ВЛАДИМИРОВНА ФЛП (Украина, Ольховцы)</t>
  </si>
  <si>
    <t>01342. РОМАНИВ МИХАИЛ МИХАЙЛОВИЧ ФЛП (Украина, Смолино)</t>
  </si>
  <si>
    <t>01343. ГНАТИВ МАРИЯ БОГДАНОВНА ФЛП (Украина, Увисла)</t>
  </si>
  <si>
    <t>01344. ГУДЗЬ СЕРГЕЙ АНАТОЛЬЕВИЧ ФЛП (Украина, Решетиловка)</t>
  </si>
  <si>
    <t>01345. КУРНИЦКАЯ ИРИНА ВЛАДИМИРОВНА ФЛП (Украина, Тернополь)</t>
  </si>
  <si>
    <t>01346. ПАЛАГНЮК ЯНА ИГОРЕВНА ФЛП (Украина, Коломыя)</t>
  </si>
  <si>
    <t>01347. АФАНАСЬЕВА ИВАННА ИВАНОВНА ФЛП (Украина, Новояворовск)</t>
  </si>
  <si>
    <t>01348. ГЛОРИЯ МЧП (Украина, Острог)</t>
  </si>
  <si>
    <t>01349. СОФИЯ ООО (Украина, Одесса)</t>
  </si>
  <si>
    <t>01350. БРАТ-ВМ ООО (Украина, Монастырище)</t>
  </si>
  <si>
    <t>01351. РЫБАЛКО АЛИНА АЛЕКСАНДРОВНА ФЛП (Украина, Ганичи)</t>
  </si>
  <si>
    <t>01352. ПРОЦЕНКО ТАТЬЯНА НИКОЛАЕВНА ФЛП (Украина, Мерефа)</t>
  </si>
  <si>
    <t>01353. ПИЛИПЕНКО ВЯЧЕСЛАВ АНАТОЛЬЕВИЧ ФЛП (Украина, Корсунь-Шевченковский)</t>
  </si>
  <si>
    <t>01354. РУДЯК ТАТЬЯНА ЛЕОНОВНА ФЛП (Украина, Черновцы)</t>
  </si>
  <si>
    <t>01355. ФАРМАМЕД СУНП ООО (Украина, Коломыя)</t>
  </si>
  <si>
    <t>01356. ДИОСКУРС ООО (Украина, Киев)</t>
  </si>
  <si>
    <t>01357. ДЕРУГА ТАТЬЯНА НИКОЛАЕВНА ФЛП (Украина, Шостка)</t>
  </si>
  <si>
    <t>01358. СТРЕЛЬЦОВА НАТАЛЬЯ ГРИГОРЬЕВНА ФЛП (Украина, Котельва)</t>
  </si>
  <si>
    <t>01359. СИНИЦА ХЕЛЗ ООО (Украина, Медвин)</t>
  </si>
  <si>
    <t>01360. ЧУЙКО АНАСТАСИЯ ВИКТОРОВНА ФЛП (Украина, Кегичевка)</t>
  </si>
  <si>
    <t>01361. ФАРММЕДАЛЬЯНС ООО (Украина, Киев)</t>
  </si>
  <si>
    <t>01362. ФЕДЧИШИН НАДЕЖДА ЛЮБОМИРОВНА ФЛП (Украина, Тернополь)</t>
  </si>
  <si>
    <t>01363. КУЛИЕВ ВАХАБ РАМАЗАН ОГЛЫ ФЛП (Украина, Харьков)</t>
  </si>
  <si>
    <t>01364. ОХРИМЕНКО СЕРГЕЙ АНДРЕЕВИЧ ФЛП (Украина, Боромля)</t>
  </si>
  <si>
    <t>01365. ОЗИЙЧУК ВИКТОРИЯ СЕРГЕЕВНА ФЛП (Украина, Сосновое)</t>
  </si>
  <si>
    <t>01366. ЛИКИ БОЖОИ АПТЕКИ ООО (Украина, Лохово)</t>
  </si>
  <si>
    <t>01367. СТЕЛЛА-ФАРМ ООО (Украина, Житомир)</t>
  </si>
  <si>
    <t>01368. ЧАБАН РОКСОЛАНА ВАСИЛЬЕВНА ФЛП (Украина, Львов)</t>
  </si>
  <si>
    <t>01369. СТЕЦЮК ОЛЬГА НИКОЛАЕВНА ФЛП (Украина, Великие Окнины)</t>
  </si>
  <si>
    <t>01370. ТОДЕРИКО НИКОЛАЙ ЛАВРЕНТЬЕВИЧ ФЛП (Украина, Грозинцы)</t>
  </si>
  <si>
    <t>01371. ЗАМРИКА ЛЮДМИЛА ВИКТОРОВНА ФЛП (Украина, Веселиново)</t>
  </si>
  <si>
    <t>01372. РИЗНИЧОК ОКСАНА ОРЕСТОВНА ФЛП (Украина, Тернополь)</t>
  </si>
  <si>
    <t>01373. ТОМАШ ООО (Украина, Харьков)</t>
  </si>
  <si>
    <t>01374. ИВАНИНА РОСТИСЛАВА БОГДАНОВНА ФЛП (Украина, Тернополь)</t>
  </si>
  <si>
    <t>01375. ЗАКАЛЮЖНАЯ СВЕТЛАНА ВЛАДИМИРОВНА ФЛП (Украина, Володькова Дивыця)</t>
  </si>
  <si>
    <t>01376. МОСКАЛЮК ЕВДОКИЯ ПЕТРОВНА ФЛП (Украина, Мигово)</t>
  </si>
  <si>
    <t>01377. ПАРИЙ ОЛЬГА АНАТОЛЬЕВНА ФЛП (Украина, Тернополь)</t>
  </si>
  <si>
    <t>01378. ОЛЬВИТ ООО (Украина, Одесса)</t>
  </si>
  <si>
    <t>01379. БУЖДИГАН ОКСАНА ВЛАДИМИРОВНА ФЛП (Украина, Липовка)</t>
  </si>
  <si>
    <t>01380. ОСИПЧУК ОЛЕГ ИОСИФОВИЧ ФЛП (Украина, Васильковка)</t>
  </si>
  <si>
    <t>01381. КУРУЦ ЕЛИЗАВЕТА МИХАЙЛОВНА ФЛП (Украина, Нижнее Болотное)</t>
  </si>
  <si>
    <t>01382. СЕМЕНЮК АЛЕКСАНДРА ВАСИЛЬЕВНА ФЛП (Украина, Коломыя)</t>
  </si>
  <si>
    <t>01383. МАРТИН БАУЕР ГРУПП (Германия, Фестенбергсгройт)</t>
  </si>
  <si>
    <t>01384. КАЗИБРОД ВЛАДИМИР НИКОЛАЕВИЧ ФЛП (Украина, Болград)</t>
  </si>
  <si>
    <t>01385. МАРКИНА ВАЛЕНТИНА ВЛАДИМИРОВНА ФЛП (Украина, Бориня)</t>
  </si>
  <si>
    <t>01386. ПРЕМЬЕРМЕД ДП (Украина, Киев)</t>
  </si>
  <si>
    <t>01387. МАНДЗЮК АЛЛА ПАВЛОВНА ФЛП (Украина, Соколовка)</t>
  </si>
  <si>
    <t>01388. МИТНИК ГАЛИНА НИКОЛАЕВНА ФЛП (Украина, Высокое)</t>
  </si>
  <si>
    <t>01389. НАЛИВАЙКО ЛЮБОВЬ ИВАНОВНА ФЛП (Украина, Понорница)</t>
  </si>
  <si>
    <t>01390. ВАЙДИЧ ВИКТОР ФЕДОРОВИЧ ФЛП (Украина, Брыков)</t>
  </si>
  <si>
    <t>01391. МАСЛОВСКАЯ ЕЛЕНА НИКОЛАЕВНА ФЛП (Украина, Надлак)</t>
  </si>
  <si>
    <t>01392. ЧУЙКО ЗИНАИДА ИВАНОВНА ФЛП (Украина, Сумы)</t>
  </si>
  <si>
    <t>01393. МЕДИЦИНСКАЯ ЛАБОРАТОРИЯ СИМЕСТА ЧП (Украина, Одесса)</t>
  </si>
  <si>
    <t>01394. МАРТЫНЮК ИВАН ВАСИЛЬЕВИЧ ФЛП (Украина, Ходоров)</t>
  </si>
  <si>
    <t>01395. ВИОЛА МЕДТЕХНИКА ООО (Украина, Полтава)</t>
  </si>
  <si>
    <t>01396. ОЛЕКСИЙЧУК ДМИТРИЙ ВАСИЛЬЕВИЧ ФЛП (Украина, Ситковцы)</t>
  </si>
  <si>
    <t>01397. ОСТРИКОВА ВИКТОРИЯ ВИКТОРОВНА ФЛП (Украина, Доброслав)</t>
  </si>
  <si>
    <t>01398. ХАМУЛА ГАЛИНА НИКОЛАЕВНА ФЛП (Украина, Красное)</t>
  </si>
  <si>
    <t>01399. ЛИКМЕД ЧП (Украина, Борисполь)</t>
  </si>
  <si>
    <t>01400. ФЕДЬКИВ МИХАИЛ ВАСИЛЬЕВИЧ ФЛП (Украина, Львов)</t>
  </si>
  <si>
    <t>01401. Завод ХИМИКО-ФАРМАЦЕВТИЧЕСКИЙ БОРЩАГОВСКИЙ ПАО НПЦ (Украина, Киев)</t>
  </si>
  <si>
    <t>01402. КОЛЕСНИК ВАЛЕНТИНА ВАСИЛЬЕВНА ФЛП (Украина, Ольшана)</t>
  </si>
  <si>
    <t>01403. ЗАКУСИЛОВА ЮЛИЯ ИВАНОВНА ФЛП (Украина, Словечно)</t>
  </si>
  <si>
    <t>01404. ФОРКОШ ЖУЖАННА АДАЛЬБЕРТОВНА ФЛП (Украина, Вышково)</t>
  </si>
  <si>
    <t>01405. БОБРОВНИК СВЕТЛАНА ВЛАДИМИРОВНА ФЛП (Украина, Олевск)</t>
  </si>
  <si>
    <t>01406. АПТЕКА ВИКТОРИЯ ПЛЮС ООО (Украина, Киев)</t>
  </si>
  <si>
    <t>01407. ПАНАХИДА ЕЛЕНА НИКОЛАЕВНА ФЛП (Украина, Трускавец)</t>
  </si>
  <si>
    <t>01408. РОДОС ООО (Украина, Тернополь)</t>
  </si>
  <si>
    <t>01409. КУТАСЕВИЧ И СЫН ЧП (Украина, Львов)</t>
  </si>
  <si>
    <t>01410. АПТЕКА №92 ЧП (Украина, Каменец-Подольский)</t>
  </si>
  <si>
    <t>01411. АПТЕКА №2 КП (Украина, Черновцы)</t>
  </si>
  <si>
    <t>01412. МАШАРОВА ЛИЛИЯ ГЕННАДИЕВНА ФЛП (Украина, Николаев)</t>
  </si>
  <si>
    <t>01413. АПТЕКА №96 ООО (Украина, Михайло-Коцюбинское)</t>
  </si>
  <si>
    <t>01414. КОСЕНЮК ВИТА АЛЕКСАНДРОВНА ФЛП (Украина, Соколовка)</t>
  </si>
  <si>
    <t>01415. ВИШНЕВСКАЯ НАТАЛИЯ КИМОВНА ФЛП (Украина, Тернополь)</t>
  </si>
  <si>
    <t>01416. МЕГА-ПОЛЮС ООО (Украина, Шептицкий)</t>
  </si>
  <si>
    <t>01417. АПТЕКА №22 КП (Украина, Львов)</t>
  </si>
  <si>
    <t>01418. ЯЦУРА АННА ИВАНОВНА ФЛП (Украина, Загатье)</t>
  </si>
  <si>
    <t>01419. ПАЩЕНКО ОКСАНА НИКОЛАЕВНА ФЛП (Украина, Желтые Воды)</t>
  </si>
  <si>
    <t>01420. ГРЕБЕНКО ОКСАНА АНТОНОВНА ФЛП (Украина, Черляны)</t>
  </si>
  <si>
    <t>01421. ИВАЩУК АНТОНИНА ПЕТРОВНА ФЛП (Украина, Иванов)</t>
  </si>
  <si>
    <t>01422. ЛИКИ-СЕРВИС ООО (Украина, Умань)</t>
  </si>
  <si>
    <t>01423. КАБАЦИЙ ВАСИЛИЙ ВАСИЛЬЕВИЧ ФЛП (Украина, Старое Давыдково)</t>
  </si>
  <si>
    <t>01424. ПАНАСЮК ИРИНА НИКОЛАЕВНА ФЛП (Украина, Татаров)</t>
  </si>
  <si>
    <t>01425. ДИМОВ ВИТАЛИЙ ИГОРЕВИЧ ФЛП (Украина, Белгород-Днестровский)</t>
  </si>
  <si>
    <t>01426. АПТЕКА №22 ЦЕНТРАЛЬНАЯ РАЙОННАЯ КП (Украина, Рожнятов)</t>
  </si>
  <si>
    <t>01427. САВЧУК ВАЛЕНТИН ГРИГОРЬЕВИЧ ФЛП (Украина, Ширяево)</t>
  </si>
  <si>
    <t>01428. ПРИСТРЕЛЬСКИЙ ВЯЧЕСЛАВ АЛЕКСАНДРОВИЧ ФЛП (Украина, Журавка)</t>
  </si>
  <si>
    <t>01429. ИГНАШИН ГАЛИНА ИГОРЕВНА ФЛП (Украина, Старые Кривотулы)</t>
  </si>
  <si>
    <t>01430. ЙОВДИЙ АНЖЕЛИКА ИВАНОВНА ФЛП (Украина, Нижняя Апша)</t>
  </si>
  <si>
    <t>01431. СЕМКИВ СВЕТЛАНА ИВАНОВНА ФЛП (Украина, Вараш)</t>
  </si>
  <si>
    <t>01432. МИГАС ОЛЬГА ВЛАДИМИРОВНА ФЛП (Украина, Спасское)</t>
  </si>
  <si>
    <t>01433. ЛАКУСТА ИРИНА ВАСИЛЬЕВНА ФЛП (Украина, Шипинцы)</t>
  </si>
  <si>
    <t>01434. ШКЕПУ ЕВГЕНИЙ ВАСИЛЬЕВИЧ ФЛП (Украина, Тарасовцы)</t>
  </si>
  <si>
    <t>01435. БОДНАРЧУК НАЗАР БОГДАНОВИЧ ФЛП (Украина, Паляница)</t>
  </si>
  <si>
    <t>01436. КРИВЕНКО КОНСТАНТИН АЛЕКСЕЕВИЧ ФЛП (Украина, Смела)</t>
  </si>
  <si>
    <t>01437. КРЫЖАНОВСКАЯ ЕЛЕНА ВЛАДИМИРОВНА ФЛП (Украина, Березовка)</t>
  </si>
  <si>
    <t>01438. ТАРАСОВА ЮЛИЯ ВАСИЛЬЕВНА ФЛП (Украина, Пустовойтово)</t>
  </si>
  <si>
    <t>01439. НАСИБОВА ОКСАНА ВИКТОРОВНА ФЛП (Украина, Днепр)</t>
  </si>
  <si>
    <t>01440. КАРПЕНКО ИГОРЬ АНАТОЛЬЕВИЧ ФЛП (Украина, Тальное)</t>
  </si>
  <si>
    <t>01441. ДАРЬЯ ФАРМ ООО (Украина, Марганец)</t>
  </si>
  <si>
    <t>01442. КУБА ИННА НИКОЛАЕВНА ФЛП (Украина, Черномин)</t>
  </si>
  <si>
    <t>01443. АПТЕКА №4 ЦЕНТРАЛЬНАЯ РАЙОННАЯ КП (Украина, Бородянка)</t>
  </si>
  <si>
    <t>01444. КРАВЕЦ АЛИНА ВИКТОРОВНА ФЛП (Украина, Перерослое)</t>
  </si>
  <si>
    <t>01445. МАРИНА АНИШОАРА МИХАЙЛОВНА ФЛП (Украина, Солотвино)</t>
  </si>
  <si>
    <t>01446. ГЛУЩЕНКО ВИКТОР ДМИТРИЕВИЧ ФЛП (Украина, Ромны)</t>
  </si>
  <si>
    <t>01447. АВИЦЕННА ООО (Украина, Ужгород)</t>
  </si>
  <si>
    <t>01448. МАРАХОВСКАЯ НАТАЛИЯ ПАВЛОВНА ФЛП (Украина, Балаклея)</t>
  </si>
  <si>
    <t>01449. БОНДАРЕНКО ОЛЬГА АЛЕКСАНДРОВНА ФЛП (Украина, Еланец)</t>
  </si>
  <si>
    <t>01450. МИСАРОШ МИХАИЛ ФЕДОРОВИЧ ФЛП (Украина, Чумалево)</t>
  </si>
  <si>
    <t>01451. МЕДИАН СВИТ ООО (Украина, Киев)</t>
  </si>
  <si>
    <t>01452. ЩЕРБАК НАДЕЖДА НИКОЛАЕВНА ФЛП (Украина, Коломыя)</t>
  </si>
  <si>
    <t>01453. ВАРГА БЕАТА КАРЛОВНА ФЛП (Украина, Вышково)</t>
  </si>
  <si>
    <t>01454. ПОЛИЩУК НАДЕЖДА ВЛАДИМИРОВНА ФЛП (Украина, Шепетовка)</t>
  </si>
  <si>
    <t>01455. БАЛАБАНОВА ЮЛИЯ ВИКТОРОВНА ФЛП (Украина, Причерноморское)</t>
  </si>
  <si>
    <t>01456. РОМАНИВ ОЛЬГА НИКОЛАЕВНА ФЛП (Украина, Малая Виска)</t>
  </si>
  <si>
    <t>01457. КАЛИНЮК АЛЕКСАНДР АЛЕКСАНДРОВИЧ ФЛП (Украина, Глыбокая)</t>
  </si>
  <si>
    <t>01458. КОДИЦА ИВАННА ДМИТРИЕВНА ФЛП (Украина, Долгополье)</t>
  </si>
  <si>
    <t>01459. ЕРКИНА ЯНА АНАТОЛИЕВНА ФЛП (Украина, Короп)</t>
  </si>
  <si>
    <t>01460. ШКУРАПЕТ СВЕТЛАНА АЛЕКСЕЕВНА ФЛП (Украина, Манжелия)</t>
  </si>
  <si>
    <t>01461. ГАЛАЩЕНКО ЖАННА ПОРФИРЬЕВНА ФЛП (Украина, Маньковка)</t>
  </si>
  <si>
    <t>01462. ЧУМАЧЕНКО ДИАНА ВИКТОРОВНА ФЛП (Украина, Болград)</t>
  </si>
  <si>
    <t>01463. СВИТФАРМ УКРАИНА ООО (Украина, Обухов)</t>
  </si>
  <si>
    <t>01464. МИКОЛЕНКО АННА СЕРГЕЕВНА ФЛП (Украина, Пески)</t>
  </si>
  <si>
    <t>01465. ПАЛИЙ НИКОЛАЙ АЛЕКСЕЕВИЧ ФЛП (Украина, Тараканов)</t>
  </si>
  <si>
    <t>01466. МАРЫНЯК МАРТА ИГОРЕВНА ФЛП (Украина, Винники)</t>
  </si>
  <si>
    <t>01467. АПТЕКА №20 ООО (Украина, Днепр)</t>
  </si>
  <si>
    <t>01468. ВАКО МФФ ООО (Украина, Черновцы)</t>
  </si>
  <si>
    <t>01469. ИВАШКЕВИЧ ЛАРИСА ВАСИЛЬЕВНА ФЛП (Украина, Тетиев)</t>
  </si>
  <si>
    <t>01470. ДЕМИЧЕВА ЕКАТЕРИНА ВИКТОРОВНА ФЛП (Украина, Измаил)</t>
  </si>
  <si>
    <t>01471. ШИВА ЛАРИСА ГЕОРГИЕВНА ФЛП (Украина, Светлогорское)</t>
  </si>
  <si>
    <t>01472. ФИЛЬ ЛЕОНИД НИКОЛАЕВИЧ ФЛП (Украина, Синельниково)</t>
  </si>
  <si>
    <t>01473. КОВАЛЬЧУК ОЛЬГА ВЛАДИМИРОВНА ФЛП (Украина, Бараши)</t>
  </si>
  <si>
    <t>01474. ДОБРИЦКИЙ РУСЛАН АЛЕКСАНДРОВИЧ ФЛП (Украина, Днепр)</t>
  </si>
  <si>
    <t>01475. БУЧКОВСКАЯ ЛЕСЯ ИВАНОВНА ФЛП (Украина, Градовка)</t>
  </si>
  <si>
    <t>01476. СИНИЦА НИКОЛАЙ АНАТОЛЬЕВИЧ ФЛП (Украина, Жашков)</t>
  </si>
  <si>
    <t>01477. ПЕЛЮХ ИННА БОРИСОВНА ФЛП (Украина, Городенка)</t>
  </si>
  <si>
    <t>01478. РУМЯНЦЕВА ОЛЬГА МИХАЙЛОВНА ФЛП (Украина, Киев)</t>
  </si>
  <si>
    <t>01479. АНТОШИК ВАСИЛИЙ ВАСИЛЬЕВИЧ ФЛП (Украина, Стрелки)</t>
  </si>
  <si>
    <t>01480. ТИРСКАЯ МАРЬЯНА ВАСИЛЬЕВНА ФЛП (Украина, Добротов)</t>
  </si>
  <si>
    <t>01481. РАЙЧЕВА ДАРЬЯ САФРОНОВНА ФЛП (Украина, Великая Михайловка)</t>
  </si>
  <si>
    <t>01482. СМИРНОВА ОЛЬГА ВИКТОРОВНА ФЛП (Украина, Белая Церковь)</t>
  </si>
  <si>
    <t>01483. КОЖУХОВСКАЯ АЛИНА ВИКТОРОВНА ФЛП (Украина, Агрономичное)</t>
  </si>
  <si>
    <t>01484. ДМИТРЕНКО ИГОРЬ АНАТОЛЬЕВИЧ ФЛП (Украина, Богородчаны)</t>
  </si>
  <si>
    <t>01485. ИВОДЕНТ ООО (Украина, Ивано-Франковск)</t>
  </si>
  <si>
    <t>01486. ДАН АННА ВАСИЛЬЕВНА ФЛП (Украина, Нижняя Апша)</t>
  </si>
  <si>
    <t>01487. ОВРАМЕЦ ВЕРОНИКА АНДРЕЕВНА ФЛП (Украина, Кривой Рог)</t>
  </si>
  <si>
    <t>01488. ЛЫСАЯ НАТАЛЬЯ АЛЕКСАНДРОВНА ФЛП (Украина, Тячев)</t>
  </si>
  <si>
    <t>01489. ЭСКУЛАП ООО (Украина, Белгород-Днестровский)</t>
  </si>
  <si>
    <t>01490. ЛАДЫГИН МИХАИЛ АНАТОЛЬЕВИЧ ФЛП (Украина, Гавриловка)</t>
  </si>
  <si>
    <t>01491. ГУБЧУК ВИКТОРИЯ АНДРЕЕВНА ФЛП (Украина, Ростоки)</t>
  </si>
  <si>
    <t>01492. КНЫШ ОЛЬГА СТЕПАНОВНА ФЛП (Украина, Чортков)</t>
  </si>
  <si>
    <t>01493. КОСТЕЛКО АНАТОЛИЙ АНАТОЛЬЕВИЧ ФЛП (Украина, Хмельницкий)</t>
  </si>
  <si>
    <t>01494. УГРИНЧУК НИКОЛАЙ НИКОЛАЕВИЧ ФЛП (Украина, Нижний Вербиж)</t>
  </si>
  <si>
    <t>01495. ФЕНИКС-ПРО ЧП (Украина, Добровеличковка)</t>
  </si>
  <si>
    <t>01496. ЕВДОКИМОВА ТАТЬЯНА ВЛАДИМИРОВНА ФЛП (Украина, Одесса)</t>
  </si>
  <si>
    <t>01497. ЖУК ТАРАС ВАЛЕРЬЕВИЧ ФЛП (Украина, Радехов)</t>
  </si>
  <si>
    <t>01498. ЛИТВИНОВА ЛИЛИЯ БОРИСОВНА ФЛП (Украина, Яворов)</t>
  </si>
  <si>
    <t>01499. АРНИКА ВТФ ООО (Украина, Краматорск)</t>
  </si>
  <si>
    <t>01500. ПРИШЛЯК ЮЛИЯ ПЕТРОВНА ФЛП (Украина, Великая Березовица)</t>
  </si>
  <si>
    <t>01501. ВАКУЛЮК ОКСАНА ИВАНОВНА ФЛП (Украина, Белая Церковь)</t>
  </si>
  <si>
    <t>01502. ЖЕЖКУН ОКСАНА НИКОЛАЕВНА ФЛП (Украина, Батурин)</t>
  </si>
  <si>
    <t>01503. ГАПОНОВ ВИКТОР ПЕТРОВИЧ ФЛП (Украина, Коцюбинское)</t>
  </si>
  <si>
    <t>01504. ДЬОРДЯЙ НАТАЛИЯ ВАСИЛЬЕВНА ФЛП (Украина, Добрянское)</t>
  </si>
  <si>
    <t>01505. КРАСНЯН НАТАЛИЯ АНАТОЛЬЕВНА ФЛП (Украина, Николаевка)</t>
  </si>
  <si>
    <t>01506. КОПА ЮРИЙ АНАТОЛЬЕВИЧ ФЛП (Украина, Бахмач)</t>
  </si>
  <si>
    <t>01507. ПАВЛЮК ТАРАС ГРИГОРЬЕВИЧ ФЛП (Украина, Сарны)</t>
  </si>
  <si>
    <t>01508. СЕМИНА ТАТЬЯНА ИГОРЕВНА ФЛП (Украина, Кривой Рог)</t>
  </si>
  <si>
    <t>01509. БАРОНЕНКО ПАВЕЛ ВЛАДИМИРОВИЧ ФЛП (Украина, Прилуки)</t>
  </si>
  <si>
    <t>01510. АПТЕКА МЕЖБОЛЬНИЧНАЯ КП (Украина, Корец)</t>
  </si>
  <si>
    <t>01511. БАЙДА ВАЛЕНТИНА МИХАЙЛОВНА ФЛП (Украина, Корсунь-Шевченковский)</t>
  </si>
  <si>
    <t>01512. САВЧУК УЛЬЯНА ВАСИЛЬЕВНА ФЛП (Украина, Спас)</t>
  </si>
  <si>
    <t>01513. БУНДЗЯК ВЛАДИМИР РОМАНОВИЧ ФЛП (Украина, Обертин)</t>
  </si>
  <si>
    <t>01514. ФЕДЮК ВЛАДИМИР ПЕТРОВИЧ ФЛП (Украина, Гойчье)</t>
  </si>
  <si>
    <t>01515. МАТИИВ ИГОРЬ ВЛАДИМИРОВИЧ ФЛП (Украина, Долина)</t>
  </si>
  <si>
    <t>01516. ЛЕВИТСКИЙ БОГДАН ВЛАДИМИРОВИЧ ФЛП (Украина, Немешаево)</t>
  </si>
  <si>
    <t>01517. СТЕЦКАЯ НАТАЛИЯ НЕСТЕРОВНА ФЛП (Украина, Залещики)</t>
  </si>
  <si>
    <t>01518. КАРДАШ НАТАЛИЯ АЛЕКСАНДРОВНА ФЛП (Украина, Добровеличковка)</t>
  </si>
  <si>
    <t>01519. ЖАБОКРИЦКАЯ АННА МИХАЙЛОВНА ФЛП (Украина, Крыжополь)</t>
  </si>
  <si>
    <t>01520. ДРОГОМИРЕЦКАЯ НАТАЛИЯ ДМИТРИЕВНА ФЛП (Украина, Яблонов)</t>
  </si>
  <si>
    <t>01521. ЗАБРОДСКАЯ АННА СТЕПАНОВНА ФЛП (Украина, Сосновка)</t>
  </si>
  <si>
    <t>01522. МУЛЯР НАТАЛИЯ СЕРГЕЕВНА ФЛП (Украина, Городковка)</t>
  </si>
  <si>
    <t>01523. МАЦКУЛЯК НИКОЛАЙ ВАСИЛЬЕВИЧ ФЛП (Украина, Юрковцы)</t>
  </si>
  <si>
    <t>01524. ТОПЧАН НАТАЛЬЯ ВАСИЛЬЕВНА ФЛП (Украина, Шпили)</t>
  </si>
  <si>
    <t>01525. МАНЕВСКАЯ СВЕТЛАНА НИКОЛАЕВНА ФЛП (Украина, Киев)</t>
  </si>
  <si>
    <t>01526. СУЧИНСКАЯ РУСЛАНА РОМАНОВНА ФЛП (Украина, Настасов)</t>
  </si>
  <si>
    <t>01527. ГУЛЯК ГАЛИНА ВЛАДИМИРОВНА ФЛП (Украина, Ивано-Франковск)</t>
  </si>
  <si>
    <t>01528. ОБЛАСТНАЯ СПЕЦИАЛИЗИРОВАННАЯ АПТЕКА №1 КП (Украина, Винница)</t>
  </si>
  <si>
    <t>01529. БЕСАГА МАРИЯ МИХАЙЛОВНА ФЛП (Украина, Великие Лучки)</t>
  </si>
  <si>
    <t>01530. ОПАЛЬКО МИРОСЛАВА НИКОЛАЕВНА ФЛП (Украина, Виры)</t>
  </si>
  <si>
    <t>01531. ПЕНХЕРСКАЯ ИРИНА ИГОРЕВНА ФЛП (Украина, Судовая Вишня)</t>
  </si>
  <si>
    <t>01532. КАМПУС К ЧФ (Украина, Кропивницкий)</t>
  </si>
  <si>
    <t>01533. СЕБ-ФАРМАЦИЯ ЧП (Украина, Киев)</t>
  </si>
  <si>
    <t>01534. ТРОФИМОВА СВЕТЛАНА ИВАНОВНА ФЛП (Украина, Николаев)</t>
  </si>
  <si>
    <t>01535. ЕВДОКИЯ ЧП (Украина, Лиманское)</t>
  </si>
  <si>
    <t>01536. ДЬОРДЯЙ ЛЮДМИЛА МИХАЙЛОВНА ФЛП (Украина, Ольховцы)</t>
  </si>
  <si>
    <t>01537. ТЫТЮК ИННА ВЛАДИМИРОВНА ФЛП (Украина, Очаков)</t>
  </si>
  <si>
    <t>01538. ЛАГНО АНДРЕЙ ИВАНОВИЧ ФЛП (Украина, Новояворовск)</t>
  </si>
  <si>
    <t>01539. Колледж медицинский профессиональный (Украина, Чортков)</t>
  </si>
  <si>
    <t>01540. МАРИНА АННА ВАСИЛЬЕВНА ФЛП (Украина, Нижняя Апша)</t>
  </si>
  <si>
    <t>01541. ВЕГЕРА АЛЕКСАНДР ПЕТРОВИЧ ФЛП (Украина, Кривое Озеро)</t>
  </si>
  <si>
    <t>01542. ЧЕРНЯЕВА ТАТЬЯНА ОЛЕГОВНА ФЛП (Украина, Киев)</t>
  </si>
  <si>
    <t>01543. ГЕГЕДИШ ТАТЬЯНА НИКОЛАЕВНА ФЛП (Украина, Королево)</t>
  </si>
  <si>
    <t>01544. КОСТЮЧКО АЛЛА НИКОЛАЕВНА ФЛП (Украина, Млинов)</t>
  </si>
  <si>
    <t>01545. ИСКЯНДАРОВА ТАТЬЯНА ВИКТОРОВНА ФЛП (Украина, Коростень)</t>
  </si>
  <si>
    <t>01546. СУКМАНОВСКАЯ ЛЮДМИЛА ВИКТОРОВНА ФЛП (Украина, Черновцы)</t>
  </si>
  <si>
    <t>01547. КУЧЕРЯВАЯ ОЛЬГА ВИТАЛЬЕВНА ФЛП (Украина, Наталино)</t>
  </si>
  <si>
    <t>01548. Госпиталь КРАСНОГО КРЕСТА УКРАИНЫ ООО (Украина, Николаев)</t>
  </si>
  <si>
    <t>01549. ДЗЮБА ВИТА АНАТОЛЬЕВНА ФЛП (Украина, Ворожба)</t>
  </si>
  <si>
    <t>01550. БЛИЗНЮК ЛЮБОВЬ ИВАНОВНА ФЛП (Украина, Старый Косов)</t>
  </si>
  <si>
    <t>01551. БИСОВЕЦКАЯ АЛЕКСАНДРА МИХАЙЛОВНА ФЛП (Украина, Белогорье)</t>
  </si>
  <si>
    <t>01552. СЕМЕНЮК ИГОРЬ ВИКТОРОВИЧ ФЛП (Украина, Турка)</t>
  </si>
  <si>
    <t>01553. ДРАНОВСКАЯ ТАТЬЯНА МИХАЙЛОВНА ФЛП (Украина, Трускавец)</t>
  </si>
  <si>
    <t>01554. СТРАТЕНЧУК ВАЛЕНТИНА НИКОЛАЕВНА ФЛП (Украина, Кривой Рог)</t>
  </si>
  <si>
    <t>01555. ГЕРАСИМЕНКО СВЕТЛАНА НИКОЛАЕВНА ФЛП (Украина, Макеевка)</t>
  </si>
  <si>
    <t>01556. ЦЕХОЦКИЙ АРТУР АЛЕКСАНДРОВИЧ ФЛП (Украина, Березанка)</t>
  </si>
  <si>
    <t>01557. БЫКОВ ЮЛИАН АЛЕКСАНДРОВИЧ ФЛП (Украина, Каменское)</t>
  </si>
  <si>
    <t>01558. ЛЮТА-ГАРАЩЕНКО ИРИНА ВАСИЛЬЕВНА ФЛП (Украина, Каменец)</t>
  </si>
  <si>
    <t>01559. БАРАТЕЙ ЛИВИЯ БЕРТОЛОНОВНА ФЛП (Украина, Малая Быйгань)</t>
  </si>
  <si>
    <t>01560. ШНИПКО ДМИТРИЙ АЛЕКСАНДРОВИЧ ФЛП (Украина, Новые Белокоровичи)</t>
  </si>
  <si>
    <t>01561. ПАХОМОВ АЛЕКСАНДР ЛЬВОВИЧ ФЛП (Украина, Сокольники)</t>
  </si>
  <si>
    <t>01562. НОВИКОВ ВИТАЛИЙ ВИКТОРОВИЧ ФЛП (Украина, Белополье)</t>
  </si>
  <si>
    <t>01563. ДРУЧКИВ РИММА ИВАНОВНА ФЛП (Украина, Косов)</t>
  </si>
  <si>
    <t>01564. ГОНЧАР АЛЕКСАНДР АЛЕКСАНДРОВИЧ ФЛП (Украина, Теофиполь)</t>
  </si>
  <si>
    <t>01565. ЛЕМЕЦ АНДРЕЙ ВИКТОРОВИЧ ФЛП (Украина, Завадовка)</t>
  </si>
  <si>
    <t>01566. КОПЫШЕВА ИРИНА ВАДИМОВНА ФЛП (Украина, Киев)</t>
  </si>
  <si>
    <t>01567. ПРИМУЛА АПТЕКА ООО (Украина, Киев)</t>
  </si>
  <si>
    <t>01568. ВАЛЕНА ООО (Украина, Киев)</t>
  </si>
  <si>
    <t>01569. ПИЛИПЕНКО АЛЕКСАНДРА СЕРГЕЕВНА ФЛП (Украина, Чумаки)</t>
  </si>
  <si>
    <t>01570. КУРИЛЕНКО НАТАЛИЯ ВЛАДИМИРОВНА ФЛП (Украина, Перещепино)</t>
  </si>
  <si>
    <t>01571. АДОНИС ООО (Украина, Одесса)</t>
  </si>
  <si>
    <t>01572. АПТЕКА №76 ЦЕНТРАЛЬНАЯ РАЙОННАЯ КП (Украина, Кривой Рог)</t>
  </si>
  <si>
    <t>01573. ЩЕГЕЛЬСКАЯ ВАЛЕНТИНА ВЛАДИМИРОВНА ФЛП (Украина, Каменец-Подольский)</t>
  </si>
  <si>
    <t>01574. ПУГАЧ АЛЕКСЕЙ ВЛАДИМИРОВИЧ ФЛП (Украина, Заводское)</t>
  </si>
  <si>
    <t>01575. КОСТЕНЕЦКАЯ ЯРОСЛАВА ВАСИЛЬЕВНА ФЛП (Украина, Ирпень)</t>
  </si>
  <si>
    <t>01576. БИЛЫК РОМАН ЮРЬЕВИЧ ФЛП (Украина, Просяная)</t>
  </si>
  <si>
    <t>01577. ЦЕНТРАЛЬНАЯ АПТЕКА №54 КП (Украина, Путила)</t>
  </si>
  <si>
    <t>01578. ГРЕХАНОВА ЛЮДМИЛА АЛЕКСЕЕВНА ФЛП (Украина, Хмельницкий)</t>
  </si>
  <si>
    <t>01579. СТЕФУРА ИРИНА ВАСИЛЬЕВНА ФЛП (Украина, Перегинское)</t>
  </si>
  <si>
    <t>01580. АПТЕКА №25 ЦЕНТРАЛЬНАЯ РАЙОННАЯ КП (Украина, Городенка)</t>
  </si>
  <si>
    <t>01581. ФИТОТЕРАПИЯ ЗУБИЦКИХ ООО (Украина, Вишневое)</t>
  </si>
  <si>
    <t>01582. ПЛАХОТНИК ЯНА ВИКТОРОВНА ФЛП (Украина, Тальное)</t>
  </si>
  <si>
    <t>01583. БАБЧЕНКО ОКСАНА НИКОЛАЕВНА ФЛП (Украина, Геронимовка)</t>
  </si>
  <si>
    <t>01584. ГЕРМАН СВЕТЛАНА ВАЛЕРЬЕВНА ФЛП (Украина, Горишние Плавни)</t>
  </si>
  <si>
    <t>01585. ПАКАНИЧ ТАМАРА ВАСИЛЬЕВНА ФЛП (Украина, Чумалево)</t>
  </si>
  <si>
    <t>01586. БАЛОГ ГЕОРГИНА ИГОРЕВНА ФЛП (Украина, Гать)</t>
  </si>
  <si>
    <t>01587. БОНДАРЧУК ИННА ВЛАДИМИРОВНА ФЛП (Украина, Бродецкое)</t>
  </si>
  <si>
    <t>01588. КРЕМЗЕРОВ АЛЕКСАНДР СЕРГЕЕВИЧ ФЛП (Украина, Новая Маячка)</t>
  </si>
  <si>
    <t>01589. КОВТУН ДМИТРИЙ ИВАНОВИЧ ФЛП (Украина, Богуслав)</t>
  </si>
  <si>
    <t>01590. КЛЕВЦОВА ВИКТОРИЯ ВИКТОРОВНА ФЛП (Украина, Бырловка)</t>
  </si>
  <si>
    <t>01591. ГРИЦАЙ ЛЮБОМИР ПЕТРОВИЧ ФЛП (Украина, Стрый)</t>
  </si>
  <si>
    <t>01592. ТОТАМЕД ЧП (Украина, Хмельницкий)</t>
  </si>
  <si>
    <t>01593. СТАВНИЙЧУК ТАТЬЯНА ИВАНОВНА ФЛП (Украина, Ивановцы)</t>
  </si>
  <si>
    <t>01594. ПРОКОПИВ ИВАН РОМАНОВИЧ ФЛП (Украина, Коломыя)</t>
  </si>
  <si>
    <t>01595. БАБИНЦУ БОРНОБАШ АДАЛЬБЕРТОВИЧ ФЛП (Украина, Вылок)</t>
  </si>
  <si>
    <t>01596. ПОЛИЩУК ТАТЬЯНА ИВАНОВНА ФЛП (Украина, Хмельницкий)</t>
  </si>
  <si>
    <t>01597. ШТАНЬКО ВИТАЛИЙ ЮРЬЕВИЧ ФЛП (Украина, Рени)</t>
  </si>
  <si>
    <t>01598. ХАРЧЕНКО АЛИНА ПЕТРОВНА ФЛП (Украина, Переяслав)</t>
  </si>
  <si>
    <t>01599. БОРТНИК АННА НИКОЛАЕВНА ФЛП (Украина, Полицы)</t>
  </si>
  <si>
    <t>01600. МИТРИЕВ ДЕМЬЯН ДЕМЬЯНОВИЧ ФЛП (Украина, Делень)</t>
  </si>
  <si>
    <t>01601. КАЗМИРЧУК ВАЛЕРИЙ ФЕОФАНОВИЧ ФЛП (Украина, Тернополь)</t>
  </si>
  <si>
    <t>01602. САНИТАС ЧП (Украина, Иваничи)</t>
  </si>
  <si>
    <t>01603. БЛАГИЯ ООО (Украина, Мирноград)</t>
  </si>
  <si>
    <t>01604. КОСТЯНЮК ЛЮДМИЛА ВАСИЛЬЕВНА ФЛП (Украина, Соболевка)</t>
  </si>
  <si>
    <t>01605. СКАЧКО ОЛЬГА ВАСИЛЬЕВНА ФЛП (Украина, Глинск)</t>
  </si>
  <si>
    <t>01606. УСЕНКО ОКСАНА АЛЕКСАНДРОВНА ФЛП (Украина, Килия)</t>
  </si>
  <si>
    <t>01607. ТЕРЕЗЮК ВИКТОР ИВАНОВИЧ ФЛП (Украина, Ободовка)</t>
  </si>
  <si>
    <t>01608. НЕСТЕРЕНКО ВАЛЕНТИНА ВАСИЛЬЕВНА ФЛП (Украина, Скороходово)</t>
  </si>
  <si>
    <t>01609. МЫШЕЛОВКА СВЕТОЗАРА ВИКТОРОВНА ФЛП (Украина, Благовещенское)</t>
  </si>
  <si>
    <t>01610. ДИКИЙ ВИКТОР ВЛАДИМИРОВИЧ ФЛП (Украина, Днепр)</t>
  </si>
  <si>
    <t>01611. ПИГУЛКА ХАУЗ ООО (Украина, Киев)</t>
  </si>
  <si>
    <t>01612. ЯКОВЕЦ КОНСТАНТИН ЭДУАРДОВИЧ ФЛП (Украина, Малинцы)</t>
  </si>
  <si>
    <t>01613. АЛЬЯНОЙ АЛЕКСАНДР АНАТОЛЬЕВИЧ ФЛП (Украина, Черновцы)</t>
  </si>
  <si>
    <t>01614. СИПРИВЫЙ ВИКТОР АЛЕКСЕЕВИЧ ФЛП (Украина, Конотоп)</t>
  </si>
  <si>
    <t>01615. ПОЛИЩУК АНАТОЛИЙ НИКОЛАЕВИЧ ФЛП (Украина, Самгородок)</t>
  </si>
  <si>
    <t>01616. КОЦАН АНДРЕЙ ЯРОСЛАВОВИЧ ФЛП (Украина, Перегинское)</t>
  </si>
  <si>
    <t>01617. ЖИТАРЮК РУСЛАНА НИКОЛАЕВНА ФЛП (Украина, Новоселица)</t>
  </si>
  <si>
    <t>01618. Компания страховая ИНГО АО (Украина, Киев)</t>
  </si>
  <si>
    <t>01619. ГВОЗДЕЦКИЙ СТЕПАН ДЕНИСОВИЧ ФЛП (Украина, Луцк)</t>
  </si>
  <si>
    <t>01620. КОЗАЧЕНКО АНДРЕЙ СЕРГЕЕВИЧ ФЛП (Украина, Добромиль)</t>
  </si>
  <si>
    <t>01621. ШИРИМОВА НАТАЛИЯ ЮРЬЕВНА ФЛП (Украина, Шабо)</t>
  </si>
  <si>
    <t>01622. КОЗАК ЕЛЕНА ИВАНОВНА ФЛП (Украина, Старый Алексинец)</t>
  </si>
  <si>
    <t>01623. ПОЛИСЕРВИС ООО (Украина, Татарбунары)</t>
  </si>
  <si>
    <t>01624. АЛЕКС-15 ООО (Украина, Великая Писаревка)</t>
  </si>
  <si>
    <t>01625. ЕРЕМА СВЕТЛАНА ГЕННАДЬЕВНА ФЛП (Украина, Ямполь)</t>
  </si>
  <si>
    <t>01626. ГЛИНКА АЛЕКСЕЙ ВАСИЛЬЕВИЧ ФЛП (Украина, Николаев)</t>
  </si>
  <si>
    <t>01627. ПРЕВЕНШН ООО (Украина, Ужгород)</t>
  </si>
  <si>
    <t>01628. СВЕТКОР МЧП (Украина, Житомир)</t>
  </si>
  <si>
    <t>01629. БУТАШ ДАРЬЯ ВЛАДИМИРОВНА ФЛП (Украина, Верхнее Водяное)</t>
  </si>
  <si>
    <t>01630. ЦЬОХА ОЛЬГА ИВАНОВНА ФЛП (Украина, Малин)</t>
  </si>
  <si>
    <t>01631. ЯСИНКО ВИТАЛИЯ ВАЛЕРЬЕВНА ФЛП (Украина, Колочава)</t>
  </si>
  <si>
    <t>01632. ДАНИЛЕЦ ЛИЛИЯ ИВАНОВНА ФЛП (Украина, Моевка)</t>
  </si>
  <si>
    <t>01633. АВИЦЕННА ФАРМ ООО (Украина, Киев)</t>
  </si>
  <si>
    <t>01634. ГУРТИК ИВАННА ИВАНОВНА ФЛП (Украина, Толстое)</t>
  </si>
  <si>
    <t>01635. АТДАЕВА МАРИНА ВИКТОРОВНА ФЛП (Украина, Мирноград)</t>
  </si>
  <si>
    <t>01636. АПТЕКА №89 ЦЕНТРАЛЬНАЯ РАЙОННАЯ ГКП (Украина, Каменка-Бугская)</t>
  </si>
  <si>
    <t>01637. ЛОГВИНЮК ИВАННА ВЛАДИМИРОВНА ФЛП (Украина, Сошичное)</t>
  </si>
  <si>
    <t>01638. ТКАЧУК ЛИЛИЯ НИКОЛАЕВНА ФЛП (Украина, Песчаная)</t>
  </si>
  <si>
    <t>01639. ШАВЛИЯ ИФ ООО (Украина, Гвоздец)</t>
  </si>
  <si>
    <t>01640. АНДРУСИШИН МИХАИЛ СЕРГЕЕВИЧ ФЛП (Украина, Лиман)</t>
  </si>
  <si>
    <t>01641. МАРКЕТПРОМРЕСУРС ЧП (Украина, Кривой Рог)</t>
  </si>
  <si>
    <t>01642. РАТУШНЯК ИГОРЬ ГРИГОРЬЕВИЧ ФЛП (Украина, Зеленогорское)</t>
  </si>
  <si>
    <t>01643. БАНГА ГАЛИНА ИВАНОВНА ФЛП (Украина, Лазы)</t>
  </si>
  <si>
    <t>01644. СУЛИМЕНКО СЕРГЕЙ АЛЕКСЕЕВИЧ ФЛП (Украина, Худяки)</t>
  </si>
  <si>
    <t>01645. ПРИСТАЧ АЛЕВТИНА ПЕТРОВНА ФЛП (Украина, Каменец-Подольский)</t>
  </si>
  <si>
    <t>01646. АПТЕКА №102 ЦЕНТРАЛЬНАЯ РАЙОННАЯ КП (Украина, Сахновщина)</t>
  </si>
  <si>
    <t>01647. ПУКАЕВИЧ НАТАЛИЯ ТРАЯНОВНА ФЛП (Украина, Шипинцы)</t>
  </si>
  <si>
    <t>01648. КУЛАКОВСКАЯ ВИКТОРИЯ ЗАХАРОВНА ФЛП (Украина, Ширяево)</t>
  </si>
  <si>
    <t>01649. КУЛИБАБА ФИЛИПП ИВАНОВИЧ ФЛП (Украина, Лиманское)</t>
  </si>
  <si>
    <t>01650. ЧЕПИЛЬ ВАСИЛИЙ ДМИТРИЕВИЧ ФЛП (Украина, Бабанка)</t>
  </si>
  <si>
    <t>01651. Больница многопрофильная городская (Украина, Тальное)</t>
  </si>
  <si>
    <t>01652. КОСТЮК ВАЛЕРИЙ ЛЕОНИДОВИЧ ФЛП (Украина, Николаев)</t>
  </si>
  <si>
    <t>01653. АПТЕКА №58 ООО (Украина, Киев)</t>
  </si>
  <si>
    <t>01654. ДЖЕНДЖЕРОВСКИЙ ЕВГЕНИЙ АНДРЕЕВИЧ ФЛП (Украина, Шешоры)</t>
  </si>
  <si>
    <t>01655. ФЕДОРКО ВАСИЛИЙ СТЕПАНОВИЧ ФЛП (Украина, Виноградов)</t>
  </si>
  <si>
    <t>01656. ЩУР ИВАННА ИГОРЕВНА ФЛП (Украина, Сходница)</t>
  </si>
  <si>
    <t>01657. ТЕРЕЩУК ОЛЕГ НИКОЛАЕВИЧ ФЛП (Украина, Степановка)</t>
  </si>
  <si>
    <t>01658. ТОМАШ АЛЛА ЮРЬЕВНА ФЛП (Украина, Кременчуг)</t>
  </si>
  <si>
    <t>01659. ЛУЧКА МИРОСЛАВА НИКОЛАЕВНА ФЛП (Украина, Ожидов)</t>
  </si>
  <si>
    <t>01660. ШПИЛЬКА АННА ИВАНОВНА ФЛП (Украина, Драгово)</t>
  </si>
  <si>
    <t>01661. ШЮТЕВ ЛИДИЯ ВАСИЛЬЕВНА ФЛП (Украина, Рокосово)</t>
  </si>
  <si>
    <t>01662. СОЛОМЫКИН ОЛЕСЯ ВАСИЛЬЕВНА ФЛП (Украина, Буштыно)</t>
  </si>
  <si>
    <t>01663. КРОХМАЛЬ НАТАЛИЯ ГРИГОРЬЕВНА ФЛП (Украина, Кривое Озеро)</t>
  </si>
  <si>
    <t>01664. ДАНИЛИЧ ДИАНА ВАСИЛЬЕВНА ФЛП (Украина, Добрянское)</t>
  </si>
  <si>
    <t>01665. СТРОЙВАНС НИНА ВАСИЛЬЕВНА ФЛП (Украина, Троянов)</t>
  </si>
  <si>
    <t>01666. ЕВТУШЕНКО ВЛАДИМИР АЛЕКСЕЕВИЧ ФЛП (Украина, Никополь)</t>
  </si>
  <si>
    <t>01667. КУКРИ АНЕТТ ТИБЕРЬЕВНА ФЛП (Украина, Форнош)</t>
  </si>
  <si>
    <t>01668. ФРУНЗА ЭСТЕРА ВИКТОРОВНА ФЛП (Украина, Иживцы)</t>
  </si>
  <si>
    <t>01669. БАБАНСКАЯ ТАТЬЯНА ВАСИЛЬЕВНА ФЛП (Украина, Треповка)</t>
  </si>
  <si>
    <t>01670. ФАРМ-ЭФФЕКТ ПЛЮС ООО (Украина, Киев)</t>
  </si>
  <si>
    <t>01671. СЕКРЕТ ВАЛЕРИЙ АЛЕКСЕЕВИЧ ФЛП (Украина, Чернобай)</t>
  </si>
  <si>
    <t>01672. СЕМКИВ ТАРАС МИХАЙЛОВИЧ ФЛП (Украина, Великий Жолудск)</t>
  </si>
  <si>
    <t>01673. ПОЛИЩУК НАТАЛЬЯ ВАСИЛЬЕВНА ФЛП (Украина, Хролин)</t>
  </si>
  <si>
    <t>01674. ТКАЛИЧ ВЛАДИСЛАВ ВИКТОРОВИЧ ФЛП (Украина, Боровая)</t>
  </si>
  <si>
    <t>01675. КОЗАРИЙЧУК ВАСИЛИЙ ДМИТРИЕВИЧ ФЛП (Украина, Репужинцы)</t>
  </si>
  <si>
    <t>01676. ДИДЕНКО СВЕТЛАНА ВЛАДИМИРОВНА ФЛП (Украина, Березнеговатое)</t>
  </si>
  <si>
    <t>01677. НЕЛИПА ВИКТОР ИВАНОВИЧ ФЛП (Украина, Корсунь-Шевченковский)</t>
  </si>
  <si>
    <t>01678. БЕРДАР АЛЕНА ПЕТРОВНА ФЛП (Украина, Иршава)</t>
  </si>
  <si>
    <t>01679. ГАУКА ВАСИЛИЙ СТЕПАНОВИЧ ФЛП (Украина, Ивано-Франковск)</t>
  </si>
  <si>
    <t>01680. КОБФАРМА ЧП (Украина, Новоалександровка)</t>
  </si>
  <si>
    <t>01681. ДИАРА ФАРМ ООО (Украина, Киев)</t>
  </si>
  <si>
    <t>01682. ФАРМАСОФТ ООО (Украина, Киев)</t>
  </si>
  <si>
    <t>01683. Центр первичной медико-санитарной помощи (Украина, Пивденноукраинск)</t>
  </si>
  <si>
    <t>01684. ДОБРОВОЛЬСКАЯ ИРИНА АЛЕКСЕЕВНА ФЛП (Украина, Жашков)</t>
  </si>
  <si>
    <t>01685. МЕДФАРМ ООО (Украина, Павлоград)</t>
  </si>
  <si>
    <t>01686. АПТЕКА КП (Украина, Радивилов)</t>
  </si>
  <si>
    <t>01687. РЯБОКОНЬ ЯНИНА ДМИТРИЕВНА ФЛП (Украина, Кропивницкий)</t>
  </si>
  <si>
    <t>01688. СЛОБОДЕНЮК ВАЛЕРИЙ ВАСИЛЬЕВИЧ ФЛП (Украина, Брусилов)</t>
  </si>
  <si>
    <t>01689. АПТЕКА №1 КП (Украина, Белая Церковь)</t>
  </si>
  <si>
    <t>01690. ПИВТОРАК ВЛАДИМИР ВАСИЛЬЕВИЧ ФЛП (Украина, Гусятин)</t>
  </si>
  <si>
    <t>01691. ШАЙКЕВИЧ ВИКТОРИЯ ВИТАЛИЕВНА ФЛП (Украина, Полтава)</t>
  </si>
  <si>
    <t>01692. ЧМУНЕВИЧ ОЛЕСЯ АЛЕКСАНДРОВНА ФЛП (Украина, Переброды)</t>
  </si>
  <si>
    <t>01693. АПТЕКА №57 ЦЕНТРАЛЬНАЯ РАЙОННАЯ КП (Украина, Городок)</t>
  </si>
  <si>
    <t>01694. НАЗАРЕНКО МАРИНА МИХАЙЛОВНА ФЛП (Украина, Петропавловская Борщаговка)</t>
  </si>
  <si>
    <t>01695. ШВЕД ИРИНА ИВАНОВНА ФЛП (Украина, Гнездычев)</t>
  </si>
  <si>
    <t>01696. ЗИНЧЕНКО НАТАЛЬЯ АЛЕКСЕЕВНА ФЛП (Украина, Сахновщина)</t>
  </si>
  <si>
    <t>01697. Центр медицинский МИРУМ КЛИНИК МИРУМ ООО (Украина, Киев)</t>
  </si>
  <si>
    <t>01698. ПОДДУБНЫЙ КОНСТАНТИН ЮРЬЕВИЧ ФЛП (Украина, Лубны)</t>
  </si>
  <si>
    <t>01699. АПТЕКА №143 ЦЕНТРАЛЬНАЯ РАЙОННАЯ ОКП (Украина, Чортков)</t>
  </si>
  <si>
    <t>01700. КУШНИР ЛЮДМИЛА НИКОЛАЕВНА ФЛП (Украина, Козлов)</t>
  </si>
  <si>
    <t>01701. ЛИЧИНДА ЭЛЬВИРА ИВАНОВНА ФЛП (Украина, Чепа)</t>
  </si>
  <si>
    <t>01702. ГРИГОРЕНКО ЮЛИЯ АЛЕКСЕЕВНА ФЛП (Украина, Звенигородка)</t>
  </si>
  <si>
    <t>01703. ГЛОБА ИРИНА МИХАЙЛОВНА ФЛП (Украина, Верхняя Сыроватка)</t>
  </si>
  <si>
    <t>01704. СИРЯНЫЙ ВИКТОР ИВАНОВИЧ ФЛП (Украина, Подгородное)</t>
  </si>
  <si>
    <t>01705. СПИКА-ФАРМ ООО (Украина, Киев)</t>
  </si>
  <si>
    <t>01706. Центр медицинский МЕД-СОЮЗ ООО (Украина, Сумы)</t>
  </si>
  <si>
    <t>01707. АПТЕКА №113 КОЛЛЕКТИВНАЯ (Украина, Торговица)</t>
  </si>
  <si>
    <t>01708. КОХАНЮК МАРИНА ГРИГОРЬЕВНА ФЛП (Украина, Ольшанка)</t>
  </si>
  <si>
    <t>01709. НАША АПТЕКА 24/7 КП (Украина, Вижница)</t>
  </si>
  <si>
    <t>01710. СИНИШИН МАРИЯ ТАРАСОВНА ФЛП (Украина, Великие Глебовичи)</t>
  </si>
  <si>
    <t>01711. ПИСКОВЕЦ ВЛАДИМИР ИВАНОВИЧ ФЛП (Украина, Журавичи)</t>
  </si>
  <si>
    <t>01712. ВОЙТКО СВЕТЛАНА МАКСИМОВНА ФЛП (Украина, Белозорье)</t>
  </si>
  <si>
    <t>01713. КОЧАНОВА ГАЛИНА ИВАНОВНА ФЛП (Украина, Украинка)</t>
  </si>
  <si>
    <t>01714. КОВАЛЕНКО ЕВГЕНИЙ НИКОЛАЕВИЧ ФЛП (Украина, Харьков)</t>
  </si>
  <si>
    <t>01715. ВИНОГРАДОВА ЮЛИЯ СЕРГЕЕВНА ФЛП (Украина, Царичанка)</t>
  </si>
  <si>
    <t>01716. РОМАНИВ ИРИНА ВЛАДИМИРОВНА ФЛП (Украина, Тернополь)</t>
  </si>
  <si>
    <t>01717. СИДАК ТАТЬЯНА ВАСИЛЬЕВНА ФЛП (Украина, Нижние Ворота)</t>
  </si>
  <si>
    <t>01718. САВЧУК ИНГА ВАСИЛЬЕВНА ФЛП (Украина, Черновцы)</t>
  </si>
  <si>
    <t>01719. БОБРОВНИК ЛЮДМИЛА ВАСИЛЬЕВНА ФЛП (Украина, Олевск)</t>
  </si>
  <si>
    <t>01720. ШЕРШЕНЮК АЛЕКСАНДР ЯКОВЛЕВИЧ ФЛП (Украина, Брацлав)</t>
  </si>
  <si>
    <t>01721. ХАНДУСЬ АННА ВИКТОРОВНА ФЛП (Украина, Корсунь-Шевченковский)</t>
  </si>
  <si>
    <t>01722. РОМАНЕНКО ЕЛЕНА МИХАЙЛОВНА ФЛП (Украина, Новые Белокоровичи)</t>
  </si>
  <si>
    <t>01723. ИВАНЕНКО НАТАЛИЯ ИВАНОВНА ФЛП (Украина, Карловка)</t>
  </si>
  <si>
    <t>01724. ХИЛЬ НАЗАР МИХАЙЛОВИЧ ФЛП (Украина, Броды)</t>
  </si>
  <si>
    <t>01725. ДЖЕНДЖЕРОВСКИЙ АНДРЕЙ ИВАНОВИЧ ФЛП (Украина, Подлужье)</t>
  </si>
  <si>
    <t>01726. КОМИЩУК ВЕРА ПЕТРОВНА ФЛП (Украина, Ковалевка)</t>
  </si>
  <si>
    <t>01727. КОНДРАТЕНКО ЛЕОНИД ВАСИЛЬЕВИЧ ФЛП (Украина, Малин)</t>
  </si>
  <si>
    <t>01728. БАРАНЯК ГАЛИНА ВАСИЛЬЕВНА ФЛП (Украина, Нагуевичи)</t>
  </si>
  <si>
    <t>01729. АПЕКС МЧП (Украина, Тернополь)</t>
  </si>
  <si>
    <t>01730. РЯБОЗАД НАДЕЖДА ЛЬВОВНА ФЛП (Украина, Лычково)</t>
  </si>
  <si>
    <t>01731. ДОБРЯНСКИЙ СЕРГЕЙ ВИКТОРОВИЧ ФЛП (Украина, Чагор)</t>
  </si>
  <si>
    <t>01732. ГАЙДАМАХА ВИТАЛИЙ ИГОРЕВИЧ ФЛП (Украина, Рожнятов)</t>
  </si>
  <si>
    <t>01733. ИЛЬНИЦКАЯ ВИКТОРИЯ ФЕДОРОВНА ФЛП (Украина, Софиевская Борщаговка)</t>
  </si>
  <si>
    <t>01734. ЛОЛИН ВАСИЛИЙ НИКОЛАЕВИЧ ФЛП (Украина, Межгорье)</t>
  </si>
  <si>
    <t>01735. БАЙДА ЛЮДМИЛА ТИМОФЕЕВНА ФЛП (Украина, Драбов)</t>
  </si>
  <si>
    <t>01736. ПОДСТАВКИНА НАТАЛИЯ НИКОЛАЕВНА ФЛП (Украина, Константиновка)</t>
  </si>
  <si>
    <t>01737. ФУРЦЕВ ВАЛЕРИЙ ГАВРИЛОВИЧ ФЛП (Украина, Луцк)</t>
  </si>
  <si>
    <t>01738. МОРДАНЬ ОКСАНА МИХАЙЛОВНА ФЛП (Украина, Яготин)</t>
  </si>
  <si>
    <t>01739. ФЕДОТОВ ЕВГЕНИЙ ГЕННАДЬЕВИЧ ФЛП (Украина, Кременчуг)</t>
  </si>
  <si>
    <t>01740. КУХАРСКАЯ НАТАЛИЯ ЮРЬЕВНА ФЛП (Украина, Жирова)</t>
  </si>
  <si>
    <t>01741. РЫМАРЕНКО ТАТЬЯНА ФЕДОРОВНА ФЛП (Украина, Радомышль)</t>
  </si>
  <si>
    <t>01742. РЕВНЮК АЛЕНА АНАТОЛЬЕВНА ФЛП (Украина, Борисполь)</t>
  </si>
  <si>
    <t>01743. ЧЕРНИК ИРИНА АНАТОЛЬЕВНА ФЛП (Украина, Николаев)</t>
  </si>
  <si>
    <t>01744. ЗИНЕНКО ОЛЬГА НИКОЛАЕВНА ФЛП (Украина, Погожая Криница)</t>
  </si>
  <si>
    <t>01745. ЗУБЬЮК ЯРОСЛАВ АНАТОЛЬЕВИЧ ФЛП (Украина, Кременец)</t>
  </si>
  <si>
    <t>01746. АПТЕКА ИМЕНИ МИТРОПОЛИТА АНДРЕЯ ШЕПТИЦКОГО ЧП (Украина, Яворов)</t>
  </si>
  <si>
    <t>01747. МАРОШИ ЭДУАРД ТИБОРОВИЧ ФЛП (Украина, Соломоново)</t>
  </si>
  <si>
    <t>01748. САНА-МЕД ООО (Украина, Харьков)</t>
  </si>
  <si>
    <t>01749. АПТЕКА ВАЛЕРИАНА ЧП (Украина, Шептицкий)</t>
  </si>
  <si>
    <t>01750. АПТЕКА №100 ЦЕНТРАЛЬНАЯ КП (Украина, Софиевка)</t>
  </si>
  <si>
    <t>01751. БРАГА КОНСТАНТИН НИКОЛАЕВИЧ ФЛП (Украина, Ахтырка)</t>
  </si>
  <si>
    <t>01752. ЗБАДИНСКАЯ-ЮР ИРИНА ВЛАДИМИРОВНА ФЛП (Украина, Ременов)</t>
  </si>
  <si>
    <t>01753. БИЛАНИК ВАСИЛИЙ ПЕТРОВИЧ ФЛП (Украина, Лысовцы)</t>
  </si>
  <si>
    <t>01754. УКР ФАРМ ООО (Украина, Киев)</t>
  </si>
  <si>
    <t>01755. САКУРА Ф ООО (Украина, Здолбунов)</t>
  </si>
  <si>
    <t>01756. КЛИМЕНКО ЛАРИСА НИКОЛАЕВНА ФЛП (Украина, Гоголево)</t>
  </si>
  <si>
    <t>01757. ПОЧАПСКАЯ ТАТЬЯНА НИКОЛАЕВНА ФЛП (Украина, Черкассы)</t>
  </si>
  <si>
    <t>01758. ПОПЕЗА АЛИНА ФЕДОРОВНА ФЛП (Украина, Новоселица)</t>
  </si>
  <si>
    <t>01759. СВИДЕРСКИЙ ЯРОСЛАВ АНАТОЛЬЕВИЧ ФЛП (Украина, Белополье)</t>
  </si>
  <si>
    <t>01760. ГЛОЖИК ЮЛИЯ ЮРЬЕВНА ФЛП (Украина, Самбор)</t>
  </si>
  <si>
    <t>01761. КРАМАР ВАСИЛИЙ ФЕОДОСИЕВИЧ ФЛП (Украина, Шостка)</t>
  </si>
  <si>
    <t>01762. ТЯГЛО РОКСОЛАНА ВАСИЛЬЕВНА ФЛП (Украина, Колоденце)</t>
  </si>
  <si>
    <t>01763. ХЛИМАНОВИЧ ЕЛЕНА АЛЕКСАНДРОВНА ФЛП (Украина, Черноморск)</t>
  </si>
  <si>
    <t>01764. ЯНЧУК ОЛЬГА АЛЕКСАНДРОВНА ФЛП (Украина, Васильков)</t>
  </si>
  <si>
    <t>01765. ПОЖИДАЕВ ЮРИЙ АЛЕКСАНДРОВИЧ ФЛП (Украина, Краматорск)</t>
  </si>
  <si>
    <t>01766. БОЛОТОВ СЕРГЕЙ ИГОРЕВИЧ ФЛП (Украина, Николаев)</t>
  </si>
  <si>
    <t>01767. ЯРЕМКО ВАЛЕНТИНА НИКОЛАЕВНА ФЛП (Украина, Городище)</t>
  </si>
  <si>
    <t>01768. БИРУК МАРИЯ ЛЕОНИДОВНА ФЛП (Украина, Звягель)</t>
  </si>
  <si>
    <t>01769. НОВИКОВ АНАТОЛИЙ ВАСИЛЬЕВИЧ ФЛП (Украина, Бровары)</t>
  </si>
  <si>
    <t>01770. НАГОРНЕНКО ЕЛЕНА АНАТОЛЬЕВНА ФЛП (Украина, Песковка)</t>
  </si>
  <si>
    <t>01771. ПАЗЮК ВАСИЛИЙ СТЕПАНОВИЧ ФЛП (Украина, Лесной Хлебичин)</t>
  </si>
  <si>
    <t>01772. КРИВОРУЧЕНКО МАРИНА НИКОЛАЕВНА ФЛП (Украина, Белогородка)</t>
  </si>
  <si>
    <t>01773. БАРЛЯК ТАЯ АНАТОЛЬЕВНА ФЛП (Украина, Поляна)</t>
  </si>
  <si>
    <t>01774. ФЕДОРЧУК МАРЬЯНА ВАСИЛЬЕВНА ФЛП (Украина, Оршевцы)</t>
  </si>
  <si>
    <t>01775. ГРАНФАРМ ЧП (Украина, Корделевка)</t>
  </si>
  <si>
    <t>01776. АФАНАСЬЕВА НАТАЛИЯ НИКОЛАЕВНА ФЛП (Украина, Миргород)</t>
  </si>
  <si>
    <t>01777. ДИГТЯРЕНКО ВИКТОРИЯ ОЛЕГОВНА ФЛП (Украина, Сумы)</t>
  </si>
  <si>
    <t>01778. КУСТ ОКСАНА АЛЕКСАНДРОВНА ФЛП (Украина, Ржищев)</t>
  </si>
  <si>
    <t>01779. МОЛДАВСКАЯ ДИАНА НИКОЛАЕВНА ФЛП (Украина, Кислица)</t>
  </si>
  <si>
    <t>01780. СОЮЗФАРМСЕРВИС ООО (Украина, Одесса)</t>
  </si>
  <si>
    <t>01781. ИРИЙЧУК ИВАННА СЕРГЕЕВНА ФЛП (Украина, Петропавловская Борщаговка)</t>
  </si>
  <si>
    <t>01782. ЯХНЕВИЧ ОЛЕСЯ ИВАНОВНА ФЛП (Украина, Рашков)</t>
  </si>
  <si>
    <t>01783. БУРЯ МАРИНА ЮРЬЕВНА ФЛП (Украина, Виноградов)</t>
  </si>
  <si>
    <t>01784. ГОЛОВКО ОЛЕГ ЮРЬЕВИЧ ФЛП (Украина, Хуст)</t>
  </si>
  <si>
    <t>01785. ПОПОВИЦКАЯ ТАТЬЯНА АНАТОЛЬЕВНА ФЛП (Украина, Кропивницкий)</t>
  </si>
  <si>
    <t>01786. ВОРОБЬЕВА ЕЛЕНА БОРИСОВНА ФЛП (Украина, Кривой Рог)</t>
  </si>
  <si>
    <t>01787. МАЗЕПА ДМИТРИЙ ВЯЧЕСЛАВОВИЧ ФЛП (Украина, Днепр)</t>
  </si>
  <si>
    <t>01788. БИГУС ОКСАНА ЯРОСЛАВОВНА ФЛП (Украина, Хоростков)</t>
  </si>
  <si>
    <t>01789. КОВАЛЬЧУК ОКСАНА ВАСИЛЬЕВНА ФЛП (Украина, Малехов)</t>
  </si>
  <si>
    <t>01790. БАКУН ОЛЬГА НИКОЛАЕВНА ФЛП (Украина, Жашков)</t>
  </si>
  <si>
    <t>01791. АДОНИС МЧП (Украина, Мукачево)</t>
  </si>
  <si>
    <t>01792. ГОЛОВКО РОЗА НИКОЛАЕВНА ФЛП (Украина, Котелево)</t>
  </si>
  <si>
    <t>01793. ГОШОВСКИЙ НИКОЛАЙ МИХАЙЛОВИЧ ФЛП (Украина, Болехов)</t>
  </si>
  <si>
    <t>01794. ДИМИТРОВА ВАЛЕНТИНА ПЕТРОВНА ФЛП (Украина, Холмское)</t>
  </si>
  <si>
    <t>01795. ПАСЕНЧЕНКО ТАТЬЯНА ЮРЬЕВНА ФЛП (Украина, Нива Трудовая)</t>
  </si>
  <si>
    <t>01796. ТКАЧУК НАТАЛИЯ ГРИГОРЬЕВНА ФЛП (Украина, Берегомет)</t>
  </si>
  <si>
    <t>01797. ЛОТ ЧП (Украина, Весняное)</t>
  </si>
  <si>
    <t>01798. ВЕЛЯНСКАЯ ВАЛЕНТИНА ГРИГОРЬЕВНА ФЛП (Украина, Черепковцы)</t>
  </si>
  <si>
    <t>01799. КОЛЕСНИК ВЯЧЕСЛАВ АЛЕКСАНДРОВИЧ ФЛП (Украина, Макаров)</t>
  </si>
  <si>
    <t>01800. ПЕЙКОВ ИВАН НИКОЛАЕВИЧ ФЛП (Украина, Бессарабское)</t>
  </si>
  <si>
    <t>01801. БУРЯК ОКСАНА ИОСИФОВНА ФЛП (Украина, Паляница)</t>
  </si>
  <si>
    <t>01802. ШУЛЬЖИНА ИРИНА АЛЕКСАНДРОВНА ФЛП (Украина, Хмельницкий)</t>
  </si>
  <si>
    <t>01803. ПЕЛЬЦ МАРИЯ ВЛАДИМИРОВНА ФЛП (Украина, Копычинцы)</t>
  </si>
  <si>
    <t>01804. БАКУН МИХАИЛ АЛЕКСАНДРОВИЧ ФЛП (Украина, Ярмолинцы)</t>
  </si>
  <si>
    <t>01805. КОЛОБЕЙЧУК ГАЛИНА ВАСИЛЬЕВНА ФЛП (Украина, Соколовка)</t>
  </si>
  <si>
    <t>01806. КУЧЕРЕНКО АНТОНИНА ИВАНОВНА ФЛП (Украина, Копашново)</t>
  </si>
  <si>
    <t>01807. ДЯЧЕНКО СЕРГЕЙ АЛЕКСАНДРОВИЧ ФЛП (Украина, Леухи)</t>
  </si>
  <si>
    <t>01808. ГАРБАДИН МАРИЯ АНТОНОВНА ФЛП (Украина, Новое Мисто)</t>
  </si>
  <si>
    <t>01809. НАГОРНЕНКО ГАЛИНА СТЕПАНОВНА ФЛП (Украина, Кожуховка)</t>
  </si>
  <si>
    <t>01810. ЗАВАДА ОЛЬГА БОГДАНОВНА ФЛП (Украина, Щирец)</t>
  </si>
  <si>
    <t>01811. ГЕРМАНЧУК ОЛЬГА ВАСИЛЬЕВНА ФЛП (Украина, Ганьковцы)</t>
  </si>
  <si>
    <t>01812. КАЗМИРЧУК ЯРОСЛАВА ПЕТРОВНА ФЛП (Украина, Шубков)</t>
  </si>
  <si>
    <t>01813. ГЛИБОВ КОНСТАНТИН ЕВГЕНЬЕВИЧ ФЛП (Украина, Сумы)</t>
  </si>
  <si>
    <t>01814. Медико-санитарная часть НЕФТЕХИМИК ООО (Украина, Кременчуг)</t>
  </si>
  <si>
    <t>01815. ТРУБИЖ МКП (Украина, Бровары)</t>
  </si>
  <si>
    <t>01816. КОВТУН АНДРЕЙ СЕРГЕЕВИЧ ФЛП (Украина, Николаев)</t>
  </si>
  <si>
    <t>01817. ГРАБОЛЮК ГАЛИНА ФЕДОРОВНА ФЛП (Украина, Софиевская Борщаговка)</t>
  </si>
  <si>
    <t>01818. ФАРМИЯ ООО (Украина, Бердичев)</t>
  </si>
  <si>
    <t>01819. ДОРОШЕВСКИЙ АНДРЕЙ ВИКТОРОВИЧ ФЛП (Украина, Перещепино)</t>
  </si>
  <si>
    <t>01820. ОНИСИМЬЮК СВЕТЛАНА ПЕТРОВНА ФЛП (Украина, Лукавцы)</t>
  </si>
  <si>
    <t>01821. БОБРИЦКАЯ АННА АЛЕКСАНДРОВНА ФЛП (Украина, Краснокутск)</t>
  </si>
  <si>
    <t>01822. КАВКА АННА МИХАЙЛОВНА ФЛП (Украина, Езуполь)</t>
  </si>
  <si>
    <t>01823. ФАРИОНОВА ОЛЬГА ВЛАДИМИРОВНА ФЛП (Украина, Ингулка)</t>
  </si>
  <si>
    <t>01824. ПОНИЧ ВЛАДИМИР НИКОЛАЕВИЧ ФЛП (Украина, Карапчов)</t>
  </si>
  <si>
    <t>01825. ФЕДОРИШИН ВИТАЛИЯ ВАСИЛЬЕВНА ФЛП (Украина, Добрянское)</t>
  </si>
  <si>
    <t>01826. ФАИН АНДРЕЙ АЛЬБЕРТОВИЧ ФЛП (Украина, Одесса)</t>
  </si>
  <si>
    <t>01827. РОМАНОВИЧ ТАТЬЯНА ИВАНОВНА ФЛП (Украина, Кальновцы)</t>
  </si>
  <si>
    <t>01828. САЕНКО АНФИСА ВАСИЛЬЕВНА ФЛП (Украина, Трускавец)</t>
  </si>
  <si>
    <t>01829. МАРТИМЬЯНОВА ИННА АНАТОЛЬЕВНА ФЛП (Украина, Кельменцы)</t>
  </si>
  <si>
    <t>01830. КОТЕНКО ВЯЧЕСЛАВ ВЛАДИМИРОВИЧ ФЛП (Украина, Александровка)</t>
  </si>
  <si>
    <t>01831. ТКАЧУК ГАЛИНА МИХАЙЛОВНА ФЛП (Украина, Долгополе)</t>
  </si>
  <si>
    <t>01832. ЛУГАНСКАЯ ЗОЯ ИВАНОВНА ФЛП (Украина, Парутино)</t>
  </si>
  <si>
    <t>01833. АПТЕКА №153 ЦЕНТРАЛЬНАЯ РАЙОННАЯ КП (Украина, Жидачов)</t>
  </si>
  <si>
    <t>01834. САМЕДОВА СВЕТЛАНА ЯРОСЛАВОВНА ФЛП (Украина, Черновцы)</t>
  </si>
  <si>
    <t>01835. ДЕРБАК ВАСИЛИЙ СТЕПАНОВИЧ ФЛП (Украина, Колочава)</t>
  </si>
  <si>
    <t>01836. БОНКАЛО НАТАЛИЯ МИХАЙЛОВНА ФЛП (Украина, Синевир)</t>
  </si>
  <si>
    <t>01837. ТАШКИНА РАИСА ПАВЛОВНА ФЛП (Украина, Бессарабское)</t>
  </si>
  <si>
    <t>01838. ВЬЯЗНИЦЕВА СВЕТЛАНА ДАНИЛОВНА ФЛП (Украина, Черновцы)</t>
  </si>
  <si>
    <t>01839. ЧЕРНОПИССКАЯ ИННА ВЛАДИМИРОВНА ФЛП (Украина, Путила)</t>
  </si>
  <si>
    <t>01840. АПТЕКА №3 ООО (Украина, Стрый)</t>
  </si>
  <si>
    <t>01841. ЗАХАРУК НАДЕЖДА ЮРЬЕВНА ФЛП (Украина, Стецева)</t>
  </si>
  <si>
    <t>01842. АПТЕКА №235 ООО (Украина, Сумы)</t>
  </si>
  <si>
    <t>01843. Центр медицинский НАДИЯ-21 ООО (Украина, Харьков)</t>
  </si>
  <si>
    <t>01844. СОЛОМКА КСЕНИЯ АЛЕКСАНДРОВНА ФЛП (Украина, Орильское)</t>
  </si>
  <si>
    <t>01845. ДАНЧА ИРИНА МИХАЙЛОВНА ФЛП (Украина, Забродь)</t>
  </si>
  <si>
    <t>01846. ВИЛЬХОВА ВАЛЕНТИНА ПЕТРОВНА ФЛП (Украина, Нехвороща)</t>
  </si>
  <si>
    <t>01847. ДЯЧОК СЕРГЕЙ АЛЕКСАНДРОВИЧ ФЛП (Украина, Заворичи)</t>
  </si>
  <si>
    <t>01848. ПОЛИЩУК ОЛЬГА АЛЕКСАНДРОВНА ФЛП (Украина, Усатово)</t>
  </si>
  <si>
    <t>01849. ПАВЛИЧЕНКО ВИКТОР НИКОЛАЕВИЧ ФЛП (Украина, Шишаки)</t>
  </si>
  <si>
    <t>01850. СМЫК АННА АЛЕКСАНДРОВНА ФЛП (Украина, Волочиск)</t>
  </si>
  <si>
    <t>01851. ЛАКИЗА ТАТЬЯНА ВАЛЕРЬЕВНА ФЛП (Украина, Ромны)</t>
  </si>
  <si>
    <t>01852. КАПУСТЯН ЛАРИСА ВЛАДИМИРОВНА ФЛП (Украина, Первомайск)</t>
  </si>
  <si>
    <t>01853. ШЕШУРАК ИРИНА ЛЬВОВНА ФЛП (Украина, Дрогобыч)</t>
  </si>
  <si>
    <t>01854. ГРУДНЕНКО ГАЛИНА ДМИТРИЕВНА ФЛП (Украина, Киев)</t>
  </si>
  <si>
    <t>01855. АРТЕМЕНКО СНЕЖАНА АНАТОЛИЕВНА ФЛП (Украина, Шпола)</t>
  </si>
  <si>
    <t>01856. СИДОР АНДРЕЙ ТЕОДОЗИЕВИЧ ФЛП (Украина, Верхняя)</t>
  </si>
  <si>
    <t>01857. МЕРЕНИЧ ИВАННА ОЛЕГОВНА ФЛП (Украина, Мукачево)</t>
  </si>
  <si>
    <t>01858. ФАРЫНЮК ЕЛЕНА АЛЕКСЕЕВНА ФЛП (Украина, Сальница)</t>
  </si>
  <si>
    <t>01859. ПОЛОНЕЦ АЛЕКСАНДР НИКОЛАЕВИЧ ФЛП (Украина, Чернухи)</t>
  </si>
  <si>
    <t>01860. КОПАЛЕЦКАЯ ЛЕСЯ ВАСИЛЬЕВНА ФЛП (Украина, Бучач)</t>
  </si>
  <si>
    <t>01861. КОЛЕСНИК ОЛЬГА ДМИТРИЕВНА ФЛП (Украина, Старая Жадова)</t>
  </si>
  <si>
    <t>01862. ФЕЙЗЕР ТАТЬЯНА АНАТОЛЬЕВНА ФЛП (Украина, Днепр)</t>
  </si>
  <si>
    <t>01863. ШПАК СВЕТЛАНА ВЛАДИМИРОВНА ФЛП (Украина, Карловка)</t>
  </si>
  <si>
    <t>01864. ПАРАНЮК ОЛЕСЯ НИКОЛАЕВНА ФЛП (Украина, Каменец-Подольский)</t>
  </si>
  <si>
    <t>01865. БОЙЧУК РОМАН АНАТОЛЬЕВИЧ ФЛП (Украина, Малинск)</t>
  </si>
  <si>
    <t>01866. ЛЕВКОВСКАЯ СВЕТЛАНА ПЕТРОВНА ФЛП (Украина, Радомышль)</t>
  </si>
  <si>
    <t>01867. БОБЫР ЗОЯ ФИЛИППОВНА ФЛП (Украина, Обухов)</t>
  </si>
  <si>
    <t>01868. МИГАЛКО ИВАН ВАСИЛЬЕВИЧ ФЛП (Украина, Нижняя Апша)</t>
  </si>
  <si>
    <t>01869. ШВЕЦ СВЕТЛАНА НИКОЛАЕВНА ФЛП (Украина, Змиев)</t>
  </si>
  <si>
    <t>01870. АПТЕКА ВЕРИТАС ООО (Украина, Киев)</t>
  </si>
  <si>
    <t>01871. ПОЖИДАЕВА МАРИНА ВИКТОРОВНА ФЛП (Украина, Краматорск)</t>
  </si>
  <si>
    <t>01872. БУТЕНКО ИРИНА НИКОЛАЕВНА ФЛП (Украина, Рашевка)</t>
  </si>
  <si>
    <t>01873. ПАВЛИШИНА ОЛЬГА АЛЕКСЕЕВНА ФЛП (Украина, Нововоронцовка)</t>
  </si>
  <si>
    <t>01874. КАЗМИРУК ИРЭНА КОНСТАНТИНОВНА ФЛП (Украина, Тульчин)</t>
  </si>
  <si>
    <t>01875. КОГУТ МАРИЯ ПЕТРОВНА ФЛП (Украина, Синьков)</t>
  </si>
  <si>
    <t>01876. ГЕРМАН ГАЛИНА ПОЛИКАРПОВНА ФЛП (Украина, Вараш)</t>
  </si>
  <si>
    <t>01877. АПТЕКА №9 ЦЕНТРАЛЬНАЯ РАЙОННАЯ КП (Украина, Кагарлык)</t>
  </si>
  <si>
    <t>01878. ШОБЕЙ ЕЛЕНА ИВАНОВНА ФЛП (Украина, Ольховцы)</t>
  </si>
  <si>
    <t>01879. ШКОЛЬНАЯ НИНА ИВАНОВНА ФЛП (Украина, Сумы)</t>
  </si>
  <si>
    <t>01880. КУШНИР ВЛАДИМИР ВАСИЛЬЕВИЧ ФЛП (Украина, Меденичи)</t>
  </si>
  <si>
    <t>01881. МОРОЗ ИРИНА ВЛАДИМИРОВНА ФЛП (Украина, Погорцы)</t>
  </si>
  <si>
    <t>01882. МАЗИЛЕНКО ЮЛИЯ ОЛЕГОВНА ФЛП (Украина, Николаев)</t>
  </si>
  <si>
    <t>01883. ШАШКЕЕВА СВЕТЛАНА ВИТАЛЬЕВНА ФЛП (Украина, Новый Буг)</t>
  </si>
  <si>
    <t>01884. ЦИРИК ТАТЬЯНА ФЕДОРОВНА ФЛП (Украина, Буштыно)</t>
  </si>
  <si>
    <t>01885. ЦОКАЛО ТАТЬЯНА МИРОСЛАВОВНА ФЛП (Украина, Залесцы)</t>
  </si>
  <si>
    <t>01886. ЖИДИК ЕКАТЕРИНА ИВАНОВНА ФЛП (Украина, Серное)</t>
  </si>
  <si>
    <t>01887. КОЛЕСНИК СВЕТЛАНА ВИКТОРОВНА ФЛП (Украина, Комаргород)</t>
  </si>
  <si>
    <t>01888. ЖАЛТЕР ВАЛЕНТИНА ФЕДОРОВНА ФЛП (Украина, Александрия)</t>
  </si>
  <si>
    <t>01889. ЮРЧУК СВЕТЛАНА ВАСИЛЬЕВНА ФЛП (Украина, Красноилье)</t>
  </si>
  <si>
    <t>01890. НОГА СВЕТЛАНА НИКОЛАЕВНА ФЛП (Украина, Компанеевка)</t>
  </si>
  <si>
    <t>01891. СИЛЬВЕСТРУК ОЛЬГА СЕРГЕЕВНА ФЛП (Украина, Белокриница)</t>
  </si>
  <si>
    <t>01892. КОРОТКОВА НАТАЛИЯ ВИКТОРОВНА ФЛП (Украина, Великая Виска)</t>
  </si>
  <si>
    <t>01893. БРАГА МАРК КОНСТАНТИНОВИЧ ФЛП (Украина, Ахтырка)</t>
  </si>
  <si>
    <t>01894. МИРКА НАДЕЖДА БОГДАНОВНА ФЛП (Украина, Сходница)</t>
  </si>
  <si>
    <t>01895. БАЛАНОВСКАЯ ТАТЬЯНА АНДРЕЕВНА ФЛП (Украина, Николаевка)</t>
  </si>
  <si>
    <t>01896. БАМБУЛЯК ЛЮБОВЬ ВАСИЛЬЕВНА ФЛП (Украина, Черновцы)</t>
  </si>
  <si>
    <t>01897. РОЖКО МАРИЯ МИХАЙЛОВНА ФЛП (Украина, Софиевка)</t>
  </si>
  <si>
    <t>01898. СИРЫК ВИКТОРИЯ АЛЕКСАНДРОВНА ФЛП (Украина, Славянск)</t>
  </si>
  <si>
    <t>01899. КРОПИВНИЦКАЯ ЛИЛИЯ ИВАНОВНА ФЛП (Украина, Дачное)</t>
  </si>
  <si>
    <t>01900. ЛАЦЕННИКОВ ГЕННАДИЙ ВАСИЛЬЕВИЧ ФЛП (Украина, Клевань)</t>
  </si>
  <si>
    <t>01901. ГОРБАТЮК ЛИЛИЯ ВЛАДИМИРОВНА ФЛП (Украина, Тридубы)</t>
  </si>
  <si>
    <t>01902. ТЕРНУЩАК НАТАЛИЯ ИВАНОВНА ФЛП (Украина, Верхнее Водяное)</t>
  </si>
  <si>
    <t>01903. ЛЕВЧЕНКО ЛЮДМИЛА АЛЕКСЕЕВНА ФЛП (Украина, Переяслав)</t>
  </si>
  <si>
    <t>01904. ЯРИШ АНДРЕЙ МИХАЙЛОВИЧ ФЛП (Украина, Теребовля)</t>
  </si>
  <si>
    <t>01905. СУХИНА ЕЛЕНА НИКОЛАЕВНА ФЛП (Украина, Приднепровское)</t>
  </si>
  <si>
    <t>01906. КЛОДНИЦКАЯ ИННА ВАСИЛЬЕВНА ФЛП (Украина, Немешаево)</t>
  </si>
  <si>
    <t>01907. ГАДЕЛИЯ ЛИЛИЯ НИКОЛАЕВНА ФЛП (Украина, Белая Церковь)</t>
  </si>
  <si>
    <t>01908. СЛОБОДЯНЮК ИВАН ИОСИФОВИЧ ФЛП (Украина, Ромны)</t>
  </si>
  <si>
    <t>01909. КУЗЯК ИРИНА ИГОРЕВНА ФЛП (Украина, Великие Борки)</t>
  </si>
  <si>
    <t>01910. ВАЛЕНТА ЧП (Украина, Карловка)</t>
  </si>
  <si>
    <t>01911. КОСТЮК ИЛОНА АНАТОЛЬЕВНА ФЛП (Украина, Криховцы)</t>
  </si>
  <si>
    <t>01912. ЧЕРНОЗУБ ТАТЬЯНА АЛЕКСАНДРОВНА ФЛП (Украина, Смыга)</t>
  </si>
  <si>
    <t>01913. МАЛАЙ СВЕТЛАНА ВЛАДИМИРОВНА ФЛП (Украина, Конотоп)</t>
  </si>
  <si>
    <t>01914. КУЗЬМЕНКО ПАВЕЛ АНАТОЛЬЕВИЧ ФЛП (Украина, Звенигородка)</t>
  </si>
  <si>
    <t>01915. Институт медицинский Львовский ООО (Украина, Львов)</t>
  </si>
  <si>
    <t>01916. КУРЯДОВЕЦ ГАЛИНА НИКОЛАЕВНА ФЛП (Украина, Вичевка)</t>
  </si>
  <si>
    <t>01917. СИКОРА ВИКТОРИЯ ОЛЕГОВНА ФЛП (Украина, Дрогобыч)</t>
  </si>
  <si>
    <t>01918. КОНОНЕЦ МАРИНА ДМИТРИЕВНА ФЛП (Украина, Волица)</t>
  </si>
  <si>
    <t>01919. КЛАДЬКОВ ЕЛЕНА ВАСИЛЬЕВНА ФЛП (Украина, Глубокий Поток)</t>
  </si>
  <si>
    <t>01920. ВАСИЛЕЦ ДМИТРИЙ ИВАНОВИЧ ФЛП (Украина, Татарбунары)</t>
  </si>
  <si>
    <t>01921. ЛИКИ СХИД ООО (Украина, Беленькое)</t>
  </si>
  <si>
    <t>01922. ДЕРЕВЯНКО ВИКТОРИЯ СЕРГЕЕВНА ФЛП (Украина, Мариновка)</t>
  </si>
  <si>
    <t>01923. ОЗЕРЧУК ВИКТОРИЯ АНДРЕЕВНА ФЛП (Украина, Старое Село)</t>
  </si>
  <si>
    <t>01924. ПЕРЕГИНСКИЙ НИКОЛАЙ ПЕТРОВИЧ ФЛП (Украина, Вербовец)</t>
  </si>
  <si>
    <t>01925. ДИДЕНКО СВЕТЛАНА ВЛАДИМИРОВНА ФЛП (Украина, Николаев)</t>
  </si>
  <si>
    <t>01926. МАФТЕЙ ИННА ИЛЬИНИЧНА ФЛП (Украина, Становцы)</t>
  </si>
  <si>
    <t>01927. КОВДИЙ АЛЕКСАНДР АЛЕКСЕЕВИЧ ФЛП (Украина, Шпола)</t>
  </si>
  <si>
    <t>01928. БОРОДЫНЯ АНТОН ВАДИМОВИЧ ФЛП (Украина, Боднаров)</t>
  </si>
  <si>
    <t>01929. БЕДЗАЙ ЮЛИЯ НИКОЛАЕВНА ФЛП (Украина, Николаевка)</t>
  </si>
  <si>
    <t>01930. ВИРСТА НАТАЛИЯ ИВАНОВНА ФЛП (Украина, Замостье)</t>
  </si>
  <si>
    <t>01931. ЯЦКОВСКАЯ АННА ПРОКОФЬЕВНА ФЛП (Украина, Жердя)</t>
  </si>
  <si>
    <t>01932. КОЛЕСНИКОВА ГАЛИНА НИКОЛАЕВНА ФЛП (Украина, Черноморск)</t>
  </si>
  <si>
    <t>01933. ГОЛОВКО ВИКТОР АЛЕКСАНДРОВИЧ ФЛП (Украина, Стецковка)</t>
  </si>
  <si>
    <t>01934. ЛУКАЩУК РАИСА НИКОЛАЕВНА ФЛП (Украина, Зорное)</t>
  </si>
  <si>
    <t>01935. ШЕВЧУК НАТАЛИЯ МИХАЙЛОВНА ФЛП (Украина, Хоростков)</t>
  </si>
  <si>
    <t>01936. ТВЕРДАЯ РАИСА ПЕТРОВНА ФЛП (Украина, Карпиловка)</t>
  </si>
  <si>
    <t>01937. КАЛИНА КП (Украина, Бучач)</t>
  </si>
  <si>
    <t>01938. СЛУКОНОС НАТАЛИЯ ВЛАДИМИРОВНА ФЛП (Украина, Переяслав)</t>
  </si>
  <si>
    <t>01939. БОНДАРЧУК ВИТА ПЕТРОВНА ФЛП (Украина, Великая Вулыга)</t>
  </si>
  <si>
    <t>01940. ГНАТ АНАТОЛИЙ СЕРГЕЕВИЧ ФЛП (Украина, Новица)</t>
  </si>
  <si>
    <t>01941. ШОПЛЯК МИХАИЛ МИХАЙЛОВИЧ ФЛП (Украина, Высокое)</t>
  </si>
  <si>
    <t>01942. БРАДУЛ АНДРЕЙ МИХАЙЛОВИЧ ФЛП (Украина, Кривой Рог)</t>
  </si>
  <si>
    <t>01943. ПЛЮЩ МАРИЯ ИВАНОВНА ФЛП (Украина, Борзна)</t>
  </si>
  <si>
    <t>01944. ДАРНИЦА ФФ ЧАО (Украина, Киев)</t>
  </si>
  <si>
    <t>01945. КОЛЕСНИК ВЛАДИМИР ВЛАДИМИРОВИЧ ФЛП (Украина, Багачево)</t>
  </si>
  <si>
    <t>01946. АПТЕКА №223 МЕЖБОЛЬНИЧНАЯ КП (Украина, Самбор)</t>
  </si>
  <si>
    <t>01947. ДВИНА ЧП (Украина, Днепр)</t>
  </si>
  <si>
    <t>01948. ЛАКИ-ФАРМА ООО (Украина, Киев)</t>
  </si>
  <si>
    <t>01949. НАДЬ ВИКТОРИЯ ГУСТАВОВНА ФЛП (Украина, Дерцен)</t>
  </si>
  <si>
    <t>01950. КАБАНЕЦ АЛЕКСЕЙ ГРИГОРЬЕВИЧ ФЛП (Украина, Штеповка)</t>
  </si>
  <si>
    <t>01951. РАДКОВСКАЯ ГАЛИНА НИКОЛАЕВНА ФЛП (Украина, Олеско)</t>
  </si>
  <si>
    <t>01952. ВОРОНСКАЯ ГАЛИНА РОСТИСЛАВОВНА ФЛП (Украина, Дядьковичи)</t>
  </si>
  <si>
    <t>01953. БАХТАЛОВСКИЙ ЯРОСЛАВ ВЛАДИМИРОВИЧ ФЛП (Украина, Александровка)</t>
  </si>
  <si>
    <t>01954. АВИЦЕННА ЧП (Украина, Гайворон)</t>
  </si>
  <si>
    <t>01955. СТЕНАВСКАЯ МАРИЯ МИХАЙЛОВНА ФЛП (Украина, Терново)</t>
  </si>
  <si>
    <t>01956. ПЛЕСКАЧ АЛЕКСАНДР ЛЕОНИДОВИЧ ФЛП (Украина, Братское)</t>
  </si>
  <si>
    <t>01957. КРУТЕВИЧ АНАТОЛИЙ БОРИСОВИЧ ФЛП (Украина, Измаил)</t>
  </si>
  <si>
    <t>01958. ВОВК ЯРОСЛАВА ВАСИЛЬЕВНА ФЛП (Украина, Малин)</t>
  </si>
  <si>
    <t>01959. КАРПЕКО ВЛАДИМИР ДМИТРИЕВИЧ ФЛП (Украина, Днепр)</t>
  </si>
  <si>
    <t>01960. КРУПИЧ АЛЕКСАНДР СТЕПАНОВИЧ ФЛП (Украина, Заворичи)</t>
  </si>
  <si>
    <t>01961. МАСЛОВЕЦ ИВАН ВЛАДИМИРОВИЧ ФЛП (Украина, Михайлики)</t>
  </si>
  <si>
    <t>01962. ДЕРДЯЙ ВАЛЕНТИНА ВАСИЛЬЕВНА ФЛП (Украина, Ольховцы)</t>
  </si>
  <si>
    <t>01963. ФАРМАЦИЯ ЧП (Украина, Васильков)</t>
  </si>
  <si>
    <t>01964. ЯСЬКИВ ЕЛЕНА НИКОЛАЕВНА ФЛП (Украина, Почаев)</t>
  </si>
  <si>
    <t>01965. ГОРЧЕЕВА ЛАРИСА ВЛАДИМИРОВНА ФЛП (Украина, Петрово)</t>
  </si>
  <si>
    <t>01966. ЛАТЫК РОМАН МИРОНОВИЧ ФЛП (Украина, Добряны)</t>
  </si>
  <si>
    <t>01967. ДУДАРИК ТАТЬЯНА НИКОЛАЕВНА ФЛП (Украина, Немовичи)</t>
  </si>
  <si>
    <t>01968. ЗЛОБОВСКАЯ ЕЛЕНА ВАЛЕРИЕВНА ФЛП (Украина, Днепр)</t>
  </si>
  <si>
    <t>01969. БИЛЯК АНДРЕЙ АЙТАЕВИЧ ФЛП (Украина, Старые Куты)</t>
  </si>
  <si>
    <t>01970. ГНАТ МИХАИЛ СЕРГЕЕВИЧ ФЛП (Украина, Пороги)</t>
  </si>
  <si>
    <t>01971. ВИДРЫК РАИСА ПЕТРОВНА ФЛП (Украина, Жобрин)</t>
  </si>
  <si>
    <t>01972. ПИСОЦКИЙ ВЛАДИМИР СЕРГЕЕВИЧ ФЛП (Украина, Александровка)</t>
  </si>
  <si>
    <t>01973. ВОЙТКО КАРИНА АНАТОЛЬЕВНА ФЛП (Украина, Литин)</t>
  </si>
  <si>
    <t>01974. ВОЛОШКИНА ЕЛЕНА БОГДАНОВНА ФЛП (Украина, Великомихайловка)</t>
  </si>
  <si>
    <t>01975. ШЕЛКОВЫЙ ЮРИЙ ВАСИЛЬЕВИЧ ФЛП (Украина, Калинополь)</t>
  </si>
  <si>
    <t>01976. БОЙЧУК АННА ВАСИЛЬЕВНА ФЛП (Украина, Ужгород)</t>
  </si>
  <si>
    <t>01977. БАКАЕВ РУСТАМ ШОКИРОВИЧ ФЛП (Украина, Дроздынь)</t>
  </si>
  <si>
    <t>01978. ЗАДОРОЖНАЯ ЕЛЕНА ДМИТРИЕВНА ФЛП (Украина, Киблич)</t>
  </si>
  <si>
    <t>01979. ДУВАЛКА НЕЛЯ ИВАНОВНА ФЛП (Украина, Долгое)</t>
  </si>
  <si>
    <t>01980. АТАМАНЮК НАТАЛИЯ НИКОЛАЕВНА ФЛП (Украина, Верховина)</t>
  </si>
  <si>
    <t>01981. БИРОВ ЗОЛТАН ВИКТОРОВИЧ ФЛП (Украина, Бадалово)</t>
  </si>
  <si>
    <t>01982. ГУРИНА ОЛЬГА СЕРГЕЕВНА ФЛП (Украина, Ирпень)</t>
  </si>
  <si>
    <t>01983. БОРОДЕНКО ТАТЬЯНА НИКОЛАЕВНА ФЛП (Украина, Николаевка)</t>
  </si>
  <si>
    <t>01984. ДОВИРА ФАРМ ООО (Украина, Киев)</t>
  </si>
  <si>
    <t>01985. АНДРАШИ АНЖЕЛИКА ВАСИЛЬЕВНА ФЛП (Украина, Берегово)</t>
  </si>
  <si>
    <t>01986. НЕВИНЧАНЫЙ СЕРГЕЙ АНАТОЛЬЕВИЧ ФЛП (Украина, Широкое)</t>
  </si>
  <si>
    <t>01987. КОРОЛЬ ТАТЬЯНА АЛЕКСЕЕВНА ФЛП (Украина, Христиновка)</t>
  </si>
  <si>
    <t>01988. ЦЫМБАЛ НИКОЛАЙ НИКОЛАЕВИЧ ФЛП (Украина, Жашков)</t>
  </si>
  <si>
    <t>01989. ДЕМЕШКО ГЕННАДИЙ ВЛАДИМИРОВИЧ ФЛП (Украина, Колонщина)</t>
  </si>
  <si>
    <t>01990. ЖЕСТАКОВ ВЯЧЕСЛАВ ВИКТОРОВИЧ ФЛП (Украина, Павлоград)</t>
  </si>
  <si>
    <t>01991. ЗАКУТНИЙ ВАСИЛИЙ ВЛАДИМИРОВИЧ ФЛП (Украина, Багачево)</t>
  </si>
  <si>
    <t>01992. ОТРИШКО ОЛЬГА АНАТОЛЬЕВНА ФЛП (Украина, Дружковка)</t>
  </si>
  <si>
    <t>01993. ЛЫСЯНСКИЙ ОЛЕГ НИКОЛАЕВИЧ ФЛП (Украина, Марьянское)</t>
  </si>
  <si>
    <t>01994. КАРПИНЧУК АЛЕКСАНДР НИКОЛАЕВИЧ ФЛП (Украина, Здолбица)</t>
  </si>
  <si>
    <t>01995. БЕЛЯК НАТАЛЬЯ ЗИГМУНТОВНА ФЛП (Украина, Гулянка)</t>
  </si>
  <si>
    <t>01996. ШМАЛЕНКО НАДЕЖДА ВАСИЛЬЕВНА ФЛП (Украина, Братское)</t>
  </si>
  <si>
    <t>01997. АПТЕКА ЗДОРОВЬЕ-2011 ЧП (Украина, Ичня)</t>
  </si>
  <si>
    <t>01998. СИНЧЕНКО ЛАРИСА МИХАЙЛОВНА ФЛП (Украина, Николаев)</t>
  </si>
  <si>
    <t>01999. ПАКУЛЕЦ МАРИЯ ИГОРЕВНА ФЛП (Украина, Рудники)</t>
  </si>
  <si>
    <t>02000. ГАВРИЛЬЧУК МАРИАННА ИВАНОВНА ФЛП (Украина, Ивано-Франковск)</t>
  </si>
  <si>
    <t>02001. ДУБ ИГОРЬ ЯРОСЛАВОВИЧ ФЛП (Украина, Коломыя)</t>
  </si>
  <si>
    <t>02002. БОРИШКЕВИЧ РОМАН ЯРОСЛАВОВИЧ ФЛП (Украина, Нижний Струтинь)</t>
  </si>
  <si>
    <t>02003. УС АЛЕКСАНДР ВИКТОРОВИЧ ФЛП (Украина, Бабайковка)</t>
  </si>
  <si>
    <t>02004. ЕФРЕМЕНКО ОКСАНА ВИКТОРОВНА ФЛП (Украина, Дружковка)</t>
  </si>
  <si>
    <t>02005. ГРУЛЯ НИНА ВЛАДИМИРОВНА ФЛП (Украина, Теребля)</t>
  </si>
  <si>
    <t>02006. УСИНОВ АЛЕКСАНДР ТЕЙФУКОВИЧ ФЛП (Украина, Великодолинское)</t>
  </si>
  <si>
    <t>02007. ЗОРЯ АЛЕКСАНДР АНТОНОВИЧ ФЛП (Украина, Черкассы)</t>
  </si>
  <si>
    <t>02008. ЦЕНТР ОБЕЗБОЛИВАНИЯ ООО (Украина, Киев)</t>
  </si>
  <si>
    <t>02009. МАГДЕНКО АННА ВАЛЕРЬЕВНА ФЛП (Украина, Шевченково)</t>
  </si>
  <si>
    <t>02010. ЭХО ЧП (Украина, Константиновка)</t>
  </si>
  <si>
    <t>02011. КРИЧФАЛУШИЙ ВИТАЛИЯ ВАСИЛЬЕВНА ФЛП (Украина, Кричево)</t>
  </si>
  <si>
    <t>02012. ФИТО-ДАНИМИР ООО (Украина, Киев)</t>
  </si>
  <si>
    <t>02013. ОЛЕЙНИК СВЕТЛАНА ЮРЬЕВНА ФЛП (Украина, Винница)</t>
  </si>
  <si>
    <t>02014. ЗАМАЙ ДАРЬЯ ВИКТОРОВНА ФЛП (Украина, Константиновка)</t>
  </si>
  <si>
    <t>02015. КЛЮСОВА МАРИНА ВАЛЕРЬЕВНА ФЛП (Украина, Млиново)</t>
  </si>
  <si>
    <t>02016. СТРЕЛЕЦКИЙ АНАТОЛИЙ ВАЛЕРЬЕВИЧ ФЛП (Украина, Днепр)</t>
  </si>
  <si>
    <t>02017. ШПИТКО ГАЛИНА МИХАЙЛОВНА ФЛП (Украина, Устерики)</t>
  </si>
  <si>
    <t>02018. СОКИРКО АНДРЕЙ ВИКТОРОВИЧ ФЛП (Украина, Лужаны)</t>
  </si>
  <si>
    <t>02019. БАШМАК ВЛАДИМИР ВАСИЛЬЕВИЧ ФЛП (Украина, Переяслав)</t>
  </si>
  <si>
    <t>02020. ДОВГОПОЛ НАТАЛЬЯ НИКОЛАЕВНА ФЛП (Украина, Богдановка)</t>
  </si>
  <si>
    <t>02021. ФАРМАЦИЯ ООО (Украина, Краматорск)</t>
  </si>
  <si>
    <t>02022. КУНИЦКАЯ МАРИЯ ИВАНОВНА ФЛП (Украина, Кухотская Воля)</t>
  </si>
  <si>
    <t>02023. МЕЧТА ИНЕССА СЕРГЕЕВНА ФЛП (Украина, Гребенки)</t>
  </si>
  <si>
    <t>02024. БУЧИНСКАЯ МАРИЯ МИХАЙЛОВНА ФЛП (Украина, Хоростков)</t>
  </si>
  <si>
    <t>02025. АПТЕКА №230 КП (Украина, Константиновка)</t>
  </si>
  <si>
    <t>02026. ФОМИН ВИКТОР ПЕТРОВИЧ ФЛП (Украина, Новая Водолага)</t>
  </si>
  <si>
    <t>02027. БАБИЙ ОЛЬГА ВАСИЛЬЕВНА ФЛП (Украина, Гнатков)</t>
  </si>
  <si>
    <t>02028. СИТНИКОВА ИРИНА НИКОЛАЕВНА ФЛП (Украина, Херсон)</t>
  </si>
  <si>
    <t>02029. БИЛЯК ЯРОСЛАВА АЛЕКСАНДРОВНА ФЛП (Украина, Вижница)</t>
  </si>
  <si>
    <t>02030. ЮРСВИТ-ФАРМ ООО (Украина, Глухов)</t>
  </si>
  <si>
    <t>02031. БОЙКО АЛЛА ПЕТРОВНА ФЛП (Украина, Старые Шомполы)</t>
  </si>
  <si>
    <t>02032. НАЦИОНАЛЬНЫЙ ГОМЕОПАТИЧЕСКИЙ СОЮЗ ЧАО (Украина, Киев)</t>
  </si>
  <si>
    <t>02033. ХРАМОВА ИРИНА КОНСТАНТИНОВНА ФЛП (Украина, Ахтырка)</t>
  </si>
  <si>
    <t>02034. ТИШКОВ ВЛАДИМИР ИОСИФОВИЧ ФЛП (Украина, Чудель)</t>
  </si>
  <si>
    <t>02035. МИХАЛАТ ЮЛИЯ АНАТОЛЬЕВНА ФЛП (Украина, Богуслав)</t>
  </si>
  <si>
    <t>02036. ДОБОШ МАРЬЯНА МИХАЙЛОВНА ФЛП (Украина, Кольчино)</t>
  </si>
  <si>
    <t>02037. СИДОРЕНКО ЮРИЙ ВИТАЛЬЕВИЧ ФЛП (Украина, Николаевка)</t>
  </si>
  <si>
    <t>02038. СПИВАКОВ БОРИС ГЕННАДЬЕВИЧ ФЛП (Украина, Днепр)</t>
  </si>
  <si>
    <t>02039. ДАНИЩУК ГАЛИНА АНДРЕЕВНА ФЛП (Украина, Ростоки)</t>
  </si>
  <si>
    <t>02040. ШИНКАРЕНКО ИРИНА ПАВЛОВНА ФЛП (Украина, Андрушки)</t>
  </si>
  <si>
    <t>02041. ГЛУХАН ТАТЬЯНА ВАСИЛЬЕВНА ФЛП (Украина, Великая Добронь)</t>
  </si>
  <si>
    <t>02042. ЛАВРЕНЕНКО НАТАЛИЯ ЯКОВЛЕВНА ФЛП (Украина, Степное)</t>
  </si>
  <si>
    <t>02043. КОЗАНЕНКО ВИКТОРИЯ ВИКТОРОВНА ФЛП (Украина, Окны)</t>
  </si>
  <si>
    <t>02044. УРАЗОВСКИЙ ВЛАДИМИР ВАЛЕНТИНОВИЧ ФЛП (Украина, Кропивницкий)</t>
  </si>
  <si>
    <t>02045. КОРОЛИК СОФИЯ ПЕТРОВНА ФЛП (Украина, Хотешов)</t>
  </si>
  <si>
    <t>02046. ОРКУШ ТАТЬЯНА ИВАНОВНА ФЛП (Украина, Маньковка)</t>
  </si>
  <si>
    <t>02047. УШКО МАРИЯ ПЕТРОВНА ФЛП (Украина, Рокитное)</t>
  </si>
  <si>
    <t>02048. КОВАЛЕНКО ЕВГЕНИЙ БОГДАНОВИЧ ФЛП (Украина, Ковшаровка)</t>
  </si>
  <si>
    <t>02049. АФГАНФАРМ ЧП (Украина, Благовещенское)</t>
  </si>
  <si>
    <t>02050. ГАСЮК-РИЗНИЧОК ОЛЬГА ИГОРЕВНА ФЛП (Украина, Скала-Подольская)</t>
  </si>
  <si>
    <t>02051. ЖУК ОКСАНА ЯРОСЛАВОВНА ФЛП (Украина, Лопатин)</t>
  </si>
  <si>
    <t>02052. КАЗМИРУК РУЗАНННА ГЕННАДЬЕВНА ФЛП (Украина, Тульчин)</t>
  </si>
  <si>
    <t>02053. ХОМЕНКО ВЯЧЕСЛАВ ВИКТОРОВИЧ ФЛП (Украина, Сумы)</t>
  </si>
  <si>
    <t>02054. ГУЗИЧ ГАЛИНА НИКОЛАЕВНА ФЛП (Украина, Удрицк)</t>
  </si>
  <si>
    <t>02055. КЛИМЧУК АЛЕКСЕЙ АЛЕКСЕЕВИЧ ФЛП (Украина, Вишневец)</t>
  </si>
  <si>
    <t>02056. АНДРЕЙЧУК ОЛЬГА ВАСИЛЬЕВНА ФЛП (Украина, Небылов)</t>
  </si>
  <si>
    <t>02057. ДЯЧУК ИННА МИХАЙЛОВНА ФЛП (Украина, Чорный Поток)</t>
  </si>
  <si>
    <t>02058. АДОНИС МЧП (Украина, Сарата)</t>
  </si>
  <si>
    <t>02059. НОВАК ОЛЬГА МИХАЙЛОВНА ФЛП (Украина, Коцюбинцы)</t>
  </si>
  <si>
    <t>02060. САВИЧЕВА-ГОВОР ВИКТОРИЯ БОРИСОВНА ФЛП (Украина, Гребенка)</t>
  </si>
  <si>
    <t>02061. МЕДИКУС-ВВК ЧП (Украина, Сергеевка)</t>
  </si>
  <si>
    <t>02062. КИРПАНЬ ВАДИМ ВЛАДИМИРОВИЧ ФЛП (Украина, Губник)</t>
  </si>
  <si>
    <t>02063. ПОКОВБА ВИКТОРИЯ ВАСИЛЬЕВНА ФЛП (Украина, Широкий Луг)</t>
  </si>
  <si>
    <t>02064. КОСТЫШИН АНАТОЛИЙ ВАСИЛЬЕВИЧ ФЛП (Украина, Старые Богородчаны)</t>
  </si>
  <si>
    <t>02065. ХОХЛОВА ИННА ИВАНОВНА ФЛП (Украина, Каменское)</t>
  </si>
  <si>
    <t>02066. ГЕРАСИМЕНКО ВАЛЕРИЙ МИХАЙЛОВИЧ ФЛП (Украина, Черкассы)</t>
  </si>
  <si>
    <t>02067. ПОДОЛЯК ИВАН ИОСИФОВИЧ ФЛП (Украина, Долгое)</t>
  </si>
  <si>
    <t>02068. РОЖКОВ ЕВГЕНИЙ ЕВГЕНЬЕВИЧ ФЛП (Украина, Татарбунары)</t>
  </si>
  <si>
    <t>02069. МАРЧУК НИКОЛАЙ АЛЕКСАНДРОВИЧ ФЛП (Украина, Зубковичи)</t>
  </si>
  <si>
    <t>02070. ВЛАСЮК ЛЮДМИЛА НИКОЛАЕВНА ФЛП (Украина, Браилов)</t>
  </si>
  <si>
    <t>02071. СКАРБНИЦА ЗДОРОВЬЯ ЧП (Украина, Стрый)</t>
  </si>
  <si>
    <t>02072. ВОРОБЕЙ АНАТОЛИЙ ВАСИЛЬЕВИЧ ФЛП (Украина, Каменное)</t>
  </si>
  <si>
    <t>02073. ГУЛЯ ЯНА ИВАНОВНА ФЛП (Украина, Нижние Становцы)</t>
  </si>
  <si>
    <t>02074. КУЗЬМЕНКО ВИТА ИВАНОВНА ФЛП (Украина, Грушевка)</t>
  </si>
  <si>
    <t>02075. СИРАН РОМАН ВАСИЛЬЕВИЧ ФЛП (Украина, Вишневец)</t>
  </si>
  <si>
    <t>02076. ИВЧИК НАТАЛЬЯ ПЕТРОВНА ФЛП (Украина, Великие Цепцевичи)</t>
  </si>
  <si>
    <t>02077. ГУЦОЛ СЕРГЕЙ БОРИСОВИЧ ФЛП (Украина, Скала-Подольская)</t>
  </si>
  <si>
    <t>02078. КОВЕНЬКО ЛЮДМИЛА МИХАЙЛОВНА ФЛП (Украина, Заречное)</t>
  </si>
  <si>
    <t>02079. ДОБРОВОЛЬСКИЙ ГЕННАДИЙ ЮРЬЕВИЧ ФЛП (Украина, Первомайск)</t>
  </si>
  <si>
    <t>02080. СТАРУНЧАК ЮРИЙ МИХАЙЛОВИЧ ФЛП (Украина, Яремче)</t>
  </si>
  <si>
    <t>02081. КОСЮК ЗОЯ ДМИТРИЕВНА ФЛП (Украина, Ставки)</t>
  </si>
  <si>
    <t>02082. БУТЕНКО ЭДУАРД ВИТАЛЬЕВИЧ ФЛП (Украина, Белая Церковь)</t>
  </si>
  <si>
    <t>02083. ЛЕТВИНОВА НАТАЛИЯ ДМИТРИЕВНА ФЛП (Украина, Сырово)</t>
  </si>
  <si>
    <t>02084. СТРУС АННА ФЕДОРОВНА ФЛП (Украина, Борислав)</t>
  </si>
  <si>
    <t>02085. СОКИРКИНА ВАЛЕНТИНА СЕРАФИМОВНА ФЛП (Украина, Очаков)</t>
  </si>
  <si>
    <t>02086. АПТЕКА ШИПШИНА ООО (Украина, Киев)</t>
  </si>
  <si>
    <t>02087. ВИЗИНСКАЯ ИРИНА ВАСИЛЬЕВНА ФЛП (Украина, Ясенов-Польный)</t>
  </si>
  <si>
    <t>02088. СЕМЧУК НИКОЛАЙ МИХАЙЛОВИЧ ФЛП (Украина, Шаян)</t>
  </si>
  <si>
    <t>02089. ПАВЛЮКОВИЧ АЛЕКСАНДР ВАСИЛЬЕВИЧ ФЛП (Украина, Черновцы)</t>
  </si>
  <si>
    <t>02090. КОВАЛЬСКАЯ ВАЛЕНТИНА ВЯЧЕСЛАВОВНА ФЛП (Украина, Вербки)</t>
  </si>
  <si>
    <t>02091. САФАРЯН ГАИК АВАГОВИЧ ФЛП (Украина, Великая Андрусовка)</t>
  </si>
  <si>
    <t>02092. АПТЕКА №2 КП (Украина, Дубно)</t>
  </si>
  <si>
    <t>02093. ШЕСТАК АДЕЛИНА НИКОЛАЕВНА ФЛП (Украина, Куриловка)</t>
  </si>
  <si>
    <t>02094. СТЕЦ ОКСАНА ВАСИЛЬЕВНА ФЛП (Украина, Мукачево)</t>
  </si>
  <si>
    <t>02095. ФЕДЧЕНКО ДЕНИС ВИТАЛЬЕВИЧ ФЛП (Украина, Славянск)</t>
  </si>
  <si>
    <t>02096. САМОЙЛЕНКО АНАСТАСИЯ АЛЕКСАНДРОВНА ФЛП (Украина, Одесса)</t>
  </si>
  <si>
    <t>02097. ШИП ЛЮДМИЛА НИКОЛАЕВНА ФЛП (Украина, Глинное)</t>
  </si>
  <si>
    <t>02098. СМОЛЯК ТАМИЛА ВИТАЛЬЕВНА ФЛП (Украина, Вичевка)</t>
  </si>
  <si>
    <t>02099. ЦИЦАК МАРИЯ ГЕОРГИЕВНА ФЛП (Украина, Герца)</t>
  </si>
  <si>
    <t>02100. ГРАНД-ФАРМ ООО (Украина, Краматорск)</t>
  </si>
  <si>
    <t>02101. МОВЧАНЮК ВАЛЕНТИНА БОГДАНОВНА ФЛП (Украина, Вознесенск)</t>
  </si>
  <si>
    <t>02102. ГАФИЙЧУК АННА ВАСИЛЬЕВНА ФЛП (Украина, Подвысокое)</t>
  </si>
  <si>
    <t>02103. ОЛЕЙНИК ВЛАДИСЛАВ НИКОЛАЕВИЧ ФЛП (Украина, Полтава)</t>
  </si>
  <si>
    <t>02104. СКРИПНИЧУК МАРИЯ ВАСИЛЬЕВНА ФЛП (Украина, Черновцы)</t>
  </si>
  <si>
    <t>02105. ЮНИТО ООО (Украина, Прилиманское)</t>
  </si>
  <si>
    <t>02106. СПОДИН АЛЕКСАНДР ВИКТОРОВИЧ ФЛП (Украина, Благовещенское)</t>
  </si>
  <si>
    <t>02107. ВИНОГРАДОВА НАТАЛИЯ АНАТОЛЬЕВНА ФЛП (Украина, Кривой Рог)</t>
  </si>
  <si>
    <t>02108. АПТЕКА №66 ЦЕНТРАЛЬНАЯ РАЙОННАЯ КП (Украина, Яворов)</t>
  </si>
  <si>
    <t>02109. МАКОГОН ЛИЛИЯ ВАСИЛЬЕВНА ФЛП (Украина, Рожнятов)</t>
  </si>
  <si>
    <t>02110. ОСИПОВА ЕКАТЕРИНА ВАСИЛЬЕВНА ФЛП (Украина, Николаев)</t>
  </si>
  <si>
    <t>02111. ЦИСАРЕНКО ВИКТОРИЯ АЛЕКСАНДРОВНА ФЛП (Украина, Грузское)</t>
  </si>
  <si>
    <t>02112. ЖДАНОВА ИРИНА ИВАНОВНА ФЛП (Украина, Лебедин)</t>
  </si>
  <si>
    <t>02113. КУШНИР ИННА АНАТОЛЬЕВНА ФЛП (Украина, Цебриково)</t>
  </si>
  <si>
    <t>02114. ПАТЮТА ОЛЬГА ВИКТОРОВНА ФЛП (Украина, Лебедин)</t>
  </si>
  <si>
    <t>02115. ШЕВЧУК ВАСИЛИЙ СТЕПАНОВИЧ ФЛП (Украина, Летава)</t>
  </si>
  <si>
    <t>02116. ЧИЛЛОГ НАТАЛИЯ ТИБЕРИЕВНА ФЛП (Украина, Великая Паладь)</t>
  </si>
  <si>
    <t>02117. АЛТАЛЕХ АБД ЕЛЬ КАДЕР ФЛП (Украина, Харьков)</t>
  </si>
  <si>
    <t>02118. ГАВРИЛЮК НАДЕЖДА НИКОЛАЕВНА ФЛП (Украина, Деражное)</t>
  </si>
  <si>
    <t>02119. МАНЬКО НАТАЛИЯ СЕРГЕЕВНА ФЛП (Украина, Верба)</t>
  </si>
  <si>
    <t>02120. КОЦЮБАЙЛО ЕЛЕНА ПЕТРОВНА ФЛП (Украина, Бельская Воля)</t>
  </si>
  <si>
    <t>02121. САПОГОВСКАЯ ИЛОНА ИГОРЕВНА ФЛП (Украина, Слободка-Рыхтивская)</t>
  </si>
  <si>
    <t>02122. ЦЬОКА НАТАЛИЯ ВАСИЛЬЕВНА ФЛП (Украина, Буштыно)</t>
  </si>
  <si>
    <t>02123. ВАША АПТЕКА ООО (Украина, Краматорск)</t>
  </si>
  <si>
    <t>02124. ДАВЫДОВА МАРИЯ ИВАНОВНА ФЛП (Украина, Серники)</t>
  </si>
  <si>
    <t>02125. КОРОТЧУК ОЛЬГА ВАСИЛЬЕВНА ФЛП (Украина, Берегомет)</t>
  </si>
  <si>
    <t>02126. ПРИДРИК АЛЕНА ВИКТОРОВНА ФЛП (Украина, Рукшин)</t>
  </si>
  <si>
    <t>02127. ЯКОВЧУК ОЛЬГА НИКОЛАЕВНА ФЛП (Украина, Калуш)</t>
  </si>
  <si>
    <t>02128. ХОДАКОВА ЕЛЕНА АЛЕКСАНДРОВНА ФЛП (Украина, Киев)</t>
  </si>
  <si>
    <t>02129. БОЙКО ВАЛЕНТИНА НИКОЛАЕВНА ФЛП (Украина, Пятковка)</t>
  </si>
  <si>
    <t>02130. САЛИВОН АЛЕКСАНДР ВЯЧЕСЛАВОВИЧ ФЛП (Украина, Кривой Рог)</t>
  </si>
  <si>
    <t>02131. ПРОДАН ЕВГЕНИЯ ИВАНОВНА ФЛП (Украина, Приборжавское)</t>
  </si>
  <si>
    <t>02132. ТРИПАТХИ ХЕМАНТ КУМАР ФЛП (Украина, Синельниково)</t>
  </si>
  <si>
    <t>02133. РАХМАТУЛИНА НАТАЛИЯ ЛЕОНИДОВНА ФЛП (Украина, Кривой Рог)</t>
  </si>
  <si>
    <t>02134. ШУБАРТ ГАЛИНА ИВАНОВНА ФЛП (Украина, Рени)</t>
  </si>
  <si>
    <t>02135. ПОЛИЩУК ИННА СЕРГЕЕВНА ФЛП (Украина, Новоселки)</t>
  </si>
  <si>
    <t>02136. ФИРМАН ГАЛИНА ИГОРЕВНА ФЛП (Украина, Трускавец)</t>
  </si>
  <si>
    <t>02137. СЕРЕДИНА АЛЛА НИКОЛАЕВНА ФЛП (Украина, Вознесенск)</t>
  </si>
  <si>
    <t>02138. ПАПЕТА АЛЕКСАНДР АНАТОЛЬЕВИЧ ФЛП (Украина, Лебедин)</t>
  </si>
  <si>
    <t>02139. ЯНТАРНОЕ ООО (Украина, Днепр)</t>
  </si>
  <si>
    <t>02140. МИКУЛЯНИЧ АННА ЮРЬЕВНА ФЛП (Украина, Грушево)</t>
  </si>
  <si>
    <t>02141. ЯКИМЕНКО НАТАЛИЯ ВЛАДИМИРОВНА ФЛП (Украина, Коростышев)</t>
  </si>
  <si>
    <t>02142. МИХАЙЛУЦА АННА КОНСТАНТИНОВНА ФЛП (Украина, Бессарабское)</t>
  </si>
  <si>
    <t>02143. ВОЛОШИН СЕРГЕЙ АЛЕКСАНДРОВИЧ ФЛП (Украина, Песчанка)</t>
  </si>
  <si>
    <t>02144. ЖУРАВУШКА ЧП (Украина, Херсон)</t>
  </si>
  <si>
    <t>02145. ТУЧЕМСКАЯ ЮЛИЯ АНАТОЛЬЕВНА ФЛП (Украина, Новая Басань)</t>
  </si>
  <si>
    <t>02146. МАТВИЕНКО ОЛЬГА ИВАНОВНА ФЛП (Украина, Шевченково)</t>
  </si>
  <si>
    <t>02147. ДОБРОВОДСКАЯ МАРЬЯНА ВАСИЛЬЕВНА ФЛП (Украина, Яблонов)</t>
  </si>
  <si>
    <t>02148. КОСЕНКО ЮРИЙ ВИКТОРОВИЧ ФЛП (Украина, Валява)</t>
  </si>
  <si>
    <t>02149. ЗЛОБОВСКИЙ КОНСТАНТИН ВЛАДИМИРОВИЧ ФЛП (Украина, Днепр)</t>
  </si>
  <si>
    <t>02150. ПОЗДНЯКОВА АЛЛА ВЛАДИМИРОВНА ФЛП (Украина, Николаевка)</t>
  </si>
  <si>
    <t>02151. ГОЛУБКА АННА ВАСИЛЬЕВНА ФЛП (Украина, Надворная)</t>
  </si>
  <si>
    <t>02152. СЛАНЕВСКАЯ НИНА АНАТОЛЬЕВНА ФЛП (Украина, Окны)</t>
  </si>
  <si>
    <t>02153. ДАНИЛЬЧУК ВАСИЛИЙ ИВАНОВИЧ ФЛП (Украина, Бараши)</t>
  </si>
  <si>
    <t>02154. САМОЙЛЕНКО СЕРГЕЙ АЛЕКСАНДРОВИЧ ФЛП (Украина, Молога)</t>
  </si>
  <si>
    <t>02155. ЧЕБОТАРЕВА ЕЛЕНА ИВАНОВНА ФЛП (Украина, Охочее)</t>
  </si>
  <si>
    <t>02156. ОСАДЧУК МАРИНЕ СЕРГЕЕВНА ФЛП (Украина, Баловное)</t>
  </si>
  <si>
    <t>02157. ВЫГОДНАЯ АПТЕКА ООО (Украина, Днепр)</t>
  </si>
  <si>
    <t>02158. БРАЧУК ПАВЕЛ ОЛЕГОВИЧ ФЛП (Украина, Конецполь)</t>
  </si>
  <si>
    <t>02159. ЗАРУЦКАЯ ЛАРИСА ИВАНОВНА ФЛП (Украина, Новые Веледники)</t>
  </si>
  <si>
    <t>02160. ПОДДУБНЫЙ АРТУР АЛЬБЕРТОВИЧ ФЛП (Украина, Покровск)</t>
  </si>
  <si>
    <t>02161. ЛУКИЯНЧУК ОЛЕГ ЮРЬЕВИЧ ФЛП (Украина, Краматорск)</t>
  </si>
  <si>
    <t>02162. ШЕРШНЕВ АЛЕКСЕЙ ВАСИЛЬЕВИЧ ФЛП (Украина, Одесса)</t>
  </si>
  <si>
    <t>02163. ТКАЧЕНКО ВЛАДИМИР ИЛЬИЧ ФЛП (Украина, Ромны)</t>
  </si>
  <si>
    <t>02164. КРОКУС ФАРМА ООО (Украина, Ровно)</t>
  </si>
  <si>
    <t>02165. БОРЯЧЕНКО СЕРГЕЙ НИКОЛАЕВИЧ ФЛП (Украина, Новое Мисто)</t>
  </si>
  <si>
    <t>02166. АПТЕКА №122 ГКП (Украина, Тернополь)</t>
  </si>
  <si>
    <t>02167. АПТЕКА №133 ФАРМАЦИЯ КП (Украина, Виноградов)</t>
  </si>
  <si>
    <t>02168. КОВАЧ ОКСАНА ДАНИЛОВНА ФЛП (Украина, Берегово)</t>
  </si>
  <si>
    <t>02169. РОМФАРМ 23 ООО (Украина, Бобрик)</t>
  </si>
  <si>
    <t>02170. КОНДРАТЮК ВАЛЕНТИНА ИВАНОВНА ФЛП (Украина, Корец)</t>
  </si>
  <si>
    <t>02171. ПИСАРЕВСКАЯ АПТЕКА ООО (Украина, Писаревка)</t>
  </si>
  <si>
    <t>02172. ЛЕРС ООО (Украина, Павлоград)</t>
  </si>
  <si>
    <t>02173. ПИЛИПЧЕНКО ИРИНА ВАСИЛЬЕВНА ФЛП (Украина, Мироновка)</t>
  </si>
  <si>
    <t>02174. КУБЫШКО ОЛЕГ МИХАЙЛОВИЧ ФЛП (Украина, Башмачка)</t>
  </si>
  <si>
    <t>02175. АПТЕКА №140 КП (Украина, Поляна)</t>
  </si>
  <si>
    <t>02176. АПТЕКА №24 ОКП (Украина, Толстое)</t>
  </si>
  <si>
    <t>02177. ГРЫНИВ ЕЛЕНА ИЛЬИНИЧНА ФЛП (Украина, Ивано-Франковск)</t>
  </si>
  <si>
    <t>02178. ФАСИЙ НАТАЛИЯ НИКОЛАЕВНА ФЛП (Украина, Врадиевка)</t>
  </si>
  <si>
    <t>02179. ГЕЛЕТИШАК АНАТОЛИЙ ГРИГОРЬЕВИЧ ФЛП (Украина, Пересадовка)</t>
  </si>
  <si>
    <t>02180. ГУНДА ВЕРА ИВАНОВНА ФЛП (Украина, Грушево)</t>
  </si>
  <si>
    <t>02181. ГРОЗОВАЯ СТЕПАНИДА НИКОЛАЕВНА ФЛП (Украина, Виноградовка)</t>
  </si>
  <si>
    <t>02182. МЕДТЕХНИКА МЧП (Украина, Коломыя)</t>
  </si>
  <si>
    <t>02183. ЛАДЫЖЕНСКИЙ ПЕТР ЕФИМОВИЧ ФЛП (Украина, Коломыя)</t>
  </si>
  <si>
    <t>02184. ЖУЙКОВА ИЛОНА АЛЕКСАНДРОВНА ФЛП (Украина, Берестин)</t>
  </si>
  <si>
    <t>02185. КАЛИФ ЧП (Украина, Тараща)</t>
  </si>
  <si>
    <t>02186. УКРАИНЕЦ МАРЬЯНА БОГДАНОВНА ФЛП (Украина, Перегинское)</t>
  </si>
  <si>
    <t>02187. ЛАЗОВА СВЕТЛАНА ИВАНОВНА ФЛП (Украина, Николаев)</t>
  </si>
  <si>
    <t>02188. МОРАРЬ МАРЬЯНА АНАТОЛЬЕВНА ФЛП (Украина, Верхний Струтинь)</t>
  </si>
  <si>
    <t>02189. КОРБУТ СВЕТЛАНА АЛЕКСАНДРОВНА ФЛП (Украина, Новая Боровая)</t>
  </si>
  <si>
    <t>02190. МОЧАРНЫЙ МАКСИМ ИГОРЕВИЧ ФЛП (Украина, Привольное)</t>
  </si>
  <si>
    <t>02191. ПАЛИЙЧУК ПИОНИЯ ИВАНОВНА ФЛП (Украина, Неполоковцы)</t>
  </si>
  <si>
    <t>02192. ТАТАРЧУК МАЙЯ НИКОЛАЕВНА ФЛП (Украина, Красилов)</t>
  </si>
  <si>
    <t>02193. ЯВОРСКАЯ ТАТЬЯНА ВАЛЕНТИНОВНА ФЛП (Украина, Одесса)</t>
  </si>
  <si>
    <t>02194. ТСЦ БЛАГОВИТ ЧП (Украина, Крюковщина)</t>
  </si>
  <si>
    <t>02195. АПТЕКА №16 ООО (Украина, Черновцы)</t>
  </si>
  <si>
    <t>02196. КУЦИН НИКОЛАЙ НИКОЛАЕВИЧ ФЛП (Украина, Калины)</t>
  </si>
  <si>
    <t>02197. ПАНТАНАССА ЧП (Украина, Киев)</t>
  </si>
  <si>
    <t>02198. РАДЗИМИРСКАЯ НАТАЛЬЯ КОНСТАНТИНОВНА ФЛП (Украина, Окны)</t>
  </si>
  <si>
    <t>02199. БОНДАРЕНКО ЕВГЕНИЙ АЛЕКСАНДРОВИЧ ФЛП (Украина, Радомышль)</t>
  </si>
  <si>
    <t>02200. ОВСЯНИК ОКСАНА МИХАЙЛОВНА ФЛП (Украина, Львов)</t>
  </si>
  <si>
    <t>02201. АНЧУК ЮЛИЯ НИКОЛАЕВНА ФЛП (Украина, Полицы)</t>
  </si>
  <si>
    <t>02202. СОБОЛЬ ВЯЧЕСЛАВ НИКОЛАЕВИЧ ФЛП (Украина, Каменка)</t>
  </si>
  <si>
    <t>02203. БОДЮЛ НИКОЛАЙ МИХАЙЛОВИЧ ФЛП (Украина, Троицкое)</t>
  </si>
  <si>
    <t>02204. КОЛЕСНИК ГАЛИНА ВАСИЛЬЕВНА ФЛП (Украина, Радостное)</t>
  </si>
  <si>
    <t>02205. ЧЕРНЯК ПЕТР ЕМЕЛЬЯНОВИЧ ФЛП (Украина, Илавче)</t>
  </si>
  <si>
    <t>02206. ФЕЛЬШЕР НАТАЛИЯ ИВАНОВНА ФЛП (Украина, Кривой Рог)</t>
  </si>
  <si>
    <t>02207. АПТЕКА ЭКСПРЕСС ООО (Украина, Киев)</t>
  </si>
  <si>
    <t>02208. СЕРЕДЮК ГАЛИНА ТОДОРОВНА ФЛП (Украина, Банилов-Подгорный)</t>
  </si>
  <si>
    <t>02209. СЕНЬКИВ МИХАИЛ АНДРЕЕВИЧ ФЛП (Украина, Долина)</t>
  </si>
  <si>
    <t>02210. СОКОЛЕНКО НИКОЛАЙ КОНСТАНТИНОВИЧ ФЛП (Украина, Кропивницкий)</t>
  </si>
  <si>
    <t>02211. БАНАР КРИСТИНА ЛЕОНИДОВНА ФЛП (Украина, Черленовка)</t>
  </si>
  <si>
    <t>02212. АВДИЕНКО ЛЮДМИЛА МИХАЙЛОВНА ФЛП (Украина, Ивановка)</t>
  </si>
  <si>
    <t>02213. БУРЯЧЕНКО ЕЛЕНА ИГОРЕВНА ФЛП (Украина, Днепр)</t>
  </si>
  <si>
    <t>02214. КОМПАНИЕЦ ВИКТОР АНАТОЛЬЕВИЧ ФЛП (Украина, Никополь)</t>
  </si>
  <si>
    <t>02215. ДЕМЧЕНКО НИКОЛАЙ НИКОЛАЕВИЧ ФЛП (Украина, Жашков)</t>
  </si>
  <si>
    <t>02216. ЩЕРБАН-КАЛЬЧЕНКО ОЛЬГА ОЛЕГОВНА ФЛП (Украина, Звенигородка)</t>
  </si>
  <si>
    <t>02217. ОСТАПУК СЕРГЕЙ СТАНИСЛАВОВИЧ ФЛП (Украина, Марьянское)</t>
  </si>
  <si>
    <t>02218. ЧЕССКАЯ МАРИЯ ПЕТРОВНА ФЛП (Украина, Зеленогорское)</t>
  </si>
  <si>
    <t>02219. КАСЯНЧУК ЕКАТЕРИНА АЛЕКСЕЕВНА ФЛП (Украина, Боярка)</t>
  </si>
  <si>
    <t>02220. ЛЫСЕНКО ОЛЕГ АНАТОЛЬЕВИЧ ФЛП (Украина, Черкассы)</t>
  </si>
  <si>
    <t>02221. ЛУКЬЯНОВА АНЖЕЛА НИКОЛАЕВНА ФЛП (Украина, Кривой Рог)</t>
  </si>
  <si>
    <t>02222. ТАТАРЕНКО АЛЕКСАНДР НИКОЛАЕВИЧ ФЛП (Украина, Кривой Рог)</t>
  </si>
  <si>
    <t>02223. ОНИЩЕНКО ДАРЬЯ ВАЛЕРЬЕВНА ФЛП (Украина, Черновцы)</t>
  </si>
  <si>
    <t>02224. ЖУГАН ВАСИЛИЙ ИВАНОВИЧ ФЛП (Украина, Водица)</t>
  </si>
  <si>
    <t>02225. ВЕЛИКОДНАЯ ОЛЬГА НИКОЛАЕВНА ФЛП (Украина, Павлоград)</t>
  </si>
  <si>
    <t>02226. ТУРЯК ТАТЬЯНА ИВАНОВНА ФЛП (Украина, Берегомет)</t>
  </si>
  <si>
    <t>02227. РО-МЕД ООО (Украина, Белгород-Днестровский)</t>
  </si>
  <si>
    <t>02228. РУДЕНКО ВЛАДИМИР МИХАЙЛОВИЧ ФЛП (Украина, Ингулец)</t>
  </si>
  <si>
    <t>02229. МОЛНАР АНЖЕЛИКА ДЕЙНЕШЕВНА ФЛП (Украина, Батрадь)</t>
  </si>
  <si>
    <t>02230. ЗАПАРИНЮК НАДЕЖДА ВАСИЛЬЕВНА ФЛП (Украина, Волчковцы)</t>
  </si>
  <si>
    <t>02231. ГРИЦЮК СВЕТЛАНА МИХАЙЛОВНА ФЛП (Украина, Олешник)</t>
  </si>
  <si>
    <t>02232. ЯКОВЕНКО ЛЮДМИЛА АЛЕКСАНДРОВНА ФЛП (Украина, Кузьмина Гребля)</t>
  </si>
  <si>
    <t>02233. Клиника профессора ДАХНО Ф.В. ИНСТИТУТ РЕПРОДУКТИВНОЙ МЕДИЦИНЫ ЧАО (Украина, Киев)</t>
  </si>
  <si>
    <t>02234. ЧЕПУРДА НИКОЛАЙ ВЛАДИМИРОВИЧ ФЛП (Украина, Черкассы)</t>
  </si>
  <si>
    <t>02235. ЦЕМИК АНАСТАСИЯ АНДРЕЕВНА ФЛП (Украина, Паволочь)</t>
  </si>
  <si>
    <t>02236. МИЦКАНЮК СВЕТЛАНА МИХАЙЛОВНА ФЛП (Украина, Верховина)</t>
  </si>
  <si>
    <t>02237. МОКРИЕНКО АЛЕКСАНДРА МАКАРОВНА ФЛП (Украина, Хотин)</t>
  </si>
  <si>
    <t>02238. ЖЕРЕБЕЦКАЯ МАРТА РОМАНОВНА ФЛП (Украина, Львов)</t>
  </si>
  <si>
    <t>02239. МЕДФАРМАТРЕЙД ООО (Украина, Белая Церковь)</t>
  </si>
  <si>
    <t>02240. МОЛОДОРЯ ЛЮДМИЛА ИВАНОВНА ФЛП (Украина, Безлюдовка)</t>
  </si>
  <si>
    <t>02241. БОНДАРЬ ЕВГЕНИЙ АЛЕКСАНДРОВИЧ ФЛП (Украина, Красовское)</t>
  </si>
  <si>
    <t>02242. ГАПОН ИРИНА ЮРЬЕВНА ФЛП (Украина, Балашовка)</t>
  </si>
  <si>
    <t>02243. ДЖЕГУР ЛЮДМИЛА АЛЕКСАНДРОВНА ФЛП (Украина, Вязовок)</t>
  </si>
  <si>
    <t>02244. БУГЕРА ОКСАНА НИКИТИЧНА ФЛП (Украина, Оринин)</t>
  </si>
  <si>
    <t>02245. БОЙКО НАДЕЖДА НИКОЛАЕВНА ФЛП (Украина, Коропец)</t>
  </si>
  <si>
    <t>02246. НПК АТЛАНТ ООО (Украина, Запорожье)</t>
  </si>
  <si>
    <t>02247. НАЗАРЕНКО ОЛЬГА ВАЛЕРЬЕВНА ФЛП (Украина, Макаров)</t>
  </si>
  <si>
    <t>02248. ЛАДИК ООО (Украина, Кривой Рог)</t>
  </si>
  <si>
    <t>02249. КОРНИЕНКО ЮЛИЯ ВАЛЕРЬЕВНА ФЛП (Украина, Саливонки)</t>
  </si>
  <si>
    <t>02250. БАГАН ЕЛЕНА ЕМЕЛЬЯНОВНА ФЛП (Украина, Зарванцы)</t>
  </si>
  <si>
    <t>02251. БУРМАК НАТАЛЬЯ АНАТОЛЬЕВНА ФЛП (Украина, Александровка)</t>
  </si>
  <si>
    <t>02252. КИБИШ ЕЛЕНА АЛЬБЕРТОВНА ФЛП (Украина, Мартыновское)</t>
  </si>
  <si>
    <t>02253. ЗИМНЯК ОКСАНА ГАВРИЛОВНА ФЛП (Украина, Пистинь)</t>
  </si>
  <si>
    <t>02254. ПИСЬМЕНСКАЯ НАТАЛИЯ ЯКОВЛЕВНА ФЛП (Украина, Кривой Рог)</t>
  </si>
  <si>
    <t>02255. ШЕНКУНИС АЛЕКСАНДР ВЛАДИМИРОВИЧ ФЛП (Украина, Каменское)</t>
  </si>
  <si>
    <t>02256. ГАРМАШ АЛЛА ВИКТОРОВНА ФЛП (Украина, Васютинцы)</t>
  </si>
  <si>
    <t>02257. ВОЛОВИЧ ИРИНА ЕВГЕНЬЕВНА ФЛП (Украина, Пересадовка)</t>
  </si>
  <si>
    <t>02258. ФЕРНЮК МАРИЯ ПЕТРОВНА ФЛП (Украина, Олеево-Короловка)</t>
  </si>
  <si>
    <t>02259. ГОРИШНЯ АЛИНА ЮРЬЕВНА ФЛП (Украина, Губаревка)</t>
  </si>
  <si>
    <t>02260. РОМАНИЙ МАКСИМ ДМИТРИЕВИЧ ФЛП (Украина, Ромны)</t>
  </si>
  <si>
    <t>02261. ПОПОВА АЛЕНА НИКОЛАЕВНА ФЛП (Украина, Ширяево)</t>
  </si>
  <si>
    <t>02262. ЛЕБЕДЕВА ТАТЬЯНА ВЛАДИМИРОВНА ФЛП (Украина, Павлоград)</t>
  </si>
  <si>
    <t>02263. БАРКОВ ИЛЬЯ СЕРГЕЕВИЧ ФЛП (Украина, Будище)</t>
  </si>
  <si>
    <t>02264. ХАРЧУК ЛИЛИЯ АЛЕКСАНДРОВНА ФЛП (Украина, Прислуч)</t>
  </si>
  <si>
    <t>02265. АЛЕКСЕЕНКО НАТАЛИЯ ВАЛЕРЬЕВНА ФЛП (Украина, Носовка)</t>
  </si>
  <si>
    <t>02266. АПТЕКА ГОСПИТАЛЬНЫХ ПРЕПАРАТОВ ООО (Украина, Киев)</t>
  </si>
  <si>
    <t>02267. ПЫШНЯК ИНГА ГАРЬЕВНА ФЛП (Украина, Бердичев)</t>
  </si>
  <si>
    <t>02268. ГРИГОРЕНКО НАТАЛИЯ АЛЕКСАНДРОВНА ФЛП (Украина, Лютенька)</t>
  </si>
  <si>
    <t>02269. БУРБЕЛЮК НИКОЛАЙ АЛЕКСАНДРОВИЧ ФЛП (Украина, Гранов)</t>
  </si>
  <si>
    <t>02270. Санаторий реабилитационный многопрофильный САРТУС ООО (Украина, Одесса)</t>
  </si>
  <si>
    <t>02271. ОМЕЛЬЧЕНКО АЛЕНА ВИТАЛЬЕВНА ФЛП (Украина, Одесса)</t>
  </si>
  <si>
    <t>02272. ИВАЩЕНКО ВАЛЕНТИНА МИХАЙЛОВНА ФЛП (Украина, Лебедин)</t>
  </si>
  <si>
    <t>02273. АНЮХИН ЮРИЙ ВИКТОРОВИЧ ФЛП (Украина, Прохоровка)</t>
  </si>
  <si>
    <t>02274. БЕЛЛА ЧП (Украина, Дерцен)</t>
  </si>
  <si>
    <t>02275. ЦИМБАЛЮК ТАТЬЯНА МИХАЙЛОВНА ФЛП (Украина, Колодробка)</t>
  </si>
  <si>
    <t>02276. БЕРКОВСКАЯ ИЛОНА ДМИТРИЕВНА ФЛП (Украина, Кострижевка)</t>
  </si>
  <si>
    <t>02277. ЖОЛОБАН ИВАН ВАСИЛЬЕВИЧ ФЛП (Украина, Ивано-Франковск)</t>
  </si>
  <si>
    <t>02278. СТОЖАРЫ ЧП (Украина, Одесса)</t>
  </si>
  <si>
    <t>02279. ХИТРОВ АЛЕКСАНДР БОРИСОВИЧ ФЛП (Украина, Сумы)</t>
  </si>
  <si>
    <t>02280. ЕРИСКИН ВЛАДИМИР ПЕТРОВИЧ ФЛП (Украина, Петрово)</t>
  </si>
  <si>
    <t>02281. ЯНУШ ГАЛИНА АНАТОЛЬЕВНА ФЛП (Украина, Козова)</t>
  </si>
  <si>
    <t>02282. ФЕДАС ТАТЬЯНА МИХАЙЛОВНА ФЛП (Украина, Витковичи)</t>
  </si>
  <si>
    <t>02283. ХЕЛСИ-ВИТА ООО (Украина, Киев)</t>
  </si>
  <si>
    <t>02284. БЕЛИКОВ ИГОРЬ АНАТОЛИЕВИЧ ФЛП (Украина, Кривой Рог)</t>
  </si>
  <si>
    <t>02285. ВАСИЛИШИН РУСЛАН ВЛАДИМИРОВИЧ ФЛП (Украина, Татаров)</t>
  </si>
  <si>
    <t>02286. ОБЕРЕГ-ФАРМ ООО (Украина, Новые Петровцы)</t>
  </si>
  <si>
    <t>02287. ВОВЧОК УЛЬЯНА ЗИНОВЬЕВНА ФЛП (Украина, Стрый)</t>
  </si>
  <si>
    <t>02288. УХАЛЬ ОКСАНА НИКОЛАЕВНА ФЛП (Украина, Калины)</t>
  </si>
  <si>
    <t>02289. ПУГАЧ АЛЛА ВЛАДИМИРОВНА ФЛП (Украина, Мироновка)</t>
  </si>
  <si>
    <t>02290. КЛОЧКО АЛЕКСАНДР ГРИГОРЬЕВИЧ ФЛП (Украина, Николаев)</t>
  </si>
  <si>
    <t>02291. СКРИПНИКОВА НАТАЛЬЯ ФЕДОРОВНА ФЛП (Украина, Кропивницкий)</t>
  </si>
  <si>
    <t>02292. ВИТЕКС ООО (Украина, Одесса)</t>
  </si>
  <si>
    <t>02293. АПТЕКА ООО (Украина, Белгород-Днестровский)</t>
  </si>
  <si>
    <t>02294. КУРЦЕБА МАКСИМ БОРИСОВИЧ ФЛП (Украина, Софиевская Борщаговка)</t>
  </si>
  <si>
    <t>02295. КУЛИК ВАЛЕРИЙ ПЕТРОВИЧ ФЛП (Украина, Чаплино)</t>
  </si>
  <si>
    <t>02296. ЗУБАЧ ЗИНАИДА ИВАНОВНА ФЛП (Украина, Ольшаница)</t>
  </si>
  <si>
    <t>02297. РЫМАР ТАТЬЯНА АНАТОЛЬЕВНА ФЛП (Украина, Старый Мерчик)</t>
  </si>
  <si>
    <t>02298. ЖУРБЕНКО НАТАЛЬЯ МИХАЙЛОВНА ФЛП (Украина, Сумы)</t>
  </si>
  <si>
    <t>02299. АНКАР-2 ЧП (Украина, Березовка)</t>
  </si>
  <si>
    <t>02300. ФАРМАЦИЯ-СТАВ ООО (Украина, Володарка)</t>
  </si>
  <si>
    <t>02301. ГРИНЬКОВ ВИТАЛИЙ МИХАЙЛОВИЧ ФЛП (Украина, Жураки)</t>
  </si>
  <si>
    <t>02302. ШИТИЛЕВА АЛЕНА ГРИГОРЬЕВНА ФЛП (Украина, Бобринец)</t>
  </si>
  <si>
    <t>02303. ВОРОБЬЕВА ВАЛЕНТИНА АНДРЕЕВНА ФЛП (Украина, Великая Александровка)</t>
  </si>
  <si>
    <t>02304. БС-ПЛЮС ООО (Украина, Дослидницкое)</t>
  </si>
  <si>
    <t>02305. Центр медицинский ГОМЕОПАТИЯ ОТ ПОПОВЫХ ООО (Украина, Киев)</t>
  </si>
  <si>
    <t>02306. КОНДРАТЮК ИВАН ИВАНОВИЧ ФЛП (Украина, Перерослое)</t>
  </si>
  <si>
    <t>02307. КИБА ОКСАНА БОГДАНОВНА ФЛП (Украина, Клювинцы)</t>
  </si>
  <si>
    <t>02308. КАМРАТ ОКСАНА РОМАНОВНА ФЛП (Украина, Дзвиняч)</t>
  </si>
  <si>
    <t>02309. КИСЕЛЕВА ТАТЬЯНА АНАТОЛЬЕВНА ФЛП (Украина, Кривой Рог)</t>
  </si>
  <si>
    <t>02310. ГАРЯЧУК ФЕДОР МИХАЙЛОВИЧ ФЛП (Украина, Пятигоры)</t>
  </si>
  <si>
    <t>02311. ГРИЦЕНКО НАТАЛИЯ ЮРЬЕВНА ФЛП (Украина, Шевченково)</t>
  </si>
  <si>
    <t>02312. ГЕНЫК МИХАИЛ НИКОЛАЕВИЧ ФЛП (Украина, Выжний Березов)</t>
  </si>
  <si>
    <t>02313. БЕЗШЛЯГА ИРИНА АНАТОЛЬЕВНА ФЛП (Украина, Ширяево)</t>
  </si>
  <si>
    <t>02314. РУБИКОН ЧП (Украина, Новомиргород)</t>
  </si>
  <si>
    <t>02315. СВИНТОЗЕЛЬСКИЙ АЛЕКСАНДР АЛЕКСЕЕВИЧ ФЛП (Украина, Киев)</t>
  </si>
  <si>
    <t>02316. ПОЛОУС СВЕТЛАНА НИКОЛАЕВНА ФЛП (Украина, Грунь)</t>
  </si>
  <si>
    <t>02317. ГЕЛЬНЕЦИ МИРОСЛАВА ИЛЬИНИЧНА ФЛП (Украина, Ждениево)</t>
  </si>
  <si>
    <t>02318. ГРИЦАК СВЕТЛАНА ПЕТРОВНА ФЛП (Украина, Старуня)</t>
  </si>
  <si>
    <t>02319. КУЛИНА АНДРЕЙ МИХАЙЛОВИЧ ФЛП (Украина, Калуш)</t>
  </si>
  <si>
    <t>02320. КЛОК НАТАЛИЯ БОРИСОВНА ФЛП (Украина, Помошная)</t>
  </si>
  <si>
    <t>02321. ЕРЕМЕНКО ИРИНА ЮРЬЕВНА ФЛП (Украина, Кропивницкий)</t>
  </si>
  <si>
    <t>02322. СТЕШЕНКО ГАЛИНА НИКОЛАЕВНА ФЛП (Украина, Аджамка)</t>
  </si>
  <si>
    <t>02323. АТН-АЛЬФА МЧП ФИРМА (Украина, Павлоград)</t>
  </si>
  <si>
    <t>02324. ШАПОВАЛ ИНЕССА АНАТОЛЬЕВНА ФЛП (Украина, Переяслав)</t>
  </si>
  <si>
    <t>02325. КОВБАСЮК ВАЛЕНТИНА ВИКТОРОВНА ФЛП (Украина, Дибровка)</t>
  </si>
  <si>
    <t>02326. ЛЕЩЕНКО ЛАРИСА МИХАЙЛОВНА ФЛП (Украина, Рыхальское)</t>
  </si>
  <si>
    <t>02327. ПИЛИПАКА НАТАЛИЯ АЛЕКАСНДРОВНА ФЛП (Украина, Городище)</t>
  </si>
  <si>
    <t>02328. КРЕМСАЛЮК ИРИНА ПЕТРОВНА ФЛП (Украина, Томашовка)</t>
  </si>
  <si>
    <t>02329. АПТЕКА ПРИ БОГУСЛАВСКОЙ ЦЕНТРАЛЬНОЙ РАЙОННОЙ БОЛЬНИЦЕ КП (Украина, Богуслав)</t>
  </si>
  <si>
    <t>02330. ФИЛАТЬЕВА ЛЮДМИЛА ВАСИЛЬЕВНА ФЛП (Украина, Летки)</t>
  </si>
  <si>
    <t>02331. ВТЭК ЧП (Украина, Карловка)</t>
  </si>
  <si>
    <t>02332. ЗУБ АДАМ ПАВЛОВИЧ ФЛП (Украина, Бровары)</t>
  </si>
  <si>
    <t>02333. КЛОЧКО ИРИНА ГРИГОРЬЕВНА ФЛП (Украина, Николаев)</t>
  </si>
  <si>
    <t>02334. ЛУГИНА ИННА ВЛАДИМИРОВНА ФЛП (Украина, Олевск)</t>
  </si>
  <si>
    <t>02335. МАСЛОВСКИЙ АЛЕКСАНДР СЕРГЕЕВИЧ ФЛП (Украина, Добровеличковка)</t>
  </si>
  <si>
    <t>02336. СИФАРМА ООО (Украина, Нерубайское)</t>
  </si>
  <si>
    <t>02337. ЦИБКО СВЕТЛАНА АЛЕКСЕЕВНА ФЛП (Украина, Белозерка)</t>
  </si>
  <si>
    <t>02338. БОРИСЕНКО ЯНА ВИКТОРОВНА ФЛП (Украина, Богдановка)</t>
  </si>
  <si>
    <t>02339. КОЛОМОЕЦ ВАДИМ ГЕННАДЬЕВИЧ ФЛП (Украина, Покровское)</t>
  </si>
  <si>
    <t>02340. ТКАЧ ИННА НИКОЛАЕВНА ФЛП (Украина, Каменец-Подольский)</t>
  </si>
  <si>
    <t>02341. ЗАЙЦЕВА ГАЛИНА ГРИГОРЬЕВНА ФЛП (Украина, Сергеевка)</t>
  </si>
  <si>
    <t>02342. АПТЕКА ГП (Украина, Киев)</t>
  </si>
  <si>
    <t>02343. МАЦИШИНА РАИСА ФЕОФАНОВНА ФЛП (Украина, Подзамче)</t>
  </si>
  <si>
    <t>02344. ВОЛОС ОЛЬГА ИВАНОВНА ФЛП (Украина, Великая Уголька)</t>
  </si>
  <si>
    <t>02345. ВАЩЕНКО ИГОРЬ АЛЕКСЕЕВИЧ ФЛП (Украина, Выгода)</t>
  </si>
  <si>
    <t>02346. БАЧИШ АЛЕКСЕЙ ЮРЬЕВИЧ ФЛП (Украина, Журавка)</t>
  </si>
  <si>
    <t>02347. РЯШКО ИРИНА АЛЕКСАНДРОВНА ФЛП (Украина, Мукачево)</t>
  </si>
  <si>
    <t>02348. АПТЕКА БИЛА ЛИЛЕЯ КП (Украина, Водянское)</t>
  </si>
  <si>
    <t>02349. КАРАГЕНОВА НИНА СЕМЕНОВНА ФЛП (Украина, Делень)</t>
  </si>
  <si>
    <t>02350. БУРЯЧЕК ОКСАНА АЛЕКСАНДРОВНА ФЛП (Украина, Богдановцы)</t>
  </si>
  <si>
    <t>02351. СОЛТАНОВА ЕКАТЕРИНА ИВАНОВНА ФЛП (Украина, Жашков)</t>
  </si>
  <si>
    <t>02352. СЕРПЕНИНОВА ВАЛЕНТИНА МИХАЙЛОВНА ФЛП (Украина, Степановка)</t>
  </si>
  <si>
    <t>02353. БУНДЗЯК ЕВГЕНИЙ ВАСИЛЬЕВИЧ ФЛП (Украина, Солотвин)</t>
  </si>
  <si>
    <t>02354. КРИСТАЛЛ МЕДИКАЛ ГРУПП ООО (Украина, Одесса)</t>
  </si>
  <si>
    <t>02355. МАРИНИЧ ВАЛЕНТИНА АНДРЕЕВНА ФЛП (Украина, Одесса)</t>
  </si>
  <si>
    <t>02356. САМИЙЛЕНКО ЕЛЕНА НИКОЛАЕВНА ФЛП (Украина, Старосельцы)</t>
  </si>
  <si>
    <t>02357. РУДЕНКО ОЛЬГА НИКОЛАЕВНА ФЛП (Украина, Черноморск)</t>
  </si>
  <si>
    <t>02358. ЧЕРНЫШОВА НАТАЛИЯ ВАЛЕРЬЕВНА ФЛП (Украина, Харьков)</t>
  </si>
  <si>
    <t>02359. ЯНА ЧП (Украина, Ланна)</t>
  </si>
  <si>
    <t>02360. ДУДА НАТАЛИЯ БОГДАНОВНА ФЛП (Украина, Перегинское)</t>
  </si>
  <si>
    <t>02361. ШЕВЧУК ОКСАНА ВАСИЛЬЕВНА ФЛП (Украина, Репужинцы)</t>
  </si>
  <si>
    <t>02362. ДАРИЕНКО НИКОЛАЙ АНАТОЛИЕВИЧ ФЛП (Украина, Врадиевка)</t>
  </si>
  <si>
    <t>02363. САВЧАК ВЛАДИМИР ИВАНОВИЧ ФЛП (Украина, Городенка)</t>
  </si>
  <si>
    <t>02364. КРАСНЫЙ КРЕСТ-Д ООО (Украина, Днепр)</t>
  </si>
  <si>
    <t>02365. ПАШУТА ЮРИЙ ЛЕОНИДОВИЧ ФЛП (Украина, Вольногорск)</t>
  </si>
  <si>
    <t>02366. НАДИЯ ЧП (Украина, Завалье)</t>
  </si>
  <si>
    <t>02367. ДУТЧАК МИРОСЛАВА ВАСИЛЬЕВНА ФЛП (Украина, Шешоры)</t>
  </si>
  <si>
    <t>02368. ФОШНЯ ТАТЬЯНА ЛЕОНИДОВНА ФЛП (Украина, Первомайск)</t>
  </si>
  <si>
    <t>02369. ДМИТРЕВКО ЛИДИЯ ЯРОСЛАВОВНА ФЛП (Украина, Дуба)</t>
  </si>
  <si>
    <t>02370. НЕОН ООО (Украина, Моршин)</t>
  </si>
  <si>
    <t>02371. УНГУРЯНУ НИКОЛАЙ ФЕДОРОВИЧ ФЛП (Украина, Новоборисовка)</t>
  </si>
  <si>
    <t>02372. МАРТЫНЕНКО ИННА АНАТОЛЬЕВНА ФЛП (Украина, Софиевка)</t>
  </si>
  <si>
    <t>02373. АЛЬФА МЧП (Украина, Лебедин)</t>
  </si>
  <si>
    <t>02374. ЗАКАРИЯ ИРИНА СЕРГЕЕВНА ФЛП (Украина, Овидиополь)</t>
  </si>
  <si>
    <t>02375. АНДРОНИКОВ АЛЕКСАНДР АНАТОЛЬЕВИЧ ФЛП (Украина, Удобное)</t>
  </si>
  <si>
    <t>02376. КУЧЕРЯВЕНКО ЛИЛИЯ ВЛАДИМИРОВНА ФЛП (Украина, Веселиново)</t>
  </si>
  <si>
    <t>02377. ГОРБИК ОЛЬГА НИКОЛАЕВНА ФЛП (Украина, Великая Писаревка)</t>
  </si>
  <si>
    <t>02378. ЖИЛЕНКО ЕЛЕНА НИКОЛАЕВНА ФЛП (Украина, Марьяновка)</t>
  </si>
  <si>
    <t>02379. ЧУБАТА ЛЮДМИЛА АЛЕКСАНДРОВНА ФЛП (Украина, Клесов)</t>
  </si>
  <si>
    <t>02380. ДОНЕНКО ДМИТРИЙ ВАЛЕРЬЕВИЧ ФЛП (Украина, Дружковка)</t>
  </si>
  <si>
    <t>02381. КУСТРИН ЛЮБОВЬ ПЕТРОВНА ФЛП (Украина, Чернелица)</t>
  </si>
  <si>
    <t>02382. ГОРСТ ОКСАНА ЕВГЕНЬЕВНА ФЛП (Украина, Николаев)</t>
  </si>
  <si>
    <t>02383. ЯРУЛИНА ЛЮДМИЛА СТЕПАНОВНА ФЛП (Украина, Гоголево)</t>
  </si>
  <si>
    <t>02384. МИХАЙЛЕНКО АЛЕКСАНДР ВИКТОРОВИЧ ФЛП (Украина, Одесса)</t>
  </si>
  <si>
    <t>02385. КУПРИЯНОВ ЕВГЕНИЙ ПАВЛОВИЧ ФЛП (Украина, Полтава)</t>
  </si>
  <si>
    <t>02386. ПРИМА-КИЕВ ООО (Украина, Киев)</t>
  </si>
  <si>
    <t>02387. ЛЕЧЕБНО-ОЗДОРОВИТЕЛЬНОЕ ПРЕДПРИЯТИЕ АСТРА ООО (Украина, Киев)</t>
  </si>
  <si>
    <t>02388. ДЕРЕВЯНКО МАРИНА АНАТОЛИЕВНА ФЛП (Украина, Перещепино)</t>
  </si>
  <si>
    <t>02389. МИКЕТЧИНА ТАМАРА ИВАНОВНА ФЛП (Украина, Песчаный Брод)</t>
  </si>
  <si>
    <t>02390. Центр медицинский ФЕМИЛИ КЕА МЕЖДУНАРОДНЫЙ ЦЕНТР ГОМЕОПАТИИ ООО (Украина, Киев)</t>
  </si>
  <si>
    <t>02391. БАРАБАШ ИГОРЬ ГРИГОРЬЕВИЧ ФЛП (Украина, Окны)</t>
  </si>
  <si>
    <t>02392. КАВУН ОЛЕГ ВЛАДИМИРОВИЧ ФЛП (Украина, Радостный Сад)</t>
  </si>
  <si>
    <t>02393. ГЕЛОС ООО (Украина, Давыдов)</t>
  </si>
  <si>
    <t>02394. ВАРЦАБЬЮК ЕВГЕНИЯ ВАСИЛЬЕВНА ФЛП (Украина, Прокурава)</t>
  </si>
  <si>
    <t>02395. ЛИЧИКАКИ МАРИЯ СЕРГЕЕВНА ФЛП (Украина, Молодежное)</t>
  </si>
  <si>
    <t>02396. ИЛЬЧИШИН НАДЕЖДА ДМИТРИЕВНА ФЛП (Украина, Пороги)</t>
  </si>
  <si>
    <t>02397. ПАВЛЫК ОЛЕГ БОГДАНОВИЧ ФЛП (Украина, Верховина)</t>
  </si>
  <si>
    <t>02398. СПЕКТРУМС ЧП (Украина, Кривой Рог)</t>
  </si>
  <si>
    <t>02399. МОСТОВАЯ ЛЮДМИЛА МИХАЙЛОВНА ФЛП (Украина, Переяслав)</t>
  </si>
  <si>
    <t>02400. ЗЕЛЕНАЯ ОЛЬГА ЗБИГНЕВНА ФЛП (Украина, Лебедин)</t>
  </si>
  <si>
    <t>02401. ЛЫТУС ИННА ВЛАДИМИРОВНА ФЛП (Украина, Канев)</t>
  </si>
  <si>
    <t>02402. БУГАЕВ ВАЛЕНТИН ВАЛЕНТИНОВИЧ ФЛП (Украина, Кривой Рог)</t>
  </si>
  <si>
    <t>02403. СТРАТЕНЧУК ЕЛЕНА ИГОРЕВНА ФЛП (Украина, Кривой Рог)</t>
  </si>
  <si>
    <t>02404. ЕФИМЕНКО ИГОРЬ ЮРЬЕВИЧ ФЛП (Украина, Золочев)</t>
  </si>
  <si>
    <t>02405. БОЙКО ЛЮДМИЛА АНАТОЛЬЕВНА ФЛП (Украина, Святопетровское)</t>
  </si>
  <si>
    <t>02406. СЕМАК СОФИЯ СТЕПАНОВНА ФЛП (Украина, Завалов)</t>
  </si>
  <si>
    <t>02407. ЧУРСИНА НАДЕЖДА ВИКТОРОВНА ФЛП (Украина, Кропивницкий)</t>
  </si>
  <si>
    <t>02408. ГРОМ МАРИЯ АДАМОВНА ФЛП (Украина, Быстричи)</t>
  </si>
  <si>
    <t>02409. ЛУПИНА ГАЛИНА НИКОЛАЕВНА ФЛП (Украина, Новая Прага)</t>
  </si>
  <si>
    <t>02410. СКОРОБОГАТЫЙ ВЛАДИМИР НИКОЛАЕВИЧ ФЛП (Украина, Кривой Рог)</t>
  </si>
  <si>
    <t>02411. ТАРАН ТАТЬЯНА КОНСТАНТИНОВНА ФЛП (Украина, Веселое)</t>
  </si>
  <si>
    <t>02412. Университет медицинский национальный им. Д. Галицкого (Украина, Львов)</t>
  </si>
  <si>
    <t>02413. МЕДЕРИФАРМ ООО (Украина, Киев)</t>
  </si>
  <si>
    <t>02414. РАКИТСКАЯ ТАТЬЯНА ВЛАДИМИРОВНА ФЛП (Украина, Каменское)</t>
  </si>
  <si>
    <t>02415. КОЛОТИЙ ГЕННАДИЙ ГРИГОРЬЕВИЧ ФЛП (Украина, Лукашовка)</t>
  </si>
  <si>
    <t>02416. АПТЕКА АСКО-ФАРМ ООО (Украина, Киев)</t>
  </si>
  <si>
    <t>02417. САЛИЭКО ООО (Украина, Днепр)</t>
  </si>
  <si>
    <t>02418. ДЕЛЬТА МЕДИКЕЛ ПРОМОУШНЗ АГ (Швейцария, Цюрих)</t>
  </si>
  <si>
    <t>02419. МОРОЗ ЕЛЕНА НИКОЛАЕВНА ФЛП (Украина, Белая Церковь)</t>
  </si>
  <si>
    <t>02420. ПОДОПРИГОРА АНДРЕЙ МИХАЙЛОВИЧ ФЛП (Украина, Мукачево)</t>
  </si>
  <si>
    <t>02421. КИНДРАТЮК ЮЛИЯ ПЕТРОВНА ФЛП (Украина, Ровно)</t>
  </si>
  <si>
    <t>02422. ЯРЕМКО ИГОРЬ ОЛЕГОВИЧ ФЛП (Украина, Городище)</t>
  </si>
  <si>
    <t>02423. ИВАШКЕВИЧ ТАТЬЯНА НИКОЛАЕВНА ФЛП (Украина, Просяная)</t>
  </si>
  <si>
    <t>02424. КАЧУР ВАЛЕНТИНА ИВАНОВНА ФЛП (Украина, Вчерайше)</t>
  </si>
  <si>
    <t>02425. ХАМУЛЯК ОЛЬГА ЕВГЕНЬЕВНА ФЛП (Украина, Козова)</t>
  </si>
  <si>
    <t>02426. РЕЗНИЧЕНКО ВЯЧЕСЛАВ ВЛАДИМИРОВИЧ ФЛП (Украина, Любиковичи)</t>
  </si>
  <si>
    <t>02427. ПОНОМАРЕНКО НАТАЛИЯ ЮРЬЕВНА ФЛП (Украина, Ракитное)</t>
  </si>
  <si>
    <t>02428. ЦОЙ НЕЛЛЯ ФИЛИППОВНА ФЛП (Украина, Николаев)</t>
  </si>
  <si>
    <t>02429. СТРЕЛЕЦ ВАЛЕНТИНА ВИТАЛЬЕВНА ФЛП (Украина, Бобрик)</t>
  </si>
  <si>
    <t>02430. КАЧАЙЛО ЯНА МИХАЙЛОВНА ФЛП (Украина, Великий Раковец)</t>
  </si>
  <si>
    <t>02431. ЯНИНА ТАТЬЯНА ФИЛИППОВНА ФЛП (Украина, Новые Петровцы)</t>
  </si>
  <si>
    <t>02432. ГРУЗИН ДМИТРИЙ ВАСИЛЬЕВИЧ ФЛП (Украина, Светловодск)</t>
  </si>
  <si>
    <t>02433. ЧЕТВЕРИКОВ ЕВГЕНИЙ ЕВГЕНЬЕВИЧ ФЛП (Украина, Александровка)</t>
  </si>
  <si>
    <t>02434. ГЛУЩЕНКО НИКОЛАЙ НИКОЛАЕВИЧ ФЛП (Украина, Пирново)</t>
  </si>
  <si>
    <t>02435. КЛИМЕНКО ЕКАТЕРИНА ВЛАДИМИРОВНА ФЛП (Украина, Коростень)</t>
  </si>
  <si>
    <t>02436. СЛИНЬКО РУСЛАН СЕРГЕЕВИЧ ФЛП (Украина, Васильков)</t>
  </si>
  <si>
    <t>02437. ДЕРЕВЯНКО АЛЕКСЕЙ ИГОРЕВИЧ ФЛП (Украина, Доманевка)</t>
  </si>
  <si>
    <t>02438. ЛЕДНЕЙ ЯНА СТЕПАНОВНА ФЛП (Украина, Березово)</t>
  </si>
  <si>
    <t>02439. ЯНОВИЧ СВЕТЛАНА ПЕТРОВНА ФЛП (Украина, Плавья)</t>
  </si>
  <si>
    <t>02440. ДОЛГОПЯТА ЛЮДМИЛА ВЛАДИМИРОВНА ФЛП (Украина, Житомир)</t>
  </si>
  <si>
    <t>02441. ГОЛУБ ОЛЬГА АРХИПОВНА ФЛП (Украина, Березно)</t>
  </si>
  <si>
    <t>02442. АЛЕКСЕЕВЕЦ ЕКАТЕРИНА ИВАНОВНА ФЛП (Украина, Орвяница)</t>
  </si>
  <si>
    <t>02443. ЛИТВИН ОЛЕГ НИКОЛАЕВИЧ ФЛП (Украина, Белая Церковь)</t>
  </si>
  <si>
    <t>02444. ЗАРУБАЙКО ЛЮБОМИРА НИКОЛАЕВНА ФЛП (Украина, Моринцы)</t>
  </si>
  <si>
    <t>02445. БАШЛОВКА СВЕТЛАНА ПЕТРОВНА ФЛП (Украина, Мокрая Калигорка)</t>
  </si>
  <si>
    <t>02446. САНФИРОВА ОЛЬГА ИВАНОВНА ФЛП (Украина, Никополь)</t>
  </si>
  <si>
    <t>02447. ГЕЦКО АННА ИВАНОВНА ФЛП (Украина, Кушница)</t>
  </si>
  <si>
    <t>02448. МАКСИМЕНКО НАТАЛИЯ ГРИГОРЬЕВНА ФЛП (Украина, Обухов)</t>
  </si>
  <si>
    <t>02449. ЛЕГЕДЗА ЕЛЕНА ВАСИЛЬЕВНА ФЛП (Украина, Колодистое)</t>
  </si>
  <si>
    <t>02450. МЕД-ЕВРОФАРМ ООО (Украина, Белогородка)</t>
  </si>
  <si>
    <t>02451. КАРОЛЬ ВАЦЛАВА АНТОНОВНА ФЛП (Украина, Золотой Поток)</t>
  </si>
  <si>
    <t>02452. КОРЕНЧУК АНДРЕЙ ЮРЬЕВИЧ ФЛП (Украина, Подвысокое)</t>
  </si>
  <si>
    <t>02453. ГАЛИС НПЧП (Украина, Краматорск)</t>
  </si>
  <si>
    <t>02454. БОРОДАЙКЕВИЧ ЯРОСЛАВ ИВАНОВИЧ ФЛП (Украина, Олешов)</t>
  </si>
  <si>
    <t>02455. ТЕРЕЛЮК ЛЮДМИЛА НИКОЛАЕВНА ФЛП (Украина, Сумы)</t>
  </si>
  <si>
    <t>02456. АРТЕМЕНКО АЛЕКСАНДР ДМИТРИЕВИЧ ФЛП (Украина, Фурмановка)</t>
  </si>
  <si>
    <t>02457. СТРАШЕВСКАЯ ЛЮБОВЬ ГРИГОРЬЕВНА ФЛП (Украина, Ясеница-Сольная)</t>
  </si>
  <si>
    <t>02458. ТИЩЕНКО ИРИНА ВЯЧЕСЛАВОВНА ФЛП (Украина, Германовка)</t>
  </si>
  <si>
    <t>02459. КОХАНЮК ИГОРЬ ЛЕОНИДОВИЧ ФЛП (Украина, Добровеличковка)</t>
  </si>
  <si>
    <t>02460. Центр медицинский ПЕРВЫЙ НЕКРАСЕНКО ООО (Украина, Первомайск)</t>
  </si>
  <si>
    <t>02461. КРАВЧЕНКО ОЛЬГА ПЕТРОВНА ФЛП (Украина, Матусов)</t>
  </si>
  <si>
    <t>02462. ВОЛКОВИНСКИЙ НИКОЛАЙ ВАСИЛЬЕВИЧ ФЛП (Украина, Великая Мечетня)</t>
  </si>
  <si>
    <t>02463. ЯМЧИЦКАЯ ТАТЬЯНА АЛЕКСЕЕВНА ФЛП (Украина, Набутов)</t>
  </si>
  <si>
    <t>02464. КОВАЛЕВА ВИКТОРИЯ ВЛАДИМИРОВНА ФЛП (Украина, Першотравневое)</t>
  </si>
  <si>
    <t>02465. ОГРЕНИЧ ОЛЬГА ОЛЕГОВНА ФЛП (Украина, Веремиевка)</t>
  </si>
  <si>
    <t>02466. ХАЧИН ГЕОРГИЙ ПЕТРОВИЧ ФЛП (Украина, Новоселовка)</t>
  </si>
  <si>
    <t>02467. ХОЛОДОВА ОЛЬГА ВЛАДИМИРОВНА ФЛП (Украина, Родинское)</t>
  </si>
  <si>
    <t>02468. ОРЕЛ ЮЛИЯ ПЕТРОВНА ФЛП (Украина, Чернявка)</t>
  </si>
  <si>
    <t>02469. ГОЛОВАЧ ЛЮБОВЬ АЛЕКСЕЕВНА ФЛП (Украина, Мирноград)</t>
  </si>
  <si>
    <t>02470. КОШЕВАЯ АЛЕКСАНДРА ВЛАДИМИРОВНА ФЛП (Украина, Карповка)</t>
  </si>
  <si>
    <t>02471. АПТЕКА ЦЕНТОРИЯ ООО (Украина, Ивано-Франковск)</t>
  </si>
  <si>
    <t>02472. ПОНОМАРЕВ ВИКТОР ВИТАЛЬЕВИЧ ФЛП (Украина, Никополь)</t>
  </si>
  <si>
    <t>02473. ПАТРУС ТАТЬЯНА ВАСИЛЬЕВНА ФЛП (Украина, Теребля)</t>
  </si>
  <si>
    <t>02474. САБОВЧИК СВЕТЛАНА АЛЕКСАНДРОВНА ФЛП (Украина, Среднее)</t>
  </si>
  <si>
    <t>02475. ВОРОБЕЦ ЯРОСЛАВ СТЕПАНОВИЧ ФЛП (Украина, Хуст)</t>
  </si>
  <si>
    <t>02476. ТИМОФЕЕВА ВАЛЕНТИНА СЕМЕНОВНА ФЛП (Украина, Теплица)</t>
  </si>
  <si>
    <t>02477. ОЗЕРНЯНСКОЕ ЖКПП (Украина, Озерная)</t>
  </si>
  <si>
    <t>02478. АЛЕКСЕЕНКО АННА ИВАНОВНА ФЛП (Украина, Тячев)</t>
  </si>
  <si>
    <t>02479. БЕККЕР НАТАЛИЯ ВАСИЛЬЕВНА ФЛП (Украина, Маньковка)</t>
  </si>
  <si>
    <t>02480. ХАРИТОНОВА АНЖЕЛА СТАНИСЛАВОВНА ФЛП (Украина, Первомайск)</t>
  </si>
  <si>
    <t>02481. ТОДОРЕНКО ЕЛЕНА МИХАЙЛОВНА ФЛП (Украина, Гайворон)</t>
  </si>
  <si>
    <t>02482. ШЕЛУДЧЕНКО ЕЛЕНА ЕВГЕНЬЕВНА ФЛП (Украина, Константиновка)</t>
  </si>
  <si>
    <t>02483. КУРТА АНТОНИНА ИВАНОВНА ФЛП (Украина, Худлево)</t>
  </si>
  <si>
    <t>02484. ВЛАДИМИРОВА ЛИЛИЯ ВИКТОРОВНА ФЛП (Украина, Аполлоновка)</t>
  </si>
  <si>
    <t>02485. БОРЕЦКАЯ ЮЛИЯ ГРИГОРЬЕВНА ФЛП (Украина, Чаплино)</t>
  </si>
  <si>
    <t>02486. МЕДФАРМ ООО (Украина, Черноморск)</t>
  </si>
  <si>
    <t>02487. Больница многопрофильная поселковая (Украина, Гоща)</t>
  </si>
  <si>
    <t>02488. БУРА ЛАРИСА НИКОЛАЕВНА ФЛП (Украина, Стеблевка)</t>
  </si>
  <si>
    <t>02489. РУЩАК РОЗАЛИЯ ЮРЬЕВНА ФЛП (Украина, Дубовое)</t>
  </si>
  <si>
    <t>02490. ЛОЗА АННА ИГНАТОВНА ФЛП (Украина, Хмельницкий)</t>
  </si>
  <si>
    <t>Others</t>
  </si>
  <si>
    <t>Історія продажів</t>
  </si>
  <si>
    <t>MSр%</t>
  </si>
  <si>
    <t>Долевой план Гинек</t>
  </si>
  <si>
    <t>Расч долевой план</t>
  </si>
  <si>
    <t>упер</t>
  </si>
  <si>
    <t>АППР</t>
  </si>
  <si>
    <t xml:space="preserve">Эффективность! </t>
  </si>
  <si>
    <t>Супер</t>
  </si>
  <si>
    <t>Нравиться</t>
  </si>
  <si>
    <t>Приемлемый</t>
  </si>
  <si>
    <t>Задуматься</t>
  </si>
  <si>
    <t>Уйти</t>
  </si>
  <si>
    <t>Макс бонусы</t>
  </si>
  <si>
    <t>мин бонусы</t>
  </si>
  <si>
    <t>Мин бонусы</t>
  </si>
  <si>
    <t>Чуть больше бонусов</t>
  </si>
  <si>
    <t>Почему АВС Фарм должна у тебя закупить 62 коробки тестов гинек группы.</t>
  </si>
  <si>
    <t>Точно продаите, потому что вы активно растёте в этом сегменте</t>
  </si>
  <si>
    <t>В кол во аптек</t>
  </si>
  <si>
    <t>Блекаут</t>
  </si>
  <si>
    <t>Факт</t>
  </si>
  <si>
    <t>MSт, %</t>
  </si>
  <si>
    <t>MSр, %</t>
  </si>
  <si>
    <t>ЖВ</t>
  </si>
  <si>
    <t>Ц</t>
  </si>
  <si>
    <t>З</t>
  </si>
  <si>
    <t>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</si>
</sst>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%"/>
    <numFmt numFmtId="166" formatCode="#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/>
    <xf numFmtId="3" fontId="0" fillId="3" borderId="0" xfId="0" applyNumberFormat="1" applyFill="1"/>
    <xf numFmtId="164" fontId="0" fillId="4" borderId="0" xfId="0" applyNumberFormat="1" applyFill="1"/>
    <xf numFmtId="3" fontId="0" fillId="4" borderId="0" xfId="0" applyNumberFormat="1" applyFill="1"/>
    <xf numFmtId="4" fontId="0" fillId="5" borderId="0" xfId="0" applyNumberFormat="1" applyFill="1"/>
    <xf numFmtId="3" fontId="0" fillId="6" borderId="0" xfId="0" applyNumberFormat="1" applyFill="1"/>
    <xf numFmtId="3" fontId="0" fillId="7" borderId="0" xfId="0" applyNumberFormat="1" applyFill="1"/>
    <xf numFmtId="0" fontId="0" fillId="7" borderId="0" xfId="0" applyFill="1"/>
    <xf numFmtId="4" fontId="0" fillId="7" borderId="0" xfId="0" applyNumberFormat="1" applyFill="1"/>
    <xf numFmtId="3" fontId="0" fillId="8" borderId="0" xfId="0" applyNumberFormat="1" applyFill="1"/>
    <xf numFmtId="3" fontId="0" fillId="9" borderId="0" xfId="0" applyNumberFormat="1" applyFill="1"/>
    <xf numFmtId="0" fontId="0" fillId="10" borderId="0" xfId="0" applyFill="1"/>
    <xf numFmtId="4" fontId="2" fillId="7" borderId="0" xfId="0" applyNumberFormat="1" applyFont="1" applyFill="1"/>
    <xf numFmtId="164" fontId="0" fillId="3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8" borderId="0" xfId="0" applyNumberFormat="1" applyFill="1"/>
    <xf numFmtId="164" fontId="0" fillId="13" borderId="0" xfId="0" applyNumberFormat="1" applyFill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492"/>
  <sheetViews>
    <sheetView tabSelected="1" zoomScale="127" workbookViewId="0">
      <selection activeCell="G40" sqref="G40"/>
    </sheetView>
  </sheetViews>
  <sheetFormatPr defaultRowHeight="15" x14ac:dyDescent="0.25"/>
  <cols>
    <col min="1" max="1" width="84.28515625" customWidth="1"/>
    <col min="2" max="2" width="15.7109375" customWidth="1"/>
    <col min="3" max="4" width="15.7109375" style="1" customWidth="1"/>
    <col min="5" max="6" width="15.7109375" style="2" customWidth="1"/>
    <col min="7" max="8" width="15.7109375" style="3" customWidth="1"/>
    <col min="9" max="9" width="15.7109375" style="2" customWidth="1"/>
    <col min="10" max="11" width="15.7109375" style="4" customWidth="1"/>
    <col min="12" max="14" width="15.7109375" style="5" customWidth="1"/>
  </cols>
  <sheetData>
    <row r="1" spans="1:13" x14ac:dyDescent="0.25">
      <c r="A1" s="6" t="s">
        <v>0</v>
      </c>
      <c r="B1" s="1" t="s">
        <v>1</v>
      </c>
      <c r="C1" s="2" t="s">
        <v>2525</v>
      </c>
      <c r="D1" s="2" t="s">
        <v>2526</v>
      </c>
      <c r="E1" s="2" t="s">
        <v>3</v>
      </c>
      <c r="F1" s="3" t="s">
        <v>4</v>
      </c>
      <c r="G1" s="3" t="s">
        <v>5</v>
      </c>
      <c r="H1" s="2" t="s">
        <v>6</v>
      </c>
      <c r="I1" s="4" t="s">
        <v>7</v>
      </c>
      <c r="J1" s="4" t="s">
        <v>8</v>
      </c>
      <c r="K1" s="5" t="s">
        <v>9</v>
      </c>
      <c r="L1" s="5" t="s">
        <v>10</v>
      </c>
      <c r="M1" s="5" t="s">
        <v>11</v>
      </c>
    </row>
    <row r="2" spans="1:13" hidden="1" x14ac:dyDescent="0.25">
      <c r="A2" t="s">
        <v>12</v>
      </c>
      <c r="B2" s="1">
        <v>638.58220179800901</v>
      </c>
      <c r="C2" s="2">
        <v>0.18195460208035649</v>
      </c>
      <c r="D2" s="2">
        <v>0.34</v>
      </c>
      <c r="E2" s="2">
        <v>0.29258752259560472</v>
      </c>
      <c r="F2" s="3">
        <v>116.4449643828067</v>
      </c>
      <c r="G2" s="3">
        <v>2341</v>
      </c>
      <c r="H2" s="2">
        <v>0.12685596618619269</v>
      </c>
      <c r="I2" s="4">
        <v>8.3502501384223382E-2</v>
      </c>
      <c r="J2" s="4">
        <v>0.20908502121138131</v>
      </c>
      <c r="K2" s="5">
        <v>2326</v>
      </c>
      <c r="L2" s="5">
        <v>2338</v>
      </c>
      <c r="M2" s="5">
        <v>2339</v>
      </c>
    </row>
    <row r="3" spans="1:13" hidden="1" x14ac:dyDescent="0.25">
      <c r="A3" t="s">
        <v>13</v>
      </c>
      <c r="B3" s="1">
        <v>625.37029796914146</v>
      </c>
      <c r="C3" s="2">
        <v>0.17819006448889699</v>
      </c>
      <c r="D3" s="2">
        <v>2.34</v>
      </c>
      <c r="E3" s="2">
        <v>0.17533579268440899</v>
      </c>
      <c r="F3" s="3">
        <v>105.8821411506013</v>
      </c>
      <c r="G3" s="3">
        <v>1635</v>
      </c>
      <c r="H3" s="2">
        <v>8.8598677793432321E-2</v>
      </c>
      <c r="I3" s="4">
        <v>8.3700330689263885E-2</v>
      </c>
      <c r="J3" s="4">
        <v>9.1635461995145134E-2</v>
      </c>
      <c r="K3" s="5">
        <v>1627</v>
      </c>
      <c r="L3" s="5">
        <v>0</v>
      </c>
      <c r="M3" s="5">
        <v>1630</v>
      </c>
    </row>
    <row r="4" spans="1:13" hidden="1" x14ac:dyDescent="0.25">
      <c r="A4" t="s">
        <v>14</v>
      </c>
      <c r="B4" s="1">
        <v>469.04789854692751</v>
      </c>
      <c r="C4" s="2">
        <v>0.13364829695602659</v>
      </c>
      <c r="D4" s="2"/>
      <c r="E4" s="2">
        <v>4.5268811729000991E-2</v>
      </c>
      <c r="F4" s="3">
        <v>94.164834043753956</v>
      </c>
      <c r="G4" s="3">
        <v>1754</v>
      </c>
      <c r="H4" s="2">
        <v>9.5047144250568982E-2</v>
      </c>
      <c r="I4" s="4">
        <v>1.9734852160916441E-2</v>
      </c>
      <c r="J4" s="4">
        <v>2.553395956808455E-2</v>
      </c>
      <c r="K4" s="5">
        <v>1706</v>
      </c>
      <c r="L4" s="5">
        <v>1743</v>
      </c>
      <c r="M4" s="5">
        <v>1750</v>
      </c>
    </row>
    <row r="5" spans="1:13" hidden="1" x14ac:dyDescent="0.25">
      <c r="A5" t="s">
        <v>15</v>
      </c>
      <c r="B5" s="1">
        <v>368.05881499165798</v>
      </c>
      <c r="C5" s="2">
        <v>0.1048729435856687</v>
      </c>
      <c r="D5" s="2">
        <v>2342.34</v>
      </c>
      <c r="E5" s="2">
        <v>-1.5801258352040048E-2</v>
      </c>
      <c r="F5" s="3">
        <v>88.663232015937425</v>
      </c>
      <c r="G5" s="3">
        <v>1331</v>
      </c>
      <c r="H5" s="2">
        <v>7.212528449116723E-2</v>
      </c>
      <c r="I5" s="4">
        <v>3.4895578255252233E-2</v>
      </c>
      <c r="J5" s="4">
        <v>-5.0696836607292281E-2</v>
      </c>
      <c r="K5" s="5">
        <v>1326</v>
      </c>
      <c r="L5" s="5">
        <v>0</v>
      </c>
      <c r="M5" s="5">
        <v>1329</v>
      </c>
    </row>
    <row r="6" spans="1:13" hidden="1" x14ac:dyDescent="0.25">
      <c r="A6" t="s">
        <v>16</v>
      </c>
      <c r="B6" s="1">
        <v>176.89578879012319</v>
      </c>
      <c r="C6" s="2">
        <v>5.0403852109205477E-2</v>
      </c>
      <c r="D6" s="2">
        <v>0.04</v>
      </c>
      <c r="E6" s="2">
        <v>0.18317812878770059</v>
      </c>
      <c r="F6" s="3">
        <v>106.5886314518476</v>
      </c>
      <c r="G6" s="3">
        <v>845</v>
      </c>
      <c r="H6" s="2">
        <v>4.578953072504606E-2</v>
      </c>
      <c r="I6" s="4">
        <v>0.1170043307379959</v>
      </c>
      <c r="J6" s="4">
        <v>6.6173798049704718E-2</v>
      </c>
      <c r="K6" s="5">
        <v>785</v>
      </c>
      <c r="L6" s="5">
        <v>803</v>
      </c>
      <c r="M6" s="5">
        <v>840</v>
      </c>
    </row>
    <row r="7" spans="1:13" hidden="1" x14ac:dyDescent="0.25">
      <c r="A7" t="s">
        <v>17</v>
      </c>
      <c r="B7" s="1">
        <v>94.99069933923063</v>
      </c>
      <c r="C7" s="2">
        <v>2.7066202050322129E-2</v>
      </c>
      <c r="D7" s="2"/>
      <c r="E7" s="2">
        <v>4.9053183732748362E-2</v>
      </c>
      <c r="F7" s="3">
        <v>94.505755687731124</v>
      </c>
      <c r="G7" s="3">
        <v>552</v>
      </c>
      <c r="H7" s="2">
        <v>2.991221415411293E-2</v>
      </c>
      <c r="I7" s="4">
        <v>-0.121567119296455</v>
      </c>
      <c r="J7" s="4">
        <v>0.17062030302920339</v>
      </c>
      <c r="K7" s="5">
        <v>544</v>
      </c>
      <c r="L7" s="5">
        <v>551</v>
      </c>
      <c r="M7" s="5">
        <v>548</v>
      </c>
    </row>
    <row r="8" spans="1:13" hidden="1" x14ac:dyDescent="0.25">
      <c r="A8" t="s">
        <v>18</v>
      </c>
      <c r="B8" s="1">
        <v>76.900224408815163</v>
      </c>
      <c r="C8" s="2">
        <v>2.1911587408479049E-2</v>
      </c>
      <c r="D8" s="2"/>
      <c r="E8" s="2">
        <v>-7.8010848239297825E-2</v>
      </c>
      <c r="F8" s="3">
        <v>83.058974391552894</v>
      </c>
      <c r="G8" s="3">
        <v>486</v>
      </c>
      <c r="H8" s="2">
        <v>2.633575376612117E-2</v>
      </c>
      <c r="I8" s="4">
        <v>-5.3222823013716683E-2</v>
      </c>
      <c r="J8" s="4">
        <v>-2.4788025225581139E-2</v>
      </c>
      <c r="K8" s="5">
        <v>471</v>
      </c>
      <c r="L8" s="5">
        <v>0</v>
      </c>
      <c r="M8" s="5">
        <v>478</v>
      </c>
    </row>
    <row r="9" spans="1:13" hidden="1" x14ac:dyDescent="0.25">
      <c r="A9" t="s">
        <v>19</v>
      </c>
      <c r="B9" s="1">
        <v>63.74657163678593</v>
      </c>
      <c r="C9" s="2">
        <v>1.8163647598539268E-2</v>
      </c>
      <c r="D9" s="2">
        <v>2.34</v>
      </c>
      <c r="E9" s="2">
        <v>0.1728185304112384</v>
      </c>
      <c r="F9" s="3">
        <v>105.6553692604063</v>
      </c>
      <c r="G9" s="3">
        <v>466</v>
      </c>
      <c r="H9" s="2">
        <v>2.5251977890972149E-2</v>
      </c>
      <c r="I9" s="4">
        <v>3.9266536408085563E-2</v>
      </c>
      <c r="J9" s="4">
        <v>0.13355199400315279</v>
      </c>
      <c r="K9" s="5">
        <v>461</v>
      </c>
      <c r="L9" s="5">
        <v>0</v>
      </c>
      <c r="M9" s="5">
        <v>460</v>
      </c>
    </row>
    <row r="10" spans="1:13" hidden="1" x14ac:dyDescent="0.25">
      <c r="A10" t="s">
        <v>20</v>
      </c>
      <c r="B10" s="1">
        <v>63.43201302191688</v>
      </c>
      <c r="C10" s="2">
        <v>1.8074018749757871E-2</v>
      </c>
      <c r="D10" s="2"/>
      <c r="E10" s="2">
        <v>0.21019305969118249</v>
      </c>
      <c r="F10" s="3">
        <v>109.0223178458978</v>
      </c>
      <c r="G10" s="3">
        <v>393</v>
      </c>
      <c r="H10" s="2">
        <v>2.1296195946678229E-2</v>
      </c>
      <c r="I10" s="4">
        <v>3.281260350674331E-2</v>
      </c>
      <c r="J10" s="4">
        <v>0.17738045618443921</v>
      </c>
      <c r="K10" s="5">
        <v>390</v>
      </c>
      <c r="L10" s="5">
        <v>0</v>
      </c>
      <c r="M10" s="5">
        <v>351</v>
      </c>
    </row>
    <row r="11" spans="1:13" hidden="1" x14ac:dyDescent="0.25">
      <c r="A11" t="s">
        <v>21</v>
      </c>
      <c r="B11" s="1">
        <v>57.272201301722838</v>
      </c>
      <c r="C11" s="2">
        <v>1.631887103771382E-2</v>
      </c>
      <c r="D11" s="2">
        <v>3.45</v>
      </c>
      <c r="E11" s="2">
        <v>7.2625382882958611E-2</v>
      </c>
      <c r="F11" s="3">
        <v>96.6292976858457</v>
      </c>
      <c r="G11" s="3">
        <v>368</v>
      </c>
      <c r="H11" s="2">
        <v>1.994147610274195E-2</v>
      </c>
      <c r="I11" s="4">
        <v>3.6620411957620502E-4</v>
      </c>
      <c r="J11" s="4">
        <v>7.2259178763382406E-2</v>
      </c>
      <c r="K11" s="5">
        <v>367</v>
      </c>
      <c r="L11" s="5">
        <v>359</v>
      </c>
      <c r="M11" s="5">
        <v>358</v>
      </c>
    </row>
    <row r="12" spans="1:13" hidden="1" x14ac:dyDescent="0.25">
      <c r="A12" t="s">
        <v>22</v>
      </c>
      <c r="B12" s="1">
        <v>48.976193978287029</v>
      </c>
      <c r="C12" s="2">
        <v>1.39550458212557E-2</v>
      </c>
      <c r="D12" s="2"/>
      <c r="E12" s="2">
        <v>1.962011631713145E-2</v>
      </c>
      <c r="F12" s="3">
        <v>91.854227317717218</v>
      </c>
      <c r="G12" s="3">
        <v>223</v>
      </c>
      <c r="H12" s="2">
        <v>1.208410100791156E-2</v>
      </c>
      <c r="I12" s="4">
        <v>1.4106127791594571E-2</v>
      </c>
      <c r="J12" s="4">
        <v>5.5139885255368858E-3</v>
      </c>
      <c r="K12" s="5">
        <v>220</v>
      </c>
      <c r="L12" s="5">
        <v>218</v>
      </c>
      <c r="M12" s="5">
        <v>214</v>
      </c>
    </row>
    <row r="13" spans="1:13" hidden="1" x14ac:dyDescent="0.25">
      <c r="A13" t="s">
        <v>23</v>
      </c>
      <c r="B13" s="1">
        <v>48.56877897326136</v>
      </c>
      <c r="C13" s="2">
        <v>1.383895891042059E-2</v>
      </c>
      <c r="D13" s="2"/>
      <c r="E13" s="2">
        <v>0.24580457837706279</v>
      </c>
      <c r="F13" s="3">
        <v>112.2304425976113</v>
      </c>
      <c r="G13" s="3">
        <v>274</v>
      </c>
      <c r="H13" s="2">
        <v>1.4847729489541561E-2</v>
      </c>
      <c r="I13" s="4">
        <v>2.9829098792336421E-2</v>
      </c>
      <c r="J13" s="4">
        <v>0.2159754795847264</v>
      </c>
      <c r="K13" s="5">
        <v>274</v>
      </c>
      <c r="L13" s="5">
        <v>271</v>
      </c>
      <c r="M13" s="5">
        <v>271</v>
      </c>
    </row>
    <row r="14" spans="1:13" hidden="1" x14ac:dyDescent="0.25">
      <c r="A14" t="s">
        <v>24</v>
      </c>
      <c r="B14" s="1">
        <v>37.31332777751421</v>
      </c>
      <c r="C14" s="2">
        <v>1.0631883708840131E-2</v>
      </c>
      <c r="D14" s="2"/>
      <c r="E14" s="2">
        <v>0.18880736699438699</v>
      </c>
      <c r="F14" s="3">
        <v>107.0957510325501</v>
      </c>
      <c r="G14" s="3">
        <v>126</v>
      </c>
      <c r="H14" s="2">
        <v>6.8277880134388208E-3</v>
      </c>
      <c r="I14" s="4">
        <v>2.2112837649044481E-2</v>
      </c>
      <c r="J14" s="4">
        <v>0.1666945293453426</v>
      </c>
      <c r="K14" s="5">
        <v>125</v>
      </c>
      <c r="L14" s="5">
        <v>125</v>
      </c>
      <c r="M14" s="5">
        <v>125</v>
      </c>
    </row>
    <row r="15" spans="1:13" hidden="1" x14ac:dyDescent="0.25">
      <c r="A15" t="s">
        <v>25</v>
      </c>
      <c r="B15" s="1">
        <v>32.008005591580037</v>
      </c>
      <c r="C15" s="2">
        <v>9.1202102163254039E-3</v>
      </c>
      <c r="D15" s="2"/>
      <c r="E15" s="2">
        <v>0.60281674451568545</v>
      </c>
      <c r="F15" s="3">
        <v>144.39249603191999</v>
      </c>
      <c r="G15" s="3">
        <v>121</v>
      </c>
      <c r="H15" s="2">
        <v>6.5568440446515663E-3</v>
      </c>
      <c r="I15" s="4">
        <v>4.9406088298913908E-2</v>
      </c>
      <c r="J15" s="4">
        <v>0.55341065621677166</v>
      </c>
      <c r="K15" s="5">
        <v>121</v>
      </c>
      <c r="L15" s="5">
        <v>0</v>
      </c>
      <c r="M15" s="5">
        <v>119</v>
      </c>
    </row>
    <row r="16" spans="1:13" hidden="1" x14ac:dyDescent="0.25">
      <c r="A16" t="s">
        <v>26</v>
      </c>
      <c r="B16" s="1">
        <v>24.555164050814689</v>
      </c>
      <c r="C16" s="2">
        <v>6.9966326830028349E-3</v>
      </c>
      <c r="D16" s="2"/>
      <c r="E16" s="2">
        <v>-5.9084840062068593E-2</v>
      </c>
      <c r="F16" s="3">
        <v>84.763956305412549</v>
      </c>
      <c r="G16" s="3">
        <v>163</v>
      </c>
      <c r="H16" s="2">
        <v>8.8327733824645066E-3</v>
      </c>
      <c r="I16" s="4">
        <v>-3.6871944533954468E-2</v>
      </c>
      <c r="J16" s="4">
        <v>-2.2212895528114129E-2</v>
      </c>
      <c r="K16" s="5">
        <v>159</v>
      </c>
      <c r="L16" s="5">
        <v>0</v>
      </c>
      <c r="M16" s="5">
        <v>140</v>
      </c>
    </row>
    <row r="17" spans="1:13" hidden="1" x14ac:dyDescent="0.25">
      <c r="A17" t="s">
        <v>27</v>
      </c>
      <c r="B17" s="1">
        <v>21.407112102641111</v>
      </c>
      <c r="C17" s="2">
        <v>6.0996416019087861E-3</v>
      </c>
      <c r="D17" s="2"/>
      <c r="E17" s="2">
        <v>0.1245878390249371</v>
      </c>
      <c r="F17" s="3">
        <v>101.31042468802001</v>
      </c>
      <c r="G17" s="3">
        <v>97</v>
      </c>
      <c r="H17" s="2">
        <v>5.2563129944727428E-3</v>
      </c>
      <c r="I17" s="4">
        <v>-4.7712154760020109E-3</v>
      </c>
      <c r="J17" s="4">
        <v>0.1293590545009391</v>
      </c>
      <c r="K17" s="5">
        <v>96</v>
      </c>
      <c r="L17" s="5">
        <v>42</v>
      </c>
      <c r="M17" s="5">
        <v>96</v>
      </c>
    </row>
    <row r="18" spans="1:13" hidden="1" x14ac:dyDescent="0.25">
      <c r="A18" t="s">
        <v>28</v>
      </c>
      <c r="B18" s="1">
        <v>20.95199493759694</v>
      </c>
      <c r="C18" s="2">
        <v>5.9699626624826804E-3</v>
      </c>
      <c r="D18" s="2"/>
      <c r="E18" s="2">
        <v>0.21468923918150271</v>
      </c>
      <c r="F18" s="3">
        <v>109.42736388839531</v>
      </c>
      <c r="G18" s="3">
        <v>115</v>
      </c>
      <c r="H18" s="2">
        <v>6.2317112821068596E-3</v>
      </c>
      <c r="I18" s="4">
        <v>-1.6610089614076121E-2</v>
      </c>
      <c r="J18" s="4">
        <v>0.23129932879557891</v>
      </c>
      <c r="K18" s="5">
        <v>115</v>
      </c>
      <c r="L18" s="5">
        <v>0</v>
      </c>
      <c r="M18" s="5">
        <v>115</v>
      </c>
    </row>
    <row r="19" spans="1:13" hidden="1" x14ac:dyDescent="0.25">
      <c r="A19" t="s">
        <v>29</v>
      </c>
      <c r="B19" s="1">
        <v>17.713643178366979</v>
      </c>
      <c r="C19" s="2">
        <v>5.0472419789311359E-3</v>
      </c>
      <c r="D19" s="2"/>
      <c r="E19" s="2">
        <v>-2.0763144369732589E-2</v>
      </c>
      <c r="F19" s="3">
        <v>88.216232002010699</v>
      </c>
      <c r="G19" s="3">
        <v>74</v>
      </c>
      <c r="H19" s="2">
        <v>4.0099707380513707E-3</v>
      </c>
      <c r="I19" s="4">
        <v>1.04957093949694E-2</v>
      </c>
      <c r="J19" s="4">
        <v>-3.1258853764701992E-2</v>
      </c>
      <c r="K19" s="5">
        <v>74</v>
      </c>
      <c r="L19" s="5">
        <v>0</v>
      </c>
      <c r="M19" s="5">
        <v>27</v>
      </c>
    </row>
    <row r="20" spans="1:13" hidden="1" x14ac:dyDescent="0.25">
      <c r="A20" t="s">
        <v>30</v>
      </c>
      <c r="B20" s="1">
        <v>17.079682490695959</v>
      </c>
      <c r="C20" s="2">
        <v>4.8666042092986887E-3</v>
      </c>
      <c r="D20" s="2"/>
      <c r="E20" s="2">
        <v>9.3795659547882826E-2</v>
      </c>
      <c r="F20" s="3">
        <v>98.536458376420114</v>
      </c>
      <c r="G20" s="3">
        <v>56</v>
      </c>
      <c r="H20" s="2">
        <v>3.034572450417254E-3</v>
      </c>
      <c r="I20" s="4">
        <v>-1.282660689749374E-2</v>
      </c>
      <c r="J20" s="4">
        <v>0.1066222664453766</v>
      </c>
      <c r="K20" s="5">
        <v>55</v>
      </c>
      <c r="L20" s="5">
        <v>0</v>
      </c>
      <c r="M20" s="5">
        <v>1</v>
      </c>
    </row>
    <row r="21" spans="1:13" hidden="1" x14ac:dyDescent="0.25">
      <c r="A21" t="s">
        <v>31</v>
      </c>
      <c r="B21" s="1">
        <v>16.358034055923881</v>
      </c>
      <c r="C21" s="2">
        <v>4.6609811063979918E-3</v>
      </c>
      <c r="D21" s="2"/>
      <c r="E21" s="2">
        <v>2.8699658790486859E-2</v>
      </c>
      <c r="F21" s="3">
        <v>92.672173477215154</v>
      </c>
      <c r="G21" s="3">
        <v>225</v>
      </c>
      <c r="H21" s="2">
        <v>1.219247859542647E-2</v>
      </c>
      <c r="I21" s="4">
        <v>-3.7842061552203182E-2</v>
      </c>
      <c r="J21" s="4">
        <v>6.6541720342690042E-2</v>
      </c>
      <c r="K21" s="5">
        <v>221</v>
      </c>
      <c r="L21" s="5">
        <v>157</v>
      </c>
      <c r="M21" s="5">
        <v>104</v>
      </c>
    </row>
    <row r="22" spans="1:13" hidden="1" x14ac:dyDescent="0.25">
      <c r="A22" t="s">
        <v>32</v>
      </c>
      <c r="B22" s="1">
        <v>16.080951992359331</v>
      </c>
      <c r="C22" s="2">
        <v>4.5820306494677209E-3</v>
      </c>
      <c r="D22" s="2"/>
      <c r="E22" s="2">
        <v>5.0510739674723297E-2</v>
      </c>
      <c r="F22" s="3">
        <v>94.63706211517399</v>
      </c>
      <c r="G22" s="3">
        <v>24</v>
      </c>
      <c r="H22" s="2">
        <v>1.3005310501788231E-3</v>
      </c>
      <c r="I22" s="4">
        <v>2.7302021352163291E-2</v>
      </c>
      <c r="J22" s="4">
        <v>2.320871832256001E-2</v>
      </c>
      <c r="K22" s="5">
        <v>24</v>
      </c>
      <c r="L22" s="5">
        <v>0</v>
      </c>
      <c r="M22" s="5">
        <v>24</v>
      </c>
    </row>
    <row r="23" spans="1:13" hidden="1" x14ac:dyDescent="0.25">
      <c r="A23" t="s">
        <v>33</v>
      </c>
      <c r="B23" s="1">
        <v>15.366508051109509</v>
      </c>
      <c r="C23" s="2">
        <v>4.3784603609867507E-3</v>
      </c>
      <c r="D23" s="2"/>
      <c r="E23" s="2">
        <v>2.1177531879190688E-2</v>
      </c>
      <c r="F23" s="3">
        <v>91.994529770342638</v>
      </c>
      <c r="G23" s="3">
        <v>105</v>
      </c>
      <c r="H23" s="2">
        <v>5.6898233445323507E-3</v>
      </c>
      <c r="I23" s="4">
        <v>-2.0980388359602399E-2</v>
      </c>
      <c r="J23" s="4">
        <v>4.2157920238793091E-2</v>
      </c>
      <c r="K23" s="5">
        <v>105</v>
      </c>
      <c r="L23" s="5">
        <v>2</v>
      </c>
      <c r="M23" s="5">
        <v>102</v>
      </c>
    </row>
    <row r="24" spans="1:13" hidden="1" x14ac:dyDescent="0.25">
      <c r="A24" t="s">
        <v>34</v>
      </c>
      <c r="B24" s="1">
        <v>15.31459017804578</v>
      </c>
      <c r="C24" s="2">
        <v>4.363667126994996E-3</v>
      </c>
      <c r="D24" s="2"/>
      <c r="E24" s="2">
        <v>-4.8825164251925617E-2</v>
      </c>
      <c r="F24" s="3">
        <v>85.688216801051738</v>
      </c>
      <c r="G24" s="3">
        <v>115</v>
      </c>
      <c r="H24" s="2">
        <v>6.2317112821068596E-3</v>
      </c>
      <c r="I24" s="4">
        <v>-1.54786885564492E-2</v>
      </c>
      <c r="J24" s="4">
        <v>-3.3346475695476427E-2</v>
      </c>
      <c r="K24" s="5">
        <v>114</v>
      </c>
      <c r="L24" s="5">
        <v>0</v>
      </c>
      <c r="M24" s="5">
        <v>112</v>
      </c>
    </row>
    <row r="25" spans="1:13" hidden="1" x14ac:dyDescent="0.25">
      <c r="A25" t="s">
        <v>35</v>
      </c>
      <c r="B25" s="1">
        <v>12.651702424440931</v>
      </c>
      <c r="C25" s="2">
        <v>3.604916444267563E-3</v>
      </c>
      <c r="D25" s="2"/>
      <c r="E25" s="2">
        <v>-2.5930031288105E-3</v>
      </c>
      <c r="F25" s="3">
        <v>89.853120346237517</v>
      </c>
      <c r="G25" s="3">
        <v>32</v>
      </c>
      <c r="H25" s="2">
        <v>1.7340414002384309E-3</v>
      </c>
      <c r="I25" s="4">
        <v>-1.5663293807157981E-2</v>
      </c>
      <c r="J25" s="4">
        <v>1.3070290678347481E-2</v>
      </c>
      <c r="K25" s="5">
        <v>32</v>
      </c>
      <c r="L25" s="5">
        <v>0</v>
      </c>
      <c r="M25" s="5">
        <v>32</v>
      </c>
    </row>
    <row r="26" spans="1:13" hidden="1" x14ac:dyDescent="0.25">
      <c r="A26" t="s">
        <v>36</v>
      </c>
      <c r="B26" s="1">
        <v>12.35867822533142</v>
      </c>
      <c r="C26" s="2">
        <v>3.5214235103919159E-3</v>
      </c>
      <c r="D26" s="2"/>
      <c r="E26" s="2">
        <v>0.80976147454025371</v>
      </c>
      <c r="F26" s="3">
        <v>163.03546704600711</v>
      </c>
      <c r="G26" s="3">
        <v>54</v>
      </c>
      <c r="H26" s="2">
        <v>2.9261948629023512E-3</v>
      </c>
      <c r="I26" s="4">
        <v>0.1347521937739492</v>
      </c>
      <c r="J26" s="4">
        <v>0.67500928076630451</v>
      </c>
      <c r="K26" s="5">
        <v>54</v>
      </c>
      <c r="L26" s="5">
        <v>54</v>
      </c>
      <c r="M26" s="5">
        <v>54</v>
      </c>
    </row>
    <row r="27" spans="1:13" hidden="1" x14ac:dyDescent="0.25">
      <c r="A27" t="s">
        <v>37</v>
      </c>
      <c r="B27" s="1">
        <v>12.2597746091826</v>
      </c>
      <c r="C27" s="2">
        <v>3.4932423802727301E-3</v>
      </c>
      <c r="D27" s="2"/>
      <c r="E27" s="2">
        <v>0.10239828815625911</v>
      </c>
      <c r="F27" s="3">
        <v>99.311440932254555</v>
      </c>
      <c r="G27" s="3">
        <v>128</v>
      </c>
      <c r="H27" s="2">
        <v>6.9361656009537228E-3</v>
      </c>
      <c r="I27" s="4">
        <v>-1.061216600084207E-2</v>
      </c>
      <c r="J27" s="4">
        <v>0.11301045415710111</v>
      </c>
      <c r="K27" s="5">
        <v>122</v>
      </c>
      <c r="L27" s="5">
        <v>113</v>
      </c>
      <c r="M27" s="5">
        <v>121</v>
      </c>
    </row>
    <row r="28" spans="1:13" hidden="1" x14ac:dyDescent="0.25">
      <c r="A28" t="s">
        <v>38</v>
      </c>
      <c r="B28" s="1">
        <v>10.574812254386099</v>
      </c>
      <c r="C28" s="2">
        <v>3.0131371503992021E-3</v>
      </c>
      <c r="D28" s="2"/>
      <c r="E28" s="2">
        <v>0.34377748759123811</v>
      </c>
      <c r="F28" s="3">
        <v>121.05650019486831</v>
      </c>
      <c r="G28" s="3">
        <v>65</v>
      </c>
      <c r="H28" s="2">
        <v>3.5222715942343119E-3</v>
      </c>
      <c r="I28" s="4">
        <v>2.2949600048250699E-2</v>
      </c>
      <c r="J28" s="4">
        <v>0.32082788754298741</v>
      </c>
      <c r="K28" s="5">
        <v>65</v>
      </c>
      <c r="L28" s="5">
        <v>54</v>
      </c>
      <c r="M28" s="5">
        <v>54</v>
      </c>
    </row>
    <row r="29" spans="1:13" hidden="1" x14ac:dyDescent="0.25">
      <c r="A29" t="s">
        <v>39</v>
      </c>
      <c r="B29" s="1">
        <v>10.20298130528354</v>
      </c>
      <c r="C29" s="2">
        <v>2.9071893927031319E-3</v>
      </c>
      <c r="D29" s="2"/>
      <c r="E29" s="2">
        <v>4.4129153251307729E-2</v>
      </c>
      <c r="F29" s="3">
        <v>94.062165954728115</v>
      </c>
      <c r="G29" s="3">
        <v>88</v>
      </c>
      <c r="H29" s="2">
        <v>4.7686138506556836E-3</v>
      </c>
      <c r="I29" s="4">
        <v>-4.504429779017563E-2</v>
      </c>
      <c r="J29" s="4">
        <v>8.9173451041483359E-2</v>
      </c>
      <c r="K29" s="5">
        <v>86</v>
      </c>
      <c r="L29" s="5">
        <v>85</v>
      </c>
      <c r="M29" s="5">
        <v>84</v>
      </c>
    </row>
    <row r="30" spans="1:13" hidden="1" x14ac:dyDescent="0.25">
      <c r="A30" t="s">
        <v>40</v>
      </c>
      <c r="B30" s="1">
        <v>9.4634407193669006</v>
      </c>
      <c r="C30" s="2">
        <v>2.6964681846051658E-3</v>
      </c>
      <c r="D30" s="2"/>
      <c r="E30" s="2">
        <v>0.23297060973102529</v>
      </c>
      <c r="F30" s="3">
        <v>111.07427251569921</v>
      </c>
      <c r="G30" s="3">
        <v>31</v>
      </c>
      <c r="H30" s="2">
        <v>1.6798526064809799E-3</v>
      </c>
      <c r="I30" s="4">
        <v>2.4980018054066022E-16</v>
      </c>
      <c r="J30" s="4">
        <v>0.2329706097310251</v>
      </c>
      <c r="K30" s="5">
        <v>31</v>
      </c>
      <c r="L30" s="5">
        <v>0</v>
      </c>
      <c r="M30" s="5">
        <v>31</v>
      </c>
    </row>
    <row r="31" spans="1:13" hidden="1" x14ac:dyDescent="0.25">
      <c r="A31" t="s">
        <v>41</v>
      </c>
      <c r="B31" s="1">
        <v>9.1522280236504443</v>
      </c>
      <c r="C31" s="2">
        <v>2.607792706253274E-3</v>
      </c>
      <c r="D31" s="2"/>
      <c r="E31" s="2">
        <v>7.721751033438462E-2</v>
      </c>
      <c r="F31" s="3">
        <v>97.042987365016415</v>
      </c>
      <c r="G31" s="3">
        <v>93</v>
      </c>
      <c r="H31" s="2">
        <v>5.0395578194429389E-3</v>
      </c>
      <c r="I31" s="4">
        <v>-1.0038978764117379E-2</v>
      </c>
      <c r="J31" s="4">
        <v>8.7256489098502005E-2</v>
      </c>
      <c r="K31" s="5">
        <v>93</v>
      </c>
      <c r="L31" s="5">
        <v>0</v>
      </c>
      <c r="M31" s="5">
        <v>65</v>
      </c>
    </row>
    <row r="32" spans="1:13" hidden="1" x14ac:dyDescent="0.25">
      <c r="A32" t="s">
        <v>42</v>
      </c>
      <c r="B32" s="1">
        <v>8.6367116844114964</v>
      </c>
      <c r="C32" s="2">
        <v>2.460903910874954E-3</v>
      </c>
      <c r="D32" s="2"/>
      <c r="E32" s="2">
        <v>-0.101484549455645</v>
      </c>
      <c r="F32" s="3">
        <v>80.94430574878173</v>
      </c>
      <c r="G32" s="3">
        <v>54</v>
      </c>
      <c r="H32" s="2">
        <v>2.9261948629023512E-3</v>
      </c>
      <c r="I32" s="4">
        <v>-5.7722993130444891E-2</v>
      </c>
      <c r="J32" s="4">
        <v>-4.376155632520011E-2</v>
      </c>
      <c r="K32" s="5">
        <v>54</v>
      </c>
      <c r="L32" s="5">
        <v>0</v>
      </c>
      <c r="M32" s="5">
        <v>54</v>
      </c>
    </row>
    <row r="33" spans="1:13" hidden="1" x14ac:dyDescent="0.25">
      <c r="A33" t="s">
        <v>43</v>
      </c>
      <c r="B33" s="1">
        <v>8.463102881005593</v>
      </c>
      <c r="C33" s="2">
        <v>2.4114366368851291E-3</v>
      </c>
      <c r="D33" s="2"/>
      <c r="E33" s="2">
        <v>1.1909886612622911</v>
      </c>
      <c r="F33" s="3">
        <v>197.3789721499887</v>
      </c>
      <c r="G33" s="3">
        <v>41</v>
      </c>
      <c r="H33" s="2">
        <v>2.2217405440554889E-3</v>
      </c>
      <c r="I33" s="4">
        <v>0.60357444753412837</v>
      </c>
      <c r="J33" s="4">
        <v>0.58741421372816272</v>
      </c>
      <c r="K33" s="5">
        <v>40</v>
      </c>
      <c r="L33" s="5">
        <v>0</v>
      </c>
      <c r="M33" s="5">
        <v>40</v>
      </c>
    </row>
    <row r="34" spans="1:13" hidden="1" x14ac:dyDescent="0.25">
      <c r="A34" t="s">
        <v>44</v>
      </c>
      <c r="B34" s="1">
        <v>8.3649238184224686</v>
      </c>
      <c r="C34" s="2">
        <v>2.3834619576431509E-3</v>
      </c>
      <c r="D34" s="2"/>
      <c r="E34" s="2">
        <v>-0.33346971787119267</v>
      </c>
      <c r="F34" s="3">
        <v>60.045523885838392</v>
      </c>
      <c r="G34" s="3">
        <v>120</v>
      </c>
      <c r="H34" s="2">
        <v>6.5026552508941149E-3</v>
      </c>
      <c r="I34" s="4">
        <v>-0.128242556794397</v>
      </c>
      <c r="J34" s="4">
        <v>-0.20522716107679581</v>
      </c>
      <c r="K34" s="5">
        <v>110</v>
      </c>
      <c r="L34" s="5">
        <v>0</v>
      </c>
      <c r="M34" s="5">
        <v>101</v>
      </c>
    </row>
    <row r="35" spans="1:13" hidden="1" x14ac:dyDescent="0.25">
      <c r="A35" t="s">
        <v>45</v>
      </c>
      <c r="B35" s="1">
        <v>8.2365583868107102</v>
      </c>
      <c r="C35" s="2">
        <v>2.346886116719263E-3</v>
      </c>
      <c r="D35" s="2"/>
      <c r="E35" s="2">
        <v>9.7548383349960188E-2</v>
      </c>
      <c r="F35" s="3">
        <v>98.874528937857903</v>
      </c>
      <c r="G35" s="3">
        <v>32</v>
      </c>
      <c r="H35" s="2">
        <v>1.7340414002384309E-3</v>
      </c>
      <c r="I35" s="4">
        <v>4.163336342344337E-16</v>
      </c>
      <c r="J35" s="4">
        <v>9.7548383349959772E-2</v>
      </c>
      <c r="K35" s="5">
        <v>32</v>
      </c>
      <c r="L35" s="5">
        <v>0</v>
      </c>
      <c r="M35" s="5">
        <v>32</v>
      </c>
    </row>
    <row r="36" spans="1:13" hidden="1" x14ac:dyDescent="0.25">
      <c r="A36" t="s">
        <v>46</v>
      </c>
      <c r="B36" s="1">
        <v>7.8406863664775823</v>
      </c>
      <c r="C36" s="2">
        <v>2.234088209524779E-3</v>
      </c>
      <c r="D36" s="2"/>
      <c r="E36" s="2">
        <v>-7.9513658280213617E-2</v>
      </c>
      <c r="F36" s="3">
        <v>82.923591170974404</v>
      </c>
      <c r="G36" s="3">
        <v>93</v>
      </c>
      <c r="H36" s="2">
        <v>5.0395578194429389E-3</v>
      </c>
      <c r="I36" s="4">
        <v>3.7016894170879833E-4</v>
      </c>
      <c r="J36" s="4">
        <v>-7.9883827221922415E-2</v>
      </c>
      <c r="K36" s="5">
        <v>91</v>
      </c>
      <c r="L36" s="5">
        <v>0</v>
      </c>
      <c r="M36" s="5">
        <v>65</v>
      </c>
    </row>
    <row r="37" spans="1:13" hidden="1" x14ac:dyDescent="0.25">
      <c r="A37" t="s">
        <v>47</v>
      </c>
      <c r="B37" s="1">
        <v>7.595937070584581</v>
      </c>
      <c r="C37" s="2">
        <v>2.164350498986856E-3</v>
      </c>
      <c r="D37" s="2"/>
      <c r="E37" s="2">
        <v>-0.21250744795092991</v>
      </c>
      <c r="F37" s="3">
        <v>70.942617480122763</v>
      </c>
      <c r="G37" s="3">
        <v>63</v>
      </c>
      <c r="H37" s="2">
        <v>3.41389400671941E-3</v>
      </c>
      <c r="I37" s="4">
        <v>9.6840673631982677E-3</v>
      </c>
      <c r="J37" s="4">
        <v>-0.22219151531412809</v>
      </c>
      <c r="K37" s="5">
        <v>60</v>
      </c>
      <c r="L37" s="5">
        <v>0</v>
      </c>
      <c r="M37" s="5">
        <v>61</v>
      </c>
    </row>
    <row r="38" spans="1:13" hidden="1" x14ac:dyDescent="0.25">
      <c r="A38" t="s">
        <v>48</v>
      </c>
      <c r="B38" s="1">
        <v>7.2117707671748823</v>
      </c>
      <c r="C38" s="2">
        <v>2.054887963587688E-3</v>
      </c>
      <c r="D38" s="2"/>
      <c r="E38" s="2">
        <v>0.28281947053038392</v>
      </c>
      <c r="F38" s="3">
        <v>115.56499265560019</v>
      </c>
      <c r="G38" s="3">
        <v>42</v>
      </c>
      <c r="H38" s="2">
        <v>2.2759293378129398E-3</v>
      </c>
      <c r="I38" s="4">
        <v>1.5924697662223711E-2</v>
      </c>
      <c r="J38" s="4">
        <v>0.26689477286816021</v>
      </c>
      <c r="K38" s="5">
        <v>42</v>
      </c>
      <c r="L38" s="5">
        <v>0</v>
      </c>
      <c r="M38" s="5">
        <v>40</v>
      </c>
    </row>
    <row r="39" spans="1:13" hidden="1" x14ac:dyDescent="0.25">
      <c r="A39" t="s">
        <v>49</v>
      </c>
      <c r="B39" s="1">
        <v>7.1694891999684458</v>
      </c>
      <c r="C39" s="2">
        <v>2.0428404531579901E-3</v>
      </c>
      <c r="D39" s="2"/>
      <c r="E39" s="2">
        <v>-0.16651107588421821</v>
      </c>
      <c r="F39" s="3">
        <v>75.086279563670701</v>
      </c>
      <c r="G39" s="3">
        <v>73</v>
      </c>
      <c r="H39" s="2">
        <v>3.9557819442939202E-3</v>
      </c>
      <c r="I39" s="4">
        <v>-0.1380015466936575</v>
      </c>
      <c r="J39" s="4">
        <v>-2.850952919056074E-2</v>
      </c>
      <c r="K39" s="5">
        <v>70</v>
      </c>
      <c r="L39" s="5">
        <v>56</v>
      </c>
      <c r="M39" s="5">
        <v>72</v>
      </c>
    </row>
    <row r="40" spans="1:13" x14ac:dyDescent="0.25">
      <c r="A40" t="s">
        <v>50</v>
      </c>
      <c r="B40" s="1">
        <v>6.7769605586389092</v>
      </c>
      <c r="C40" s="2">
        <v>1.930995192614931E-3</v>
      </c>
      <c r="D40" s="2"/>
      <c r="E40" s="2">
        <v>0.22057440455413471</v>
      </c>
      <c r="F40" s="3">
        <v>109.9575391068803</v>
      </c>
      <c r="G40" s="3">
        <v>28</v>
      </c>
      <c r="H40" s="2">
        <v>1.517286225208627E-3</v>
      </c>
      <c r="I40" s="4">
        <v>6.6260520578262067E-2</v>
      </c>
      <c r="J40" s="4">
        <v>0.15431388397587259</v>
      </c>
      <c r="K40" s="5">
        <v>28</v>
      </c>
      <c r="L40" s="5">
        <v>0</v>
      </c>
      <c r="M40" s="5">
        <v>26</v>
      </c>
    </row>
    <row r="41" spans="1:13" hidden="1" x14ac:dyDescent="0.25">
      <c r="A41" t="s">
        <v>51</v>
      </c>
      <c r="B41" s="1">
        <v>6.5285853548522654</v>
      </c>
      <c r="C41" s="2">
        <v>1.860224332975593E-3</v>
      </c>
      <c r="D41" s="2"/>
      <c r="E41" s="2">
        <v>0.65099115524383744</v>
      </c>
      <c r="F41" s="3">
        <v>148.73237046466841</v>
      </c>
      <c r="G41" s="3">
        <v>14</v>
      </c>
      <c r="H41" s="2">
        <v>7.5864311260431339E-4</v>
      </c>
      <c r="I41" s="4">
        <v>1.110223024625157E-16</v>
      </c>
      <c r="J41" s="4">
        <v>0.65099115524383733</v>
      </c>
      <c r="K41" s="5">
        <v>14</v>
      </c>
      <c r="L41" s="5">
        <v>0</v>
      </c>
      <c r="M41" s="5">
        <v>13</v>
      </c>
    </row>
    <row r="42" spans="1:13" hidden="1" x14ac:dyDescent="0.25">
      <c r="A42" t="s">
        <v>52</v>
      </c>
      <c r="B42" s="1">
        <v>6.3767742950400752</v>
      </c>
      <c r="C42" s="2">
        <v>1.8169680052831699E-3</v>
      </c>
      <c r="D42" s="2"/>
      <c r="E42" s="2">
        <v>0.38563299581034333</v>
      </c>
      <c r="F42" s="3">
        <v>124.8271254551299</v>
      </c>
      <c r="G42" s="3">
        <v>12</v>
      </c>
      <c r="H42" s="2">
        <v>6.5026552508941154E-4</v>
      </c>
      <c r="I42" s="4">
        <v>-8.8810646402153692E-2</v>
      </c>
      <c r="J42" s="4">
        <v>0.47444364221249702</v>
      </c>
      <c r="K42" s="5">
        <v>12</v>
      </c>
      <c r="L42" s="5">
        <v>0</v>
      </c>
      <c r="M42" s="5">
        <v>12</v>
      </c>
    </row>
    <row r="43" spans="1:13" hidden="1" x14ac:dyDescent="0.25">
      <c r="A43" t="s">
        <v>53</v>
      </c>
      <c r="B43" s="1">
        <v>6.3244120198189684</v>
      </c>
      <c r="C43" s="2">
        <v>1.802048145435756E-3</v>
      </c>
      <c r="D43" s="2"/>
      <c r="E43" s="2">
        <v>0.4084953306669028</v>
      </c>
      <c r="F43" s="3">
        <v>126.886718110592</v>
      </c>
      <c r="G43" s="3">
        <v>15</v>
      </c>
      <c r="H43" s="2">
        <v>8.1283190636176437E-4</v>
      </c>
      <c r="I43" s="4">
        <v>5.5511151231257827E-17</v>
      </c>
      <c r="J43" s="4">
        <v>0.40849533066690269</v>
      </c>
      <c r="K43" s="5">
        <v>15</v>
      </c>
      <c r="L43" s="5">
        <v>0</v>
      </c>
      <c r="M43" s="5">
        <v>15</v>
      </c>
    </row>
    <row r="44" spans="1:13" hidden="1" x14ac:dyDescent="0.25">
      <c r="A44" t="s">
        <v>54</v>
      </c>
      <c r="B44" s="1">
        <v>5.9930436856022524</v>
      </c>
      <c r="C44" s="2">
        <v>1.707629614470334E-3</v>
      </c>
      <c r="D44" s="2"/>
      <c r="E44" s="2">
        <v>0.21001162084408009</v>
      </c>
      <c r="F44" s="3">
        <v>109.0059726161016</v>
      </c>
      <c r="G44" s="3">
        <v>15</v>
      </c>
      <c r="H44" s="2">
        <v>8.1283190636176437E-4</v>
      </c>
      <c r="I44" s="4">
        <v>2.563595811389557E-2</v>
      </c>
      <c r="J44" s="4">
        <v>0.18437566273018449</v>
      </c>
      <c r="K44" s="5">
        <v>15</v>
      </c>
      <c r="L44" s="5">
        <v>0</v>
      </c>
      <c r="M44" s="5">
        <v>14</v>
      </c>
    </row>
    <row r="45" spans="1:13" hidden="1" x14ac:dyDescent="0.25">
      <c r="A45" t="s">
        <v>55</v>
      </c>
      <c r="B45" s="1">
        <v>5.8622466784556471</v>
      </c>
      <c r="C45" s="2">
        <v>1.670360931876844E-3</v>
      </c>
      <c r="D45" s="2"/>
      <c r="E45" s="2">
        <v>0.14349457627637091</v>
      </c>
      <c r="F45" s="3">
        <v>103.0136705474705</v>
      </c>
      <c r="G45" s="3">
        <v>41</v>
      </c>
      <c r="H45" s="2">
        <v>2.2217405440554889E-3</v>
      </c>
      <c r="I45" s="4">
        <v>-9.1059874382602435E-3</v>
      </c>
      <c r="J45" s="4">
        <v>0.1526005637146311</v>
      </c>
      <c r="K45" s="5">
        <v>38</v>
      </c>
      <c r="L45" s="5">
        <v>0</v>
      </c>
      <c r="M45" s="5">
        <v>22</v>
      </c>
    </row>
    <row r="46" spans="1:13" hidden="1" x14ac:dyDescent="0.25">
      <c r="A46" t="s">
        <v>56</v>
      </c>
      <c r="B46" s="1">
        <v>5.667239025103683</v>
      </c>
      <c r="C46" s="2">
        <v>1.6147963704650551E-3</v>
      </c>
      <c r="D46" s="2"/>
      <c r="E46" s="2">
        <v>-0.1307956280233511</v>
      </c>
      <c r="F46" s="3">
        <v>78.303766953401436</v>
      </c>
      <c r="G46" s="3">
        <v>31</v>
      </c>
      <c r="H46" s="2">
        <v>1.6798526064809799E-3</v>
      </c>
      <c r="I46" s="4">
        <v>-2.2984364195603652E-2</v>
      </c>
      <c r="J46" s="4">
        <v>-0.1078112638277474</v>
      </c>
      <c r="K46" s="5">
        <v>29</v>
      </c>
      <c r="L46" s="5">
        <v>0</v>
      </c>
      <c r="M46" s="5">
        <v>31</v>
      </c>
    </row>
    <row r="47" spans="1:13" hidden="1" x14ac:dyDescent="0.25">
      <c r="A47" t="s">
        <v>57</v>
      </c>
      <c r="B47" s="1">
        <v>4.8108860586417874</v>
      </c>
      <c r="C47" s="2">
        <v>1.370791193348963E-3</v>
      </c>
      <c r="D47" s="2"/>
      <c r="E47" s="2">
        <v>-0.22017968540125751</v>
      </c>
      <c r="F47" s="3">
        <v>70.251450807829769</v>
      </c>
      <c r="G47" s="3">
        <v>32</v>
      </c>
      <c r="H47" s="2">
        <v>1.7340414002384309E-3</v>
      </c>
      <c r="I47" s="4">
        <v>-0.2159002472580149</v>
      </c>
      <c r="J47" s="4">
        <v>-4.2794381432426634E-3</v>
      </c>
      <c r="K47" s="5">
        <v>32</v>
      </c>
      <c r="L47" s="5">
        <v>0</v>
      </c>
      <c r="M47" s="5">
        <v>28</v>
      </c>
    </row>
    <row r="48" spans="1:13" hidden="1" x14ac:dyDescent="0.25">
      <c r="A48" t="s">
        <v>58</v>
      </c>
      <c r="B48" s="1">
        <v>4.4225314701402789</v>
      </c>
      <c r="C48" s="2">
        <v>1.2601352677407761E-3</v>
      </c>
      <c r="D48" s="2"/>
      <c r="E48" s="2">
        <v>-8.7032915533770128E-2</v>
      </c>
      <c r="F48" s="3">
        <v>82.246205982142214</v>
      </c>
      <c r="G48" s="3">
        <v>49</v>
      </c>
      <c r="H48" s="2">
        <v>2.6552508941150971E-3</v>
      </c>
      <c r="I48" s="4">
        <v>2.4416729816364169E-2</v>
      </c>
      <c r="J48" s="4">
        <v>-0.1114496453501343</v>
      </c>
      <c r="K48" s="5">
        <v>49</v>
      </c>
      <c r="L48" s="5">
        <v>0</v>
      </c>
      <c r="M48" s="5">
        <v>27</v>
      </c>
    </row>
    <row r="49" spans="1:13" hidden="1" x14ac:dyDescent="0.25">
      <c r="A49" t="s">
        <v>59</v>
      </c>
      <c r="B49" s="1">
        <v>4.4146979817735597</v>
      </c>
      <c r="C49" s="2">
        <v>1.257903230495369E-3</v>
      </c>
      <c r="D49" s="2"/>
      <c r="E49" s="2">
        <v>-0.20255110815748281</v>
      </c>
      <c r="F49" s="3">
        <v>71.839551430330616</v>
      </c>
      <c r="G49" s="3">
        <v>35</v>
      </c>
      <c r="H49" s="2">
        <v>1.8966077815107841E-3</v>
      </c>
      <c r="I49" s="4">
        <v>-0.1645022903906975</v>
      </c>
      <c r="J49" s="4">
        <v>-3.8048817766785273E-2</v>
      </c>
      <c r="K49" s="5">
        <v>35</v>
      </c>
      <c r="L49" s="5">
        <v>0</v>
      </c>
      <c r="M49" s="5">
        <v>1</v>
      </c>
    </row>
    <row r="50" spans="1:13" hidden="1" x14ac:dyDescent="0.25">
      <c r="A50" t="s">
        <v>60</v>
      </c>
      <c r="B50" s="1">
        <v>4.3906197492761274</v>
      </c>
      <c r="C50" s="2">
        <v>1.2510424924407639E-3</v>
      </c>
      <c r="D50" s="2"/>
      <c r="E50" s="2">
        <v>0.39046203388511702</v>
      </c>
      <c r="F50" s="3">
        <v>125.2621576342206</v>
      </c>
      <c r="G50" s="3">
        <v>26</v>
      </c>
      <c r="H50" s="2">
        <v>1.408908637693725E-3</v>
      </c>
      <c r="I50" s="4">
        <v>0.13230634338687089</v>
      </c>
      <c r="J50" s="4">
        <v>0.2581556904982461</v>
      </c>
      <c r="K50" s="5">
        <v>25</v>
      </c>
      <c r="L50" s="5">
        <v>0</v>
      </c>
      <c r="M50" s="5">
        <v>25</v>
      </c>
    </row>
    <row r="51" spans="1:13" hidden="1" x14ac:dyDescent="0.25">
      <c r="A51" t="s">
        <v>61</v>
      </c>
      <c r="B51" s="1">
        <v>4.3077363676806018</v>
      </c>
      <c r="C51" s="2">
        <v>1.2274260924302011E-3</v>
      </c>
      <c r="D51" s="2"/>
      <c r="E51" s="2">
        <v>2.9343003501860681</v>
      </c>
      <c r="F51" s="3">
        <v>354.42819626536777</v>
      </c>
      <c r="G51" s="3">
        <v>10</v>
      </c>
      <c r="H51" s="2">
        <v>5.4188793757450958E-4</v>
      </c>
      <c r="I51" s="4">
        <v>0</v>
      </c>
      <c r="J51" s="4">
        <v>2.9343003501860681</v>
      </c>
      <c r="K51" s="5">
        <v>10</v>
      </c>
      <c r="L51" s="5">
        <v>0</v>
      </c>
      <c r="M51" s="5">
        <v>10</v>
      </c>
    </row>
    <row r="52" spans="1:13" hidden="1" x14ac:dyDescent="0.25">
      <c r="A52" t="s">
        <v>62</v>
      </c>
      <c r="B52" s="1">
        <v>4.2318788608617028</v>
      </c>
      <c r="C52" s="2">
        <v>1.2058116120560571E-3</v>
      </c>
      <c r="D52" s="2"/>
      <c r="E52" s="2">
        <v>0.53571334057345865</v>
      </c>
      <c r="F52" s="3">
        <v>138.34737077314691</v>
      </c>
      <c r="G52" s="3">
        <v>19</v>
      </c>
      <c r="H52" s="2">
        <v>1.029587081391568E-3</v>
      </c>
      <c r="I52" s="4">
        <v>1.110223024625157E-16</v>
      </c>
      <c r="J52" s="4">
        <v>0.53571334057345854</v>
      </c>
      <c r="K52" s="5">
        <v>18</v>
      </c>
      <c r="L52" s="5">
        <v>0</v>
      </c>
      <c r="M52" s="5">
        <v>16</v>
      </c>
    </row>
    <row r="53" spans="1:13" hidden="1" x14ac:dyDescent="0.25">
      <c r="A53" t="s">
        <v>63</v>
      </c>
      <c r="B53" s="1">
        <v>4.0420802456648488</v>
      </c>
      <c r="C53" s="2">
        <v>1.1517312894189561E-3</v>
      </c>
      <c r="D53" s="2"/>
      <c r="E53" s="2">
        <v>0.5288695117933393</v>
      </c>
      <c r="F53" s="3">
        <v>137.73083271702919</v>
      </c>
      <c r="G53" s="3">
        <v>9</v>
      </c>
      <c r="H53" s="2">
        <v>4.876991438170586E-4</v>
      </c>
      <c r="I53" s="4">
        <v>2.2204460492503131E-16</v>
      </c>
      <c r="J53" s="4">
        <v>0.52886951179333908</v>
      </c>
      <c r="K53" s="5">
        <v>9</v>
      </c>
      <c r="L53" s="5">
        <v>0</v>
      </c>
      <c r="M53" s="5">
        <v>9</v>
      </c>
    </row>
    <row r="54" spans="1:13" hidden="1" x14ac:dyDescent="0.25">
      <c r="A54" t="s">
        <v>64</v>
      </c>
      <c r="B54" s="1">
        <v>4.028717979587074</v>
      </c>
      <c r="C54" s="2">
        <v>1.147923908317154E-3</v>
      </c>
      <c r="D54" s="2"/>
      <c r="E54" s="2">
        <v>0.32601798435673057</v>
      </c>
      <c r="F54" s="3">
        <v>119.4566048798912</v>
      </c>
      <c r="G54" s="3">
        <v>23</v>
      </c>
      <c r="H54" s="2">
        <v>1.2463422564213721E-3</v>
      </c>
      <c r="I54" s="4">
        <v>-9.8629606293905103E-2</v>
      </c>
      <c r="J54" s="4">
        <v>0.42464759065063568</v>
      </c>
      <c r="K54" s="5">
        <v>23</v>
      </c>
      <c r="L54" s="5">
        <v>0</v>
      </c>
      <c r="M54" s="5">
        <v>15</v>
      </c>
    </row>
    <row r="55" spans="1:13" hidden="1" x14ac:dyDescent="0.25">
      <c r="A55" t="s">
        <v>65</v>
      </c>
      <c r="B55" s="1">
        <v>3.7784688825360839</v>
      </c>
      <c r="C55" s="2">
        <v>1.0766191103652621E-3</v>
      </c>
      <c r="D55" s="2"/>
      <c r="E55" s="2">
        <v>0.3702403882741625</v>
      </c>
      <c r="F55" s="3">
        <v>123.44045599950201</v>
      </c>
      <c r="G55" s="3">
        <v>31</v>
      </c>
      <c r="H55" s="2">
        <v>1.6798526064809799E-3</v>
      </c>
      <c r="I55" s="4">
        <v>6.6045872895984015E-2</v>
      </c>
      <c r="J55" s="4">
        <v>0.30419451537817849</v>
      </c>
      <c r="K55" s="5">
        <v>30</v>
      </c>
      <c r="L55" s="5">
        <v>0</v>
      </c>
      <c r="M55" s="5">
        <v>24</v>
      </c>
    </row>
    <row r="56" spans="1:13" hidden="1" x14ac:dyDescent="0.25">
      <c r="A56" t="s">
        <v>66</v>
      </c>
      <c r="B56" s="1">
        <v>3.7275853798869538</v>
      </c>
      <c r="C56" s="2">
        <v>1.0621206050030561E-3</v>
      </c>
      <c r="D56" s="2"/>
      <c r="E56" s="2">
        <v>5.6434525926359447E-2</v>
      </c>
      <c r="F56" s="3">
        <v>95.17071656179742</v>
      </c>
      <c r="G56" s="3">
        <v>35</v>
      </c>
      <c r="H56" s="2">
        <v>1.8966077815107841E-3</v>
      </c>
      <c r="I56" s="4">
        <v>3.8287346071223111E-2</v>
      </c>
      <c r="J56" s="4">
        <v>1.814717985513634E-2</v>
      </c>
      <c r="K56" s="5">
        <v>35</v>
      </c>
      <c r="L56" s="5">
        <v>0</v>
      </c>
      <c r="M56" s="5">
        <v>34</v>
      </c>
    </row>
    <row r="57" spans="1:13" hidden="1" x14ac:dyDescent="0.25">
      <c r="A57" t="s">
        <v>67</v>
      </c>
      <c r="B57" s="1">
        <v>3.7235015871266079</v>
      </c>
      <c r="C57" s="2">
        <v>1.0609569883463521E-3</v>
      </c>
      <c r="D57" s="2"/>
      <c r="E57" s="2">
        <v>0.50326206162199716</v>
      </c>
      <c r="F57" s="3">
        <v>135.42394163924081</v>
      </c>
      <c r="G57" s="3">
        <v>38</v>
      </c>
      <c r="H57" s="2">
        <v>2.0591741627831359E-3</v>
      </c>
      <c r="I57" s="4">
        <v>3.5635390373189857E-2</v>
      </c>
      <c r="J57" s="4">
        <v>0.4676266712488073</v>
      </c>
      <c r="K57" s="5">
        <v>38</v>
      </c>
      <c r="L57" s="5">
        <v>0</v>
      </c>
      <c r="M57" s="5">
        <v>37</v>
      </c>
    </row>
    <row r="58" spans="1:13" hidden="1" x14ac:dyDescent="0.25">
      <c r="A58" t="s">
        <v>68</v>
      </c>
      <c r="B58" s="1">
        <v>3.6997967112780281</v>
      </c>
      <c r="C58" s="2">
        <v>1.054202632775138E-3</v>
      </c>
      <c r="D58" s="2"/>
      <c r="E58" s="2">
        <v>0.16138230929325889</v>
      </c>
      <c r="F58" s="3">
        <v>104.62511766236911</v>
      </c>
      <c r="G58" s="3">
        <v>20</v>
      </c>
      <c r="H58" s="2">
        <v>1.0837758751490189E-3</v>
      </c>
      <c r="I58" s="4">
        <v>1.9428902930940239E-16</v>
      </c>
      <c r="J58" s="4">
        <v>0.1613823092932587</v>
      </c>
      <c r="K58" s="5">
        <v>20</v>
      </c>
      <c r="L58" s="5">
        <v>0</v>
      </c>
      <c r="M58" s="5">
        <v>19</v>
      </c>
    </row>
    <row r="59" spans="1:13" hidden="1" x14ac:dyDescent="0.25">
      <c r="A59" t="s">
        <v>69</v>
      </c>
      <c r="B59" s="1">
        <v>3.6155157620202489</v>
      </c>
      <c r="C59" s="2">
        <v>1.030188016423514E-3</v>
      </c>
      <c r="D59" s="2"/>
      <c r="E59" s="2">
        <v>4.2493099026919001E-2</v>
      </c>
      <c r="F59" s="3">
        <v>93.914779203303553</v>
      </c>
      <c r="G59" s="3">
        <v>48</v>
      </c>
      <c r="H59" s="2">
        <v>2.6010621003576461E-3</v>
      </c>
      <c r="I59" s="4">
        <v>-2.8497991875749348E-2</v>
      </c>
      <c r="J59" s="4">
        <v>7.099109090266835E-2</v>
      </c>
      <c r="K59" s="5">
        <v>47</v>
      </c>
      <c r="L59" s="5">
        <v>0</v>
      </c>
      <c r="M59" s="5">
        <v>47</v>
      </c>
    </row>
    <row r="60" spans="1:13" hidden="1" x14ac:dyDescent="0.25">
      <c r="A60" t="s">
        <v>70</v>
      </c>
      <c r="B60" s="1">
        <v>3.3063158980120479</v>
      </c>
      <c r="C60" s="2">
        <v>9.4208606484937963E-4</v>
      </c>
      <c r="D60" s="2"/>
      <c r="E60" s="2">
        <v>3.1742853499115542E-2</v>
      </c>
      <c r="F60" s="3">
        <v>92.94632489308573</v>
      </c>
      <c r="G60" s="3">
        <v>31</v>
      </c>
      <c r="H60" s="2">
        <v>1.6798526064809799E-3</v>
      </c>
      <c r="I60" s="4">
        <v>-5.0566414253682126E-3</v>
      </c>
      <c r="J60" s="4">
        <v>3.6799494924483762E-2</v>
      </c>
      <c r="K60" s="5">
        <v>31</v>
      </c>
      <c r="L60" s="5">
        <v>16</v>
      </c>
      <c r="M60" s="5">
        <v>28</v>
      </c>
    </row>
    <row r="61" spans="1:13" hidden="1" x14ac:dyDescent="0.25">
      <c r="A61" t="s">
        <v>71</v>
      </c>
      <c r="B61" s="1">
        <v>3.2628745986537449</v>
      </c>
      <c r="C61" s="2">
        <v>9.2970810580771199E-4</v>
      </c>
      <c r="D61" s="2"/>
      <c r="E61" s="2">
        <v>9.1499858949084745E-2</v>
      </c>
      <c r="F61" s="3">
        <v>98.32963724107428</v>
      </c>
      <c r="G61" s="3">
        <v>14</v>
      </c>
      <c r="H61" s="2">
        <v>7.5864311260431339E-4</v>
      </c>
      <c r="I61" s="4">
        <v>-7.0257545114796446E-3</v>
      </c>
      <c r="J61" s="4">
        <v>9.852561346056439E-2</v>
      </c>
      <c r="K61" s="5">
        <v>13</v>
      </c>
      <c r="L61" s="5">
        <v>13</v>
      </c>
      <c r="M61" s="5">
        <v>13</v>
      </c>
    </row>
    <row r="62" spans="1:13" hidden="1" x14ac:dyDescent="0.25">
      <c r="A62" t="s">
        <v>72</v>
      </c>
      <c r="B62" s="1">
        <v>2.9467926074756741</v>
      </c>
      <c r="C62" s="2">
        <v>8.3964519336255023E-4</v>
      </c>
      <c r="D62" s="2"/>
      <c r="E62" s="2">
        <v>0.3755647470554746</v>
      </c>
      <c r="F62" s="3">
        <v>123.9201099941547</v>
      </c>
      <c r="G62" s="3">
        <v>38</v>
      </c>
      <c r="H62" s="2">
        <v>2.0591741627831359E-3</v>
      </c>
      <c r="I62" s="4">
        <v>-4.9341443195427097E-2</v>
      </c>
      <c r="J62" s="4">
        <v>0.42490619025090171</v>
      </c>
      <c r="K62" s="5">
        <v>38</v>
      </c>
      <c r="L62" s="5">
        <v>36</v>
      </c>
      <c r="M62" s="5">
        <v>29</v>
      </c>
    </row>
    <row r="63" spans="1:13" hidden="1" x14ac:dyDescent="0.25">
      <c r="A63" t="s">
        <v>73</v>
      </c>
      <c r="B63" s="1">
        <v>2.9298366608300008</v>
      </c>
      <c r="C63" s="2">
        <v>8.3481384586159822E-4</v>
      </c>
      <c r="D63" s="2"/>
      <c r="E63" s="2">
        <v>8.662375492236607E-2</v>
      </c>
      <c r="F63" s="3">
        <v>97.890365044961811</v>
      </c>
      <c r="G63" s="3">
        <v>30</v>
      </c>
      <c r="H63" s="2">
        <v>1.6256638127235289E-3</v>
      </c>
      <c r="I63" s="4">
        <v>-6.8195260859630208E-3</v>
      </c>
      <c r="J63" s="4">
        <v>9.344328100832909E-2</v>
      </c>
      <c r="K63" s="5">
        <v>30</v>
      </c>
      <c r="L63" s="5">
        <v>0</v>
      </c>
      <c r="M63" s="5">
        <v>29</v>
      </c>
    </row>
    <row r="64" spans="1:13" x14ac:dyDescent="0.25">
      <c r="A64" t="s">
        <v>74</v>
      </c>
      <c r="B64" s="1">
        <v>2.924844194024907</v>
      </c>
      <c r="C64" s="2">
        <v>8.3339131590639073E-4</v>
      </c>
      <c r="D64" s="2"/>
      <c r="E64" s="2">
        <v>-1.8574180886317571E-2</v>
      </c>
      <c r="F64" s="3">
        <v>88.413428532540166</v>
      </c>
      <c r="G64" s="3">
        <v>11</v>
      </c>
      <c r="H64" s="2">
        <v>5.9607673133196056E-4</v>
      </c>
      <c r="I64" s="4">
        <v>-2.810252031082427E-16</v>
      </c>
      <c r="J64" s="4">
        <v>-1.857418088631729E-2</v>
      </c>
      <c r="K64" s="5">
        <v>11</v>
      </c>
      <c r="L64" s="5">
        <v>0</v>
      </c>
      <c r="M64" s="5">
        <v>10</v>
      </c>
    </row>
    <row r="65" spans="1:13" hidden="1" x14ac:dyDescent="0.25">
      <c r="A65" t="s">
        <v>75</v>
      </c>
      <c r="B65" s="1">
        <v>2.9140286959926929</v>
      </c>
      <c r="C65" s="2">
        <v>8.3030959888513397E-4</v>
      </c>
      <c r="D65" s="2"/>
      <c r="E65" s="2">
        <v>0.1233681203679686</v>
      </c>
      <c r="F65" s="3">
        <v>101.20054424040239</v>
      </c>
      <c r="G65" s="3">
        <v>10</v>
      </c>
      <c r="H65" s="2">
        <v>5.4188793757450958E-4</v>
      </c>
      <c r="I65" s="4">
        <v>1.9428902930940239E-16</v>
      </c>
      <c r="J65" s="4">
        <v>0.1233681203679684</v>
      </c>
      <c r="K65" s="5">
        <v>9</v>
      </c>
      <c r="L65" s="5">
        <v>10</v>
      </c>
      <c r="M65" s="5">
        <v>9</v>
      </c>
    </row>
    <row r="66" spans="1:13" hidden="1" x14ac:dyDescent="0.25">
      <c r="A66" t="s">
        <v>76</v>
      </c>
      <c r="B66" s="1">
        <v>2.8517555940219488</v>
      </c>
      <c r="C66" s="2">
        <v>8.1256579478678533E-4</v>
      </c>
      <c r="D66" s="2"/>
      <c r="E66" s="2">
        <v>7.0148445441394092E-2</v>
      </c>
      <c r="F66" s="3">
        <v>96.406158527282386</v>
      </c>
      <c r="G66" s="3">
        <v>20</v>
      </c>
      <c r="H66" s="2">
        <v>1.0837758751490189E-3</v>
      </c>
      <c r="I66" s="4">
        <v>7.3376862823271785E-2</v>
      </c>
      <c r="J66" s="4">
        <v>-3.2284173818776952E-3</v>
      </c>
      <c r="K66" s="5">
        <v>19</v>
      </c>
      <c r="L66" s="5">
        <v>0</v>
      </c>
      <c r="M66" s="5">
        <v>17</v>
      </c>
    </row>
    <row r="67" spans="1:13" hidden="1" x14ac:dyDescent="0.25">
      <c r="A67" t="s">
        <v>77</v>
      </c>
      <c r="B67" s="1">
        <v>2.8103669722594411</v>
      </c>
      <c r="C67" s="2">
        <v>8.007727160222229E-4</v>
      </c>
      <c r="D67" s="2"/>
      <c r="E67" s="2">
        <v>0.63607577316081931</v>
      </c>
      <c r="F67" s="3">
        <v>147.38869268266009</v>
      </c>
      <c r="G67" s="3">
        <v>12</v>
      </c>
      <c r="H67" s="2">
        <v>6.5026552508941154E-4</v>
      </c>
      <c r="I67" s="4">
        <v>-0.13702559904986619</v>
      </c>
      <c r="J67" s="4">
        <v>0.77310137221068553</v>
      </c>
      <c r="K67" s="5">
        <v>12</v>
      </c>
      <c r="L67" s="5">
        <v>0</v>
      </c>
      <c r="M67" s="5">
        <v>11</v>
      </c>
    </row>
    <row r="68" spans="1:13" hidden="1" x14ac:dyDescent="0.25">
      <c r="A68" t="s">
        <v>78</v>
      </c>
      <c r="B68" s="1">
        <v>2.7958477449315482</v>
      </c>
      <c r="C68" s="2">
        <v>7.9663567583613149E-4</v>
      </c>
      <c r="D68" s="2"/>
      <c r="E68" s="2">
        <v>-0.25573875233472693</v>
      </c>
      <c r="F68" s="3">
        <v>67.048051262212226</v>
      </c>
      <c r="G68" s="3">
        <v>10</v>
      </c>
      <c r="H68" s="2">
        <v>5.4188793757450958E-4</v>
      </c>
      <c r="I68" s="4">
        <v>-1.6653345369377351E-16</v>
      </c>
      <c r="J68" s="4">
        <v>-0.2557387523347267</v>
      </c>
      <c r="K68" s="5">
        <v>10</v>
      </c>
      <c r="L68" s="5">
        <v>0</v>
      </c>
      <c r="M68" s="5">
        <v>0</v>
      </c>
    </row>
    <row r="69" spans="1:13" hidden="1" x14ac:dyDescent="0.25">
      <c r="A69" t="s">
        <v>79</v>
      </c>
      <c r="B69" s="1">
        <v>2.740609788732371</v>
      </c>
      <c r="C69" s="2">
        <v>7.8089643300779401E-4</v>
      </c>
      <c r="D69" s="2"/>
      <c r="E69" s="2">
        <v>0.87507917628577347</v>
      </c>
      <c r="F69" s="3">
        <v>168.91972425905101</v>
      </c>
      <c r="G69" s="3">
        <v>12</v>
      </c>
      <c r="H69" s="2">
        <v>6.5026552508941154E-4</v>
      </c>
      <c r="I69" s="4">
        <v>0.32616051950191738</v>
      </c>
      <c r="J69" s="4">
        <v>0.5489186567838561</v>
      </c>
      <c r="K69" s="5">
        <v>12</v>
      </c>
      <c r="L69" s="5">
        <v>0</v>
      </c>
      <c r="M69" s="5">
        <v>0</v>
      </c>
    </row>
    <row r="70" spans="1:13" hidden="1" x14ac:dyDescent="0.25">
      <c r="A70" t="s">
        <v>80</v>
      </c>
      <c r="B70" s="1">
        <v>2.4253678713052929</v>
      </c>
      <c r="C70" s="2">
        <v>6.9107288721683845E-4</v>
      </c>
      <c r="D70" s="2"/>
      <c r="E70" s="2">
        <v>0.8290466938531087</v>
      </c>
      <c r="F70" s="3">
        <v>164.7728091112395</v>
      </c>
      <c r="G70" s="3">
        <v>12</v>
      </c>
      <c r="H70" s="2">
        <v>6.5026552508941154E-4</v>
      </c>
      <c r="I70" s="4">
        <v>0</v>
      </c>
      <c r="J70" s="4">
        <v>0.8290466938531087</v>
      </c>
      <c r="K70" s="5">
        <v>12</v>
      </c>
      <c r="L70" s="5">
        <v>0</v>
      </c>
      <c r="M70" s="5">
        <v>12</v>
      </c>
    </row>
    <row r="71" spans="1:13" hidden="1" x14ac:dyDescent="0.25">
      <c r="A71" t="s">
        <v>81</v>
      </c>
      <c r="B71" s="1">
        <v>2.3706836627002361</v>
      </c>
      <c r="C71" s="2">
        <v>6.7549142661740933E-4</v>
      </c>
      <c r="D71" s="2"/>
      <c r="E71" s="2">
        <v>6.6581836752782619E-2</v>
      </c>
      <c r="F71" s="3">
        <v>96.08485446511817</v>
      </c>
      <c r="G71" s="3">
        <v>31</v>
      </c>
      <c r="H71" s="2">
        <v>1.6798526064809799E-3</v>
      </c>
      <c r="I71" s="4">
        <v>-8.3828759146351434E-3</v>
      </c>
      <c r="J71" s="4">
        <v>7.4964712667417763E-2</v>
      </c>
      <c r="K71" s="5">
        <v>30</v>
      </c>
      <c r="L71" s="5">
        <v>0</v>
      </c>
      <c r="M71" s="5">
        <v>28</v>
      </c>
    </row>
    <row r="72" spans="1:13" hidden="1" x14ac:dyDescent="0.25">
      <c r="A72" t="s">
        <v>82</v>
      </c>
      <c r="B72" s="1">
        <v>2.3278225269230548</v>
      </c>
      <c r="C72" s="2">
        <v>6.6327877665145246E-4</v>
      </c>
      <c r="D72" s="2"/>
      <c r="E72" s="2">
        <v>1.503444927568107</v>
      </c>
      <c r="F72" s="3">
        <v>225.52713091304409</v>
      </c>
      <c r="G72" s="3">
        <v>12</v>
      </c>
      <c r="H72" s="2">
        <v>6.5026552508941154E-4</v>
      </c>
      <c r="I72" s="4">
        <v>8.6410641396276855E-2</v>
      </c>
      <c r="J72" s="4">
        <v>1.4170342861718299</v>
      </c>
      <c r="K72" s="5">
        <v>12</v>
      </c>
      <c r="L72" s="5">
        <v>0</v>
      </c>
      <c r="M72" s="5">
        <v>0</v>
      </c>
    </row>
    <row r="73" spans="1:13" hidden="1" x14ac:dyDescent="0.25">
      <c r="A73" t="s">
        <v>83</v>
      </c>
      <c r="B73" s="1">
        <v>2.1897497225859031</v>
      </c>
      <c r="C73" s="2">
        <v>6.2393696270714204E-4</v>
      </c>
      <c r="D73" s="2"/>
      <c r="E73" s="2">
        <v>8.7199086792955516E-2</v>
      </c>
      <c r="F73" s="3">
        <v>97.942194803494971</v>
      </c>
      <c r="G73" s="3">
        <v>22</v>
      </c>
      <c r="H73" s="2">
        <v>1.1921534626639209E-3</v>
      </c>
      <c r="I73" s="4">
        <v>1.8041124150158789E-16</v>
      </c>
      <c r="J73" s="4">
        <v>8.7199086792955335E-2</v>
      </c>
      <c r="K73" s="5">
        <v>22</v>
      </c>
      <c r="L73" s="5">
        <v>0</v>
      </c>
      <c r="M73" s="5">
        <v>0</v>
      </c>
    </row>
    <row r="74" spans="1:13" hidden="1" x14ac:dyDescent="0.25">
      <c r="A74" t="s">
        <v>84</v>
      </c>
      <c r="B74" s="1">
        <v>2.1808075759936312</v>
      </c>
      <c r="C74" s="2">
        <v>6.2138902961354845E-4</v>
      </c>
      <c r="D74" s="2"/>
      <c r="E74" s="2">
        <v>0.1770088161752246</v>
      </c>
      <c r="F74" s="3">
        <v>106.032858341812</v>
      </c>
      <c r="G74" s="3">
        <v>35</v>
      </c>
      <c r="H74" s="2">
        <v>1.8966077815107841E-3</v>
      </c>
      <c r="I74" s="4">
        <v>9.8179871108530561E-2</v>
      </c>
      <c r="J74" s="4">
        <v>7.8828945066694009E-2</v>
      </c>
      <c r="K74" s="5">
        <v>34</v>
      </c>
      <c r="L74" s="5">
        <v>0</v>
      </c>
      <c r="M74" s="5">
        <v>27</v>
      </c>
    </row>
    <row r="75" spans="1:13" hidden="1" x14ac:dyDescent="0.25">
      <c r="A75" t="s">
        <v>85</v>
      </c>
      <c r="B75" s="1">
        <v>2.16620986044471</v>
      </c>
      <c r="C75" s="2">
        <v>6.1722962536377819E-4</v>
      </c>
      <c r="D75" s="2"/>
      <c r="E75" s="2">
        <v>0.2381496977725879</v>
      </c>
      <c r="F75" s="3">
        <v>111.54083954655231</v>
      </c>
      <c r="G75" s="3">
        <v>25</v>
      </c>
      <c r="H75" s="2">
        <v>1.3547198439362741E-3</v>
      </c>
      <c r="I75" s="4">
        <v>-0.1083790726497756</v>
      </c>
      <c r="J75" s="4">
        <v>0.34652877042236352</v>
      </c>
      <c r="K75" s="5">
        <v>23</v>
      </c>
      <c r="L75" s="5">
        <v>0</v>
      </c>
      <c r="M75" s="5">
        <v>13</v>
      </c>
    </row>
    <row r="76" spans="1:13" hidden="1" x14ac:dyDescent="0.25">
      <c r="A76" t="s">
        <v>86</v>
      </c>
      <c r="B76" s="1">
        <v>2.1580683756050232</v>
      </c>
      <c r="C76" s="2">
        <v>6.1490982905536653E-4</v>
      </c>
      <c r="D76" s="2"/>
      <c r="E76" s="2">
        <v>-0.2222475128831102</v>
      </c>
      <c r="F76" s="3">
        <v>70.065167021807611</v>
      </c>
      <c r="G76" s="3">
        <v>37</v>
      </c>
      <c r="H76" s="2">
        <v>2.0049853690256849E-3</v>
      </c>
      <c r="I76" s="4">
        <v>-6.9137569442070973E-2</v>
      </c>
      <c r="J76" s="4">
        <v>-0.1531099434410392</v>
      </c>
      <c r="K76" s="5">
        <v>37</v>
      </c>
      <c r="L76" s="5">
        <v>0</v>
      </c>
      <c r="M76" s="5">
        <v>0</v>
      </c>
    </row>
    <row r="77" spans="1:13" hidden="1" x14ac:dyDescent="0.25">
      <c r="A77" t="s">
        <v>87</v>
      </c>
      <c r="B77" s="1">
        <v>1.9809532533798091</v>
      </c>
      <c r="C77" s="2">
        <v>5.6444348111118071E-4</v>
      </c>
      <c r="D77" s="2"/>
      <c r="E77" s="2">
        <v>2.813204699146277E-2</v>
      </c>
      <c r="F77" s="3">
        <v>92.621039194572617</v>
      </c>
      <c r="G77" s="3">
        <v>7</v>
      </c>
      <c r="H77" s="2">
        <v>3.7932155630215669E-4</v>
      </c>
      <c r="I77" s="4">
        <v>-7.0971691282586763E-2</v>
      </c>
      <c r="J77" s="4">
        <v>9.910373827404953E-2</v>
      </c>
      <c r="K77" s="5">
        <v>7</v>
      </c>
      <c r="L77" s="5">
        <v>7</v>
      </c>
      <c r="M77" s="5">
        <v>2</v>
      </c>
    </row>
    <row r="78" spans="1:13" hidden="1" x14ac:dyDescent="0.25">
      <c r="A78" t="s">
        <v>88</v>
      </c>
      <c r="B78" s="1">
        <v>1.9773448723165521</v>
      </c>
      <c r="C78" s="2">
        <v>5.634153260221876E-4</v>
      </c>
      <c r="D78" s="2"/>
      <c r="E78" s="2">
        <v>-0.168849098823594</v>
      </c>
      <c r="F78" s="3">
        <v>74.875654756342286</v>
      </c>
      <c r="G78" s="3">
        <v>13</v>
      </c>
      <c r="H78" s="2">
        <v>7.0445431884686252E-4</v>
      </c>
      <c r="I78" s="4">
        <v>2.2204460492503131E-16</v>
      </c>
      <c r="J78" s="4">
        <v>-0.1688490988235942</v>
      </c>
      <c r="K78" s="5">
        <v>13</v>
      </c>
      <c r="L78" s="5">
        <v>0</v>
      </c>
      <c r="M78" s="5">
        <v>13</v>
      </c>
    </row>
    <row r="79" spans="1:13" hidden="1" x14ac:dyDescent="0.25">
      <c r="A79" t="s">
        <v>89</v>
      </c>
      <c r="B79" s="1">
        <v>1.9747854926395181</v>
      </c>
      <c r="C79" s="2">
        <v>5.6268606844282483E-4</v>
      </c>
      <c r="D79" s="2"/>
      <c r="E79" s="2">
        <v>-0.17278900097493091</v>
      </c>
      <c r="F79" s="3">
        <v>74.520721912210476</v>
      </c>
      <c r="G79" s="3">
        <v>21</v>
      </c>
      <c r="H79" s="2">
        <v>1.1379646689064699E-3</v>
      </c>
      <c r="I79" s="4">
        <v>-4.5982631101545067E-2</v>
      </c>
      <c r="J79" s="4">
        <v>-0.12680636987338581</v>
      </c>
      <c r="K79" s="5">
        <v>19</v>
      </c>
      <c r="L79" s="5">
        <v>0</v>
      </c>
      <c r="M79" s="5">
        <v>18</v>
      </c>
    </row>
    <row r="80" spans="1:13" hidden="1" x14ac:dyDescent="0.25">
      <c r="A80" t="s">
        <v>90</v>
      </c>
      <c r="B80" s="1">
        <v>1.9530827532988919</v>
      </c>
      <c r="C80" s="2">
        <v>5.5650219220941479E-4</v>
      </c>
      <c r="D80" s="2"/>
      <c r="E80" s="2">
        <v>-5.9293792133087928E-2</v>
      </c>
      <c r="F80" s="3">
        <v>84.745132499641386</v>
      </c>
      <c r="G80" s="3">
        <v>56</v>
      </c>
      <c r="H80" s="2">
        <v>3.034572450417254E-3</v>
      </c>
      <c r="I80" s="4">
        <v>-7.6884029351601893E-3</v>
      </c>
      <c r="J80" s="4">
        <v>-5.1605389197927752E-2</v>
      </c>
      <c r="K80" s="5">
        <v>56</v>
      </c>
      <c r="L80" s="5">
        <v>0</v>
      </c>
      <c r="M80" s="5">
        <v>28</v>
      </c>
    </row>
    <row r="81" spans="1:13" hidden="1" x14ac:dyDescent="0.25">
      <c r="A81" t="s">
        <v>91</v>
      </c>
      <c r="B81" s="1">
        <v>1.692919918305712</v>
      </c>
      <c r="C81" s="2">
        <v>4.8237262050510531E-4</v>
      </c>
      <c r="D81" s="2"/>
      <c r="E81" s="2">
        <v>8.5175024925031151E-2</v>
      </c>
      <c r="F81" s="3">
        <v>97.759853717882635</v>
      </c>
      <c r="G81" s="3">
        <v>11</v>
      </c>
      <c r="H81" s="2">
        <v>5.9607673133196056E-4</v>
      </c>
      <c r="I81" s="4">
        <v>-0.21272220454611171</v>
      </c>
      <c r="J81" s="4">
        <v>0.29789722947114289</v>
      </c>
      <c r="K81" s="5">
        <v>10</v>
      </c>
      <c r="L81" s="5">
        <v>0</v>
      </c>
      <c r="M81" s="5">
        <v>10</v>
      </c>
    </row>
    <row r="82" spans="1:13" hidden="1" x14ac:dyDescent="0.25">
      <c r="A82" t="s">
        <v>92</v>
      </c>
      <c r="B82" s="1">
        <v>1.6873141130159059</v>
      </c>
      <c r="C82" s="2">
        <v>4.807753287735556E-4</v>
      </c>
      <c r="D82" s="2"/>
      <c r="E82" s="2">
        <v>0.39006697554565473</v>
      </c>
      <c r="F82" s="3">
        <v>125.226568125995</v>
      </c>
      <c r="G82" s="3">
        <v>15</v>
      </c>
      <c r="H82" s="2">
        <v>8.1283190636176437E-4</v>
      </c>
      <c r="I82" s="4">
        <v>1.110223024625157E-16</v>
      </c>
      <c r="J82" s="4">
        <v>0.39006697554565462</v>
      </c>
      <c r="K82" s="5">
        <v>15</v>
      </c>
      <c r="L82" s="5">
        <v>0</v>
      </c>
      <c r="M82" s="5">
        <v>0</v>
      </c>
    </row>
    <row r="83" spans="1:13" hidden="1" x14ac:dyDescent="0.25">
      <c r="A83" t="s">
        <v>93</v>
      </c>
      <c r="B83" s="1">
        <v>1.6462719342413821</v>
      </c>
      <c r="C83" s="2">
        <v>4.6908096384073588E-4</v>
      </c>
      <c r="D83" s="2"/>
      <c r="E83" s="2">
        <v>1.8429165443052891</v>
      </c>
      <c r="F83" s="3">
        <v>256.10901386403879</v>
      </c>
      <c r="G83" s="3">
        <v>7</v>
      </c>
      <c r="H83" s="2">
        <v>3.7932155630215669E-4</v>
      </c>
      <c r="I83" s="4">
        <v>0</v>
      </c>
      <c r="J83" s="4">
        <v>1.8429165443052891</v>
      </c>
      <c r="K83" s="5">
        <v>7</v>
      </c>
      <c r="L83" s="5">
        <v>0</v>
      </c>
      <c r="M83" s="5">
        <v>0</v>
      </c>
    </row>
    <row r="84" spans="1:13" hidden="1" x14ac:dyDescent="0.25">
      <c r="A84" t="s">
        <v>94</v>
      </c>
      <c r="B84" s="1">
        <v>1.6055481167445771</v>
      </c>
      <c r="C84" s="2">
        <v>4.5747731126952331E-4</v>
      </c>
      <c r="D84" s="2"/>
      <c r="E84" s="2">
        <v>-0.1037621522433335</v>
      </c>
      <c r="F84" s="3">
        <v>80.739123994467704</v>
      </c>
      <c r="G84" s="3">
        <v>12</v>
      </c>
      <c r="H84" s="2">
        <v>6.5026552508941154E-4</v>
      </c>
      <c r="I84" s="4">
        <v>9.729785052393497E-3</v>
      </c>
      <c r="J84" s="4">
        <v>-0.113491937295727</v>
      </c>
      <c r="K84" s="5">
        <v>11</v>
      </c>
      <c r="L84" s="5">
        <v>0</v>
      </c>
      <c r="M84" s="5">
        <v>4</v>
      </c>
    </row>
    <row r="85" spans="1:13" hidden="1" x14ac:dyDescent="0.25">
      <c r="A85" t="s">
        <v>95</v>
      </c>
      <c r="B85" s="1">
        <v>1.591762366943523</v>
      </c>
      <c r="C85" s="2">
        <v>4.5354926471205981E-4</v>
      </c>
      <c r="D85" s="2"/>
      <c r="E85" s="2">
        <v>0.29538891539642731</v>
      </c>
      <c r="F85" s="3">
        <v>116.69733265900589</v>
      </c>
      <c r="G85" s="3">
        <v>18</v>
      </c>
      <c r="H85" s="2">
        <v>9.753982876341172E-4</v>
      </c>
      <c r="I85" s="4">
        <v>9.6678406405379558E-2</v>
      </c>
      <c r="J85" s="4">
        <v>0.19871050899104781</v>
      </c>
      <c r="K85" s="5">
        <v>18</v>
      </c>
      <c r="L85" s="5">
        <v>18</v>
      </c>
      <c r="M85" s="5">
        <v>12</v>
      </c>
    </row>
    <row r="86" spans="1:13" hidden="1" x14ac:dyDescent="0.25">
      <c r="A86" t="s">
        <v>96</v>
      </c>
      <c r="B86" s="1">
        <v>1.5350441139301321</v>
      </c>
      <c r="C86" s="2">
        <v>4.3738823308811709E-4</v>
      </c>
      <c r="D86" s="2"/>
      <c r="E86" s="2">
        <v>6.7517613869052528E-3</v>
      </c>
      <c r="F86" s="3">
        <v>90.694959488404947</v>
      </c>
      <c r="G86" s="3">
        <v>19</v>
      </c>
      <c r="H86" s="2">
        <v>1.029587081391568E-3</v>
      </c>
      <c r="I86" s="4">
        <v>-2.012279232133096E-16</v>
      </c>
      <c r="J86" s="4">
        <v>6.7517613869054541E-3</v>
      </c>
      <c r="K86" s="5">
        <v>19</v>
      </c>
      <c r="L86" s="5">
        <v>0</v>
      </c>
      <c r="M86" s="5">
        <v>15</v>
      </c>
    </row>
    <row r="87" spans="1:13" hidden="1" x14ac:dyDescent="0.25">
      <c r="A87" t="s">
        <v>97</v>
      </c>
      <c r="B87" s="1">
        <v>1.483430450651249</v>
      </c>
      <c r="C87" s="2">
        <v>4.2268167919830269E-4</v>
      </c>
      <c r="D87" s="2"/>
      <c r="E87" s="2">
        <v>0.1076807292038606</v>
      </c>
      <c r="F87" s="3">
        <v>99.787318695956813</v>
      </c>
      <c r="G87" s="3">
        <v>25</v>
      </c>
      <c r="H87" s="2">
        <v>1.3547198439362741E-3</v>
      </c>
      <c r="I87" s="4">
        <v>-2.8216878017136401E-2</v>
      </c>
      <c r="J87" s="4">
        <v>0.135897607220997</v>
      </c>
      <c r="K87" s="5">
        <v>25</v>
      </c>
      <c r="L87" s="5">
        <v>19</v>
      </c>
      <c r="M87" s="5">
        <v>10</v>
      </c>
    </row>
    <row r="88" spans="1:13" hidden="1" x14ac:dyDescent="0.25">
      <c r="A88" t="s">
        <v>98</v>
      </c>
      <c r="B88" s="1">
        <v>1.441217101179072</v>
      </c>
      <c r="C88" s="2">
        <v>4.1065360640820271E-4</v>
      </c>
      <c r="D88" s="2"/>
      <c r="E88" s="2">
        <v>0.81136557147669541</v>
      </c>
      <c r="F88" s="3">
        <v>163.1799748703248</v>
      </c>
      <c r="G88" s="3">
        <v>6</v>
      </c>
      <c r="H88" s="2">
        <v>3.2513276254470582E-4</v>
      </c>
      <c r="I88" s="4">
        <v>2.2204460492503131E-16</v>
      </c>
      <c r="J88" s="4">
        <v>0.81136557147669519</v>
      </c>
      <c r="K88" s="5">
        <v>6</v>
      </c>
      <c r="L88" s="5">
        <v>0</v>
      </c>
      <c r="M88" s="5">
        <v>6</v>
      </c>
    </row>
    <row r="89" spans="1:13" hidden="1" x14ac:dyDescent="0.25">
      <c r="A89" t="s">
        <v>99</v>
      </c>
      <c r="B89" s="1">
        <v>1.431407347940757</v>
      </c>
      <c r="C89" s="2">
        <v>4.0785846156708678E-4</v>
      </c>
      <c r="D89" s="2"/>
      <c r="E89" s="2">
        <v>9.7370233898454561E-2</v>
      </c>
      <c r="F89" s="3">
        <v>98.858480038906961</v>
      </c>
      <c r="G89" s="3">
        <v>13</v>
      </c>
      <c r="H89" s="2">
        <v>7.0445431884686252E-4</v>
      </c>
      <c r="I89" s="4">
        <v>6.5669659464655417E-2</v>
      </c>
      <c r="J89" s="4">
        <v>3.1700574433799152E-2</v>
      </c>
      <c r="K89" s="5">
        <v>13</v>
      </c>
      <c r="L89" s="5">
        <v>0</v>
      </c>
      <c r="M89" s="5">
        <v>10</v>
      </c>
    </row>
    <row r="90" spans="1:13" hidden="1" x14ac:dyDescent="0.25">
      <c r="A90" t="s">
        <v>100</v>
      </c>
      <c r="B90" s="1">
        <v>1.424665865678886</v>
      </c>
      <c r="C90" s="2">
        <v>4.0593757539309568E-4</v>
      </c>
      <c r="D90" s="2"/>
      <c r="E90" s="2">
        <v>-9.8215953740227402E-2</v>
      </c>
      <c r="F90" s="3">
        <v>81.238762801020087</v>
      </c>
      <c r="G90" s="3">
        <v>15</v>
      </c>
      <c r="H90" s="2">
        <v>8.1283190636176437E-4</v>
      </c>
      <c r="I90" s="4">
        <v>-6.787571500301153E-3</v>
      </c>
      <c r="J90" s="4">
        <v>-9.1428382239926248E-2</v>
      </c>
      <c r="K90" s="5">
        <v>14</v>
      </c>
      <c r="L90" s="5">
        <v>8</v>
      </c>
      <c r="M90" s="5">
        <v>5</v>
      </c>
    </row>
    <row r="91" spans="1:13" hidden="1" x14ac:dyDescent="0.25">
      <c r="A91" t="s">
        <v>101</v>
      </c>
      <c r="B91" s="1">
        <v>1.4223490853525831</v>
      </c>
      <c r="C91" s="2">
        <v>4.052774429290321E-4</v>
      </c>
      <c r="D91" s="2"/>
      <c r="E91" s="2">
        <v>-0.59188696627802828</v>
      </c>
      <c r="F91" s="3">
        <v>36.765562753139783</v>
      </c>
      <c r="G91" s="3">
        <v>7</v>
      </c>
      <c r="H91" s="2">
        <v>3.7932155630215669E-4</v>
      </c>
      <c r="I91" s="4">
        <v>-0.46254062071281682</v>
      </c>
      <c r="J91" s="4">
        <v>-0.12934634556521149</v>
      </c>
      <c r="K91" s="5">
        <v>7</v>
      </c>
      <c r="L91" s="5">
        <v>0</v>
      </c>
      <c r="M91" s="5">
        <v>7</v>
      </c>
    </row>
    <row r="92" spans="1:13" hidden="1" x14ac:dyDescent="0.25">
      <c r="A92" t="s">
        <v>102</v>
      </c>
      <c r="B92" s="1">
        <v>1.4181815239903259</v>
      </c>
      <c r="C92" s="2">
        <v>4.0408995764181329E-4</v>
      </c>
      <c r="D92" s="2"/>
      <c r="E92" s="2">
        <v>-0.2143621941148601</v>
      </c>
      <c r="F92" s="3">
        <v>70.775529490162654</v>
      </c>
      <c r="G92" s="3">
        <v>22</v>
      </c>
      <c r="H92" s="2">
        <v>1.1921534626639209E-3</v>
      </c>
      <c r="I92" s="4">
        <v>-5.5511151231257827E-17</v>
      </c>
      <c r="J92" s="4">
        <v>-0.2143621941148601</v>
      </c>
      <c r="K92" s="5">
        <v>22</v>
      </c>
      <c r="L92" s="5">
        <v>0</v>
      </c>
      <c r="M92" s="5">
        <v>0</v>
      </c>
    </row>
    <row r="93" spans="1:13" hidden="1" x14ac:dyDescent="0.25">
      <c r="A93" t="s">
        <v>103</v>
      </c>
      <c r="B93" s="1">
        <v>1.4098764077607451</v>
      </c>
      <c r="C93" s="2">
        <v>4.0172353697658081E-4</v>
      </c>
      <c r="D93" s="2"/>
      <c r="E93" s="2">
        <v>5.1388676236856938E-2</v>
      </c>
      <c r="F93" s="3">
        <v>94.716152536457585</v>
      </c>
      <c r="G93" s="3">
        <v>20</v>
      </c>
      <c r="H93" s="2">
        <v>1.0837758751490189E-3</v>
      </c>
      <c r="I93" s="4">
        <v>-4.8572257327350599E-17</v>
      </c>
      <c r="J93" s="4">
        <v>5.1388676236856987E-2</v>
      </c>
      <c r="K93" s="5">
        <v>20</v>
      </c>
      <c r="L93" s="5">
        <v>0</v>
      </c>
      <c r="M93" s="5">
        <v>18</v>
      </c>
    </row>
    <row r="94" spans="1:13" hidden="1" x14ac:dyDescent="0.25">
      <c r="A94" t="s">
        <v>104</v>
      </c>
      <c r="B94" s="1">
        <v>1.370000291110151</v>
      </c>
      <c r="C94" s="2">
        <v>3.9036142428812881E-4</v>
      </c>
      <c r="D94" s="2"/>
      <c r="E94" s="2">
        <v>0.30833171887533539</v>
      </c>
      <c r="F94" s="3">
        <v>117.8633073135412</v>
      </c>
      <c r="G94" s="3">
        <v>7</v>
      </c>
      <c r="H94" s="2">
        <v>3.7932155630215669E-4</v>
      </c>
      <c r="I94" s="4">
        <v>-5.5511151231257827E-16</v>
      </c>
      <c r="J94" s="4">
        <v>0.30833171887533589</v>
      </c>
      <c r="K94" s="5">
        <v>7</v>
      </c>
      <c r="L94" s="5">
        <v>0</v>
      </c>
      <c r="M94" s="5">
        <v>0</v>
      </c>
    </row>
    <row r="95" spans="1:13" hidden="1" x14ac:dyDescent="0.25">
      <c r="A95" t="s">
        <v>105</v>
      </c>
      <c r="B95" s="1">
        <v>1.366661501331637</v>
      </c>
      <c r="C95" s="2">
        <v>3.8941008526886247E-4</v>
      </c>
      <c r="D95" s="2"/>
      <c r="E95" s="2">
        <v>-0.38664316933894788</v>
      </c>
      <c r="F95" s="3">
        <v>55.255302292301643</v>
      </c>
      <c r="G95" s="3">
        <v>32</v>
      </c>
      <c r="H95" s="2">
        <v>1.7340414002384309E-3</v>
      </c>
      <c r="I95" s="4">
        <v>-8.0761484902038438E-2</v>
      </c>
      <c r="J95" s="4">
        <v>-0.3058816844369095</v>
      </c>
      <c r="K95" s="5">
        <v>29</v>
      </c>
      <c r="L95" s="5">
        <v>0</v>
      </c>
      <c r="M95" s="5">
        <v>25</v>
      </c>
    </row>
    <row r="96" spans="1:13" hidden="1" x14ac:dyDescent="0.25">
      <c r="A96" t="s">
        <v>106</v>
      </c>
      <c r="B96" s="1">
        <v>1.363249833578914</v>
      </c>
      <c r="C96" s="2">
        <v>3.8843798074319721E-4</v>
      </c>
      <c r="D96" s="2"/>
      <c r="E96" s="2">
        <v>0.63426810059051753</v>
      </c>
      <c r="F96" s="3">
        <v>147.2258453981359</v>
      </c>
      <c r="G96" s="3">
        <v>6</v>
      </c>
      <c r="H96" s="2">
        <v>3.2513276254470582E-4</v>
      </c>
      <c r="I96" s="4">
        <v>8.7222997673943814E-2</v>
      </c>
      <c r="J96" s="4">
        <v>0.54704510291657371</v>
      </c>
      <c r="K96" s="5">
        <v>5</v>
      </c>
      <c r="L96" s="5">
        <v>0</v>
      </c>
      <c r="M96" s="5">
        <v>5</v>
      </c>
    </row>
    <row r="97" spans="1:13" hidden="1" x14ac:dyDescent="0.25">
      <c r="A97" t="s">
        <v>107</v>
      </c>
      <c r="B97" s="1">
        <v>1.340794072638219</v>
      </c>
      <c r="C97" s="2">
        <v>3.8203954208507109E-4</v>
      </c>
      <c r="D97" s="2"/>
      <c r="E97" s="2">
        <v>0.5402483740515307</v>
      </c>
      <c r="F97" s="3">
        <v>138.75591704378431</v>
      </c>
      <c r="G97" s="3">
        <v>6</v>
      </c>
      <c r="H97" s="2">
        <v>3.2513276254470582E-4</v>
      </c>
      <c r="I97" s="4">
        <v>-0.18277018469324749</v>
      </c>
      <c r="J97" s="4">
        <v>0.72301855874477816</v>
      </c>
      <c r="K97" s="5">
        <v>6</v>
      </c>
      <c r="L97" s="5">
        <v>0</v>
      </c>
      <c r="M97" s="5">
        <v>5</v>
      </c>
    </row>
    <row r="98" spans="1:13" hidden="1" x14ac:dyDescent="0.25">
      <c r="A98" t="s">
        <v>108</v>
      </c>
      <c r="B98" s="1">
        <v>1.300712710794202</v>
      </c>
      <c r="C98" s="2">
        <v>3.706189477988029E-4</v>
      </c>
      <c r="D98" s="2"/>
      <c r="E98" s="2">
        <v>0.14826702127777011</v>
      </c>
      <c r="F98" s="3">
        <v>103.4436044424619</v>
      </c>
      <c r="G98" s="3">
        <v>10</v>
      </c>
      <c r="H98" s="2">
        <v>5.4188793757450958E-4</v>
      </c>
      <c r="I98" s="4">
        <v>1.6653345369377351E-16</v>
      </c>
      <c r="J98" s="4">
        <v>0.14826702127777</v>
      </c>
      <c r="K98" s="5">
        <v>10</v>
      </c>
      <c r="L98" s="5">
        <v>0</v>
      </c>
      <c r="M98" s="5">
        <v>10</v>
      </c>
    </row>
    <row r="99" spans="1:13" hidden="1" x14ac:dyDescent="0.25">
      <c r="A99" t="s">
        <v>109</v>
      </c>
      <c r="B99" s="1">
        <v>1.290138109685746</v>
      </c>
      <c r="C99" s="2">
        <v>3.6760587081132969E-4</v>
      </c>
      <c r="D99" s="2"/>
      <c r="E99" s="2">
        <v>-0.22160787923157421</v>
      </c>
      <c r="F99" s="3">
        <v>70.122789516585811</v>
      </c>
      <c r="G99" s="3">
        <v>12</v>
      </c>
      <c r="H99" s="2">
        <v>6.5026552508941154E-4</v>
      </c>
      <c r="I99" s="4">
        <v>-1.110223024625157E-16</v>
      </c>
      <c r="J99" s="4">
        <v>-0.2216078792315741</v>
      </c>
      <c r="K99" s="5">
        <v>12</v>
      </c>
      <c r="L99" s="5">
        <v>0</v>
      </c>
      <c r="M99" s="5">
        <v>12</v>
      </c>
    </row>
    <row r="100" spans="1:13" hidden="1" x14ac:dyDescent="0.25">
      <c r="A100" t="s">
        <v>110</v>
      </c>
      <c r="B100" s="1">
        <v>1.2872542945514629</v>
      </c>
      <c r="C100" s="2">
        <v>3.6678417012228051E-4</v>
      </c>
      <c r="D100" s="2"/>
      <c r="E100" s="2">
        <v>-0.44841049416688628</v>
      </c>
      <c r="F100" s="3">
        <v>49.69088687448334</v>
      </c>
      <c r="G100" s="3">
        <v>6</v>
      </c>
      <c r="H100" s="2">
        <v>3.2513276254470582E-4</v>
      </c>
      <c r="I100" s="4">
        <v>2.6761462850491521E-2</v>
      </c>
      <c r="J100" s="4">
        <v>-0.4751719570173778</v>
      </c>
      <c r="K100" s="5">
        <v>6</v>
      </c>
      <c r="L100" s="5">
        <v>0</v>
      </c>
      <c r="M100" s="5">
        <v>0</v>
      </c>
    </row>
    <row r="101" spans="1:13" hidden="1" x14ac:dyDescent="0.25">
      <c r="A101" t="s">
        <v>111</v>
      </c>
      <c r="B101" s="1">
        <v>1.2072819509951149</v>
      </c>
      <c r="C101" s="2">
        <v>3.4399722756694838E-4</v>
      </c>
      <c r="D101" s="2"/>
      <c r="E101" s="2">
        <v>0.75908781897776878</v>
      </c>
      <c r="F101" s="3">
        <v>158.47044385494971</v>
      </c>
      <c r="G101" s="3">
        <v>9</v>
      </c>
      <c r="H101" s="2">
        <v>4.876991438170586E-4</v>
      </c>
      <c r="I101" s="4">
        <v>0.24750248313230619</v>
      </c>
      <c r="J101" s="4">
        <v>0.51158533584546262</v>
      </c>
      <c r="K101" s="5">
        <v>9</v>
      </c>
      <c r="L101" s="5">
        <v>0</v>
      </c>
      <c r="M101" s="5">
        <v>0</v>
      </c>
    </row>
    <row r="102" spans="1:13" hidden="1" x14ac:dyDescent="0.25">
      <c r="A102" t="s">
        <v>112</v>
      </c>
      <c r="B102" s="1">
        <v>1.195301807031673</v>
      </c>
      <c r="C102" s="2">
        <v>3.405836618245962E-4</v>
      </c>
      <c r="D102" s="2"/>
      <c r="E102" s="2">
        <v>0.21421262634220509</v>
      </c>
      <c r="F102" s="3">
        <v>109.3844274031468</v>
      </c>
      <c r="G102" s="3">
        <v>22</v>
      </c>
      <c r="H102" s="2">
        <v>1.1921534626639209E-3</v>
      </c>
      <c r="I102" s="4">
        <v>9.014115825453381E-2</v>
      </c>
      <c r="J102" s="4">
        <v>0.12407146808767119</v>
      </c>
      <c r="K102" s="5">
        <v>22</v>
      </c>
      <c r="L102" s="5">
        <v>0</v>
      </c>
      <c r="M102" s="5">
        <v>2</v>
      </c>
    </row>
    <row r="103" spans="1:13" hidden="1" x14ac:dyDescent="0.25">
      <c r="A103" t="s">
        <v>113</v>
      </c>
      <c r="B103" s="1">
        <v>1.179339643542205</v>
      </c>
      <c r="C103" s="2">
        <v>3.3603547821113171E-4</v>
      </c>
      <c r="D103" s="2"/>
      <c r="E103" s="2">
        <v>8.7454162510308464E-2</v>
      </c>
      <c r="F103" s="3">
        <v>97.965173737070344</v>
      </c>
      <c r="G103" s="3">
        <v>22</v>
      </c>
      <c r="H103" s="2">
        <v>1.1921534626639209E-3</v>
      </c>
      <c r="I103" s="4">
        <v>5.9371078697645518E-2</v>
      </c>
      <c r="J103" s="4">
        <v>2.8083083812662939E-2</v>
      </c>
      <c r="K103" s="5">
        <v>22</v>
      </c>
      <c r="L103" s="5">
        <v>0</v>
      </c>
      <c r="M103" s="5">
        <v>21</v>
      </c>
    </row>
    <row r="104" spans="1:13" hidden="1" x14ac:dyDescent="0.25">
      <c r="A104" t="s">
        <v>114</v>
      </c>
      <c r="B104" s="1">
        <v>1.178814092389922</v>
      </c>
      <c r="C104" s="2">
        <v>3.3588573014343222E-4</v>
      </c>
      <c r="D104" s="2"/>
      <c r="E104" s="2">
        <v>0.4405328568800766</v>
      </c>
      <c r="F104" s="3">
        <v>129.77287361928441</v>
      </c>
      <c r="G104" s="3">
        <v>15</v>
      </c>
      <c r="H104" s="2">
        <v>8.1283190636176437E-4</v>
      </c>
      <c r="I104" s="4">
        <v>-4.5607478612919472E-2</v>
      </c>
      <c r="J104" s="4">
        <v>0.48614033549299612</v>
      </c>
      <c r="K104" s="5">
        <v>15</v>
      </c>
      <c r="L104" s="5">
        <v>0</v>
      </c>
      <c r="M104" s="5">
        <v>15</v>
      </c>
    </row>
    <row r="105" spans="1:13" hidden="1" x14ac:dyDescent="0.25">
      <c r="A105" t="s">
        <v>115</v>
      </c>
      <c r="B105" s="1">
        <v>1.17881324405152</v>
      </c>
      <c r="C105" s="2">
        <v>3.3588548842188748E-4</v>
      </c>
      <c r="D105" s="2"/>
      <c r="E105" s="2">
        <v>0.35212179801954041</v>
      </c>
      <c r="F105" s="3">
        <v>121.8082117143108</v>
      </c>
      <c r="G105" s="3">
        <v>20</v>
      </c>
      <c r="H105" s="2">
        <v>1.0837758751490189E-3</v>
      </c>
      <c r="I105" s="4">
        <v>-1.9558265901783781E-2</v>
      </c>
      <c r="J105" s="4">
        <v>0.37168006392132408</v>
      </c>
      <c r="K105" s="5">
        <v>20</v>
      </c>
      <c r="L105" s="5">
        <v>0</v>
      </c>
      <c r="M105" s="5">
        <v>0</v>
      </c>
    </row>
    <row r="106" spans="1:13" hidden="1" x14ac:dyDescent="0.25">
      <c r="A106" t="s">
        <v>116</v>
      </c>
      <c r="B106" s="1">
        <v>1.147246674232925</v>
      </c>
      <c r="C106" s="2">
        <v>3.2689105883363349E-4</v>
      </c>
      <c r="D106" s="2"/>
      <c r="E106" s="2">
        <v>4.1532371548425928E-2</v>
      </c>
      <c r="F106" s="3">
        <v>93.828230420293451</v>
      </c>
      <c r="G106" s="3">
        <v>8</v>
      </c>
      <c r="H106" s="2">
        <v>4.3351035005960773E-4</v>
      </c>
      <c r="I106" s="4">
        <v>3.9328359409082428E-2</v>
      </c>
      <c r="J106" s="4">
        <v>2.204012139343499E-3</v>
      </c>
      <c r="K106" s="5">
        <v>8</v>
      </c>
      <c r="L106" s="5">
        <v>0</v>
      </c>
      <c r="M106" s="5">
        <v>6</v>
      </c>
    </row>
    <row r="107" spans="1:13" hidden="1" x14ac:dyDescent="0.25">
      <c r="A107" t="s">
        <v>117</v>
      </c>
      <c r="B107" s="1">
        <v>1.1407061366635729</v>
      </c>
      <c r="C107" s="2">
        <v>3.2502742889300529E-4</v>
      </c>
      <c r="D107" s="2"/>
      <c r="E107" s="2">
        <v>0.1086124033420424</v>
      </c>
      <c r="F107" s="3">
        <v>99.871250158964529</v>
      </c>
      <c r="G107" s="3">
        <v>20</v>
      </c>
      <c r="H107" s="2">
        <v>1.0837758751490189E-3</v>
      </c>
      <c r="I107" s="4">
        <v>-2.3696639659891161E-2</v>
      </c>
      <c r="J107" s="4">
        <v>0.1323090430019335</v>
      </c>
      <c r="K107" s="5">
        <v>20</v>
      </c>
      <c r="L107" s="5">
        <v>0</v>
      </c>
      <c r="M107" s="5">
        <v>15</v>
      </c>
    </row>
    <row r="108" spans="1:13" hidden="1" x14ac:dyDescent="0.25">
      <c r="A108" t="s">
        <v>118</v>
      </c>
      <c r="B108" s="1">
        <v>1.115946848279088</v>
      </c>
      <c r="C108" s="2">
        <v>3.1797263398468021E-4</v>
      </c>
      <c r="D108" s="2"/>
      <c r="E108" s="2">
        <v>0.84631693214608161</v>
      </c>
      <c r="F108" s="3">
        <v>166.32862815463361</v>
      </c>
      <c r="G108" s="3">
        <v>4</v>
      </c>
      <c r="H108" s="2">
        <v>2.1675517502980381E-4</v>
      </c>
      <c r="I108" s="4">
        <v>-1.5826400643780051E-2</v>
      </c>
      <c r="J108" s="4">
        <v>0.86214333278986177</v>
      </c>
      <c r="K108" s="5">
        <v>4</v>
      </c>
      <c r="L108" s="5">
        <v>0</v>
      </c>
      <c r="M108" s="5">
        <v>0</v>
      </c>
    </row>
    <row r="109" spans="1:13" hidden="1" x14ac:dyDescent="0.25">
      <c r="A109" t="s">
        <v>119</v>
      </c>
      <c r="B109" s="1">
        <v>1.105327310421008</v>
      </c>
      <c r="C109" s="2">
        <v>3.1494675293161661E-4</v>
      </c>
      <c r="D109" s="2"/>
      <c r="E109" s="2">
        <v>0.17953900125980859</v>
      </c>
      <c r="F109" s="3">
        <v>106.2607944056421</v>
      </c>
      <c r="G109" s="3">
        <v>17</v>
      </c>
      <c r="H109" s="2">
        <v>9.2120949387666632E-4</v>
      </c>
      <c r="I109" s="4">
        <v>-3.0152893409071849E-2</v>
      </c>
      <c r="J109" s="4">
        <v>0.20969189466888041</v>
      </c>
      <c r="K109" s="5">
        <v>16</v>
      </c>
      <c r="L109" s="5">
        <v>0</v>
      </c>
      <c r="M109" s="5">
        <v>1</v>
      </c>
    </row>
    <row r="110" spans="1:13" hidden="1" x14ac:dyDescent="0.25">
      <c r="A110" t="s">
        <v>120</v>
      </c>
      <c r="B110" s="1">
        <v>1.083826769159133</v>
      </c>
      <c r="C110" s="2">
        <v>3.0882049006553342E-4</v>
      </c>
      <c r="D110" s="2"/>
      <c r="E110" s="2">
        <v>0.56323257104837476</v>
      </c>
      <c r="F110" s="3">
        <v>140.8264878592062</v>
      </c>
      <c r="G110" s="3">
        <v>8</v>
      </c>
      <c r="H110" s="2">
        <v>4.3351035005960773E-4</v>
      </c>
      <c r="I110" s="4">
        <v>0.30445701645011708</v>
      </c>
      <c r="J110" s="4">
        <v>0.25877555459825768</v>
      </c>
      <c r="K110" s="5">
        <v>8</v>
      </c>
      <c r="L110" s="5">
        <v>0</v>
      </c>
      <c r="M110" s="5">
        <v>8</v>
      </c>
    </row>
    <row r="111" spans="1:13" hidden="1" x14ac:dyDescent="0.25">
      <c r="A111" t="s">
        <v>121</v>
      </c>
      <c r="B111" s="1">
        <v>1.072878893204976</v>
      </c>
      <c r="C111" s="2">
        <v>3.0570105390327439E-4</v>
      </c>
      <c r="D111" s="2"/>
      <c r="E111" s="2">
        <v>-0.212880210314457</v>
      </c>
      <c r="F111" s="3">
        <v>70.909036543137532</v>
      </c>
      <c r="G111" s="3">
        <v>13</v>
      </c>
      <c r="H111" s="2">
        <v>7.0445431884686252E-4</v>
      </c>
      <c r="I111" s="4">
        <v>0</v>
      </c>
      <c r="J111" s="4">
        <v>-0.212880210314457</v>
      </c>
      <c r="K111" s="5">
        <v>13</v>
      </c>
      <c r="L111" s="5">
        <v>0</v>
      </c>
      <c r="M111" s="5">
        <v>7</v>
      </c>
    </row>
    <row r="112" spans="1:13" hidden="1" x14ac:dyDescent="0.25">
      <c r="A112" t="s">
        <v>122</v>
      </c>
      <c r="B112" s="1">
        <v>1.047130981856166</v>
      </c>
      <c r="C112" s="2">
        <v>2.9836456542820888E-4</v>
      </c>
      <c r="D112" s="2"/>
      <c r="E112" s="2">
        <v>0.28355179225966332</v>
      </c>
      <c r="F112" s="3">
        <v>115.6309651148666</v>
      </c>
      <c r="G112" s="3">
        <v>7</v>
      </c>
      <c r="H112" s="2">
        <v>3.7932155630215669E-4</v>
      </c>
      <c r="I112" s="4">
        <v>9.6871575292616918E-2</v>
      </c>
      <c r="J112" s="4">
        <v>0.1866802169670464</v>
      </c>
      <c r="K112" s="5">
        <v>6</v>
      </c>
      <c r="L112" s="5">
        <v>6</v>
      </c>
      <c r="M112" s="5">
        <v>4</v>
      </c>
    </row>
    <row r="113" spans="1:13" hidden="1" x14ac:dyDescent="0.25">
      <c r="A113" t="s">
        <v>123</v>
      </c>
      <c r="B113" s="1">
        <v>1.0333800726505871</v>
      </c>
      <c r="C113" s="2">
        <v>2.9444644618576918E-4</v>
      </c>
      <c r="D113" s="2"/>
      <c r="E113" s="2">
        <v>-8.797494538417161E-3</v>
      </c>
      <c r="F113" s="3">
        <v>89.294178093913814</v>
      </c>
      <c r="G113" s="3">
        <v>6</v>
      </c>
      <c r="H113" s="2">
        <v>3.2513276254470582E-4</v>
      </c>
      <c r="I113" s="4">
        <v>-5.0306980803327412E-17</v>
      </c>
      <c r="J113" s="4">
        <v>-8.7974945384171107E-3</v>
      </c>
      <c r="K113" s="5">
        <v>5</v>
      </c>
      <c r="L113" s="5">
        <v>0</v>
      </c>
      <c r="M113" s="5">
        <v>5</v>
      </c>
    </row>
    <row r="114" spans="1:13" hidden="1" x14ac:dyDescent="0.25">
      <c r="A114" t="s">
        <v>124</v>
      </c>
      <c r="B114" s="1">
        <v>1.019878592841317</v>
      </c>
      <c r="C114" s="2">
        <v>2.9059939817961618E-4</v>
      </c>
      <c r="D114" s="2"/>
      <c r="E114" s="2">
        <v>-0.25139310997310982</v>
      </c>
      <c r="F114" s="3">
        <v>67.43953590922689</v>
      </c>
      <c r="G114" s="3">
        <v>20</v>
      </c>
      <c r="H114" s="2">
        <v>1.0837758751490189E-3</v>
      </c>
      <c r="I114" s="4">
        <v>-9.6730361096955736E-2</v>
      </c>
      <c r="J114" s="4">
        <v>-0.15466274887615411</v>
      </c>
      <c r="K114" s="5">
        <v>20</v>
      </c>
      <c r="L114" s="5">
        <v>0</v>
      </c>
      <c r="M114" s="5">
        <v>3</v>
      </c>
    </row>
    <row r="115" spans="1:13" hidden="1" x14ac:dyDescent="0.25">
      <c r="A115" t="s">
        <v>125</v>
      </c>
      <c r="B115" s="1">
        <v>1.010278083154637</v>
      </c>
      <c r="C115" s="2">
        <v>2.8786387420965618E-4</v>
      </c>
      <c r="D115" s="2"/>
      <c r="E115" s="2">
        <v>-4.1115923421667373E-2</v>
      </c>
      <c r="F115" s="3">
        <v>86.382716986304402</v>
      </c>
      <c r="G115" s="3">
        <v>14</v>
      </c>
      <c r="H115" s="2">
        <v>7.5864311260431339E-4</v>
      </c>
      <c r="I115" s="4">
        <v>-0.14207335117785441</v>
      </c>
      <c r="J115" s="4">
        <v>0.1009574277561871</v>
      </c>
      <c r="K115" s="5">
        <v>13</v>
      </c>
      <c r="L115" s="5">
        <v>13</v>
      </c>
      <c r="M115" s="5">
        <v>0</v>
      </c>
    </row>
    <row r="116" spans="1:13" hidden="1" x14ac:dyDescent="0.25">
      <c r="A116" t="s">
        <v>126</v>
      </c>
      <c r="B116" s="1">
        <v>1.0024933631279489</v>
      </c>
      <c r="C116" s="2">
        <v>2.856457327851461E-4</v>
      </c>
      <c r="D116" s="2"/>
      <c r="E116" s="2">
        <v>0.42327681556707808</v>
      </c>
      <c r="F116" s="3">
        <v>128.21833353518599</v>
      </c>
      <c r="G116" s="3">
        <v>6</v>
      </c>
      <c r="H116" s="2">
        <v>3.2513276254470582E-4</v>
      </c>
      <c r="I116" s="4">
        <v>-5.5511151231257827E-17</v>
      </c>
      <c r="J116" s="4">
        <v>0.42327681556707808</v>
      </c>
      <c r="K116" s="5">
        <v>6</v>
      </c>
      <c r="L116" s="5">
        <v>0</v>
      </c>
      <c r="M116" s="5">
        <v>6</v>
      </c>
    </row>
    <row r="117" spans="1:13" hidden="1" x14ac:dyDescent="0.25">
      <c r="A117" t="s">
        <v>127</v>
      </c>
      <c r="B117" s="1">
        <v>0.9884923423897185</v>
      </c>
      <c r="C117" s="2">
        <v>2.8165634794170602E-4</v>
      </c>
      <c r="D117" s="2"/>
      <c r="E117" s="2">
        <v>-3.3853672205830021E-2</v>
      </c>
      <c r="F117" s="3">
        <v>87.036949345339565</v>
      </c>
      <c r="G117" s="3">
        <v>4</v>
      </c>
      <c r="H117" s="2">
        <v>2.1675517502980381E-4</v>
      </c>
      <c r="I117" s="4">
        <v>-3.2612801348363978E-16</v>
      </c>
      <c r="J117" s="4">
        <v>-3.3853672205829688E-2</v>
      </c>
      <c r="K117" s="5">
        <v>4</v>
      </c>
      <c r="L117" s="5">
        <v>0</v>
      </c>
      <c r="M117" s="5">
        <v>3</v>
      </c>
    </row>
    <row r="118" spans="1:13" hidden="1" x14ac:dyDescent="0.25">
      <c r="A118" t="s">
        <v>128</v>
      </c>
      <c r="B118" s="1">
        <v>0.98600896864468468</v>
      </c>
      <c r="C118" s="2">
        <v>2.8094874713428889E-4</v>
      </c>
      <c r="D118" s="2"/>
      <c r="E118" s="2">
        <v>0.1846562485191392</v>
      </c>
      <c r="F118" s="3">
        <v>106.72179040354111</v>
      </c>
      <c r="G118" s="3">
        <v>10</v>
      </c>
      <c r="H118" s="2">
        <v>5.4188793757450958E-4</v>
      </c>
      <c r="I118" s="4">
        <v>-8.3266726846886741E-17</v>
      </c>
      <c r="J118" s="4">
        <v>0.18465624851913931</v>
      </c>
      <c r="K118" s="5">
        <v>10</v>
      </c>
      <c r="L118" s="5">
        <v>0</v>
      </c>
      <c r="M118" s="5">
        <v>0</v>
      </c>
    </row>
    <row r="119" spans="1:13" hidden="1" x14ac:dyDescent="0.25">
      <c r="A119" t="s">
        <v>129</v>
      </c>
      <c r="B119" s="1">
        <v>0.94698122292484521</v>
      </c>
      <c r="C119" s="2">
        <v>2.6982836525932881E-4</v>
      </c>
      <c r="D119" s="2"/>
      <c r="E119" s="2">
        <v>0.31191859626137969</v>
      </c>
      <c r="F119" s="3">
        <v>118.18643731608429</v>
      </c>
      <c r="G119" s="3">
        <v>6</v>
      </c>
      <c r="H119" s="2">
        <v>3.2513276254470582E-4</v>
      </c>
      <c r="I119" s="4">
        <v>-2.2204460492503131E-16</v>
      </c>
      <c r="J119" s="4">
        <v>0.31191859626138002</v>
      </c>
      <c r="K119" s="5">
        <v>6</v>
      </c>
      <c r="L119" s="5">
        <v>0</v>
      </c>
      <c r="M119" s="5">
        <v>6</v>
      </c>
    </row>
    <row r="120" spans="1:13" hidden="1" x14ac:dyDescent="0.25">
      <c r="A120" t="s">
        <v>130</v>
      </c>
      <c r="B120" s="1">
        <v>0.92686685842248362</v>
      </c>
      <c r="C120" s="2">
        <v>2.6409707306417909E-4</v>
      </c>
      <c r="D120" s="2"/>
      <c r="E120" s="2">
        <v>0.8220365749918852</v>
      </c>
      <c r="F120" s="3">
        <v>164.14129052789809</v>
      </c>
      <c r="G120" s="3">
        <v>4</v>
      </c>
      <c r="H120" s="2">
        <v>2.1675517502980381E-4</v>
      </c>
      <c r="I120" s="4">
        <v>1.110223024625157E-16</v>
      </c>
      <c r="J120" s="4">
        <v>0.82203657499188509</v>
      </c>
      <c r="K120" s="5">
        <v>4</v>
      </c>
      <c r="L120" s="5">
        <v>0</v>
      </c>
      <c r="M120" s="5">
        <v>0</v>
      </c>
    </row>
    <row r="121" spans="1:13" hidden="1" x14ac:dyDescent="0.25">
      <c r="A121" t="s">
        <v>131</v>
      </c>
      <c r="B121" s="1">
        <v>0.92559736607615728</v>
      </c>
      <c r="C121" s="2">
        <v>2.63735349899848E-4</v>
      </c>
      <c r="D121" s="2"/>
      <c r="E121" s="2">
        <v>-4.730778222308718E-3</v>
      </c>
      <c r="F121" s="3">
        <v>89.660535209626417</v>
      </c>
      <c r="G121" s="3">
        <v>2</v>
      </c>
      <c r="H121" s="2">
        <v>1.083775875149019E-4</v>
      </c>
      <c r="I121" s="4">
        <v>2.445960101127298E-16</v>
      </c>
      <c r="J121" s="4">
        <v>-4.7307782223089626E-3</v>
      </c>
      <c r="K121" s="5">
        <v>2</v>
      </c>
      <c r="L121" s="5">
        <v>0</v>
      </c>
      <c r="M121" s="5">
        <v>1</v>
      </c>
    </row>
    <row r="122" spans="1:13" hidden="1" x14ac:dyDescent="0.25">
      <c r="A122" t="s">
        <v>132</v>
      </c>
      <c r="B122" s="1">
        <v>0.89944845097764603</v>
      </c>
      <c r="C122" s="2">
        <v>2.5628460130681469E-4</v>
      </c>
      <c r="D122" s="2"/>
      <c r="E122" s="2">
        <v>-0.18904156586517559</v>
      </c>
      <c r="F122" s="3">
        <v>73.056581723100905</v>
      </c>
      <c r="G122" s="3">
        <v>15</v>
      </c>
      <c r="H122" s="2">
        <v>8.1283190636176437E-4</v>
      </c>
      <c r="I122" s="4">
        <v>-0.13028248453925301</v>
      </c>
      <c r="J122" s="4">
        <v>-5.8759081325922599E-2</v>
      </c>
      <c r="K122" s="5">
        <v>14</v>
      </c>
      <c r="L122" s="5">
        <v>0</v>
      </c>
      <c r="M122" s="5">
        <v>10</v>
      </c>
    </row>
    <row r="123" spans="1:13" hidden="1" x14ac:dyDescent="0.25">
      <c r="A123" t="s">
        <v>133</v>
      </c>
      <c r="B123" s="1">
        <v>0.89702590686890593</v>
      </c>
      <c r="C123" s="2">
        <v>2.5559433300919102E-4</v>
      </c>
      <c r="D123" s="2"/>
      <c r="E123" s="2">
        <v>-0.4687037761388313</v>
      </c>
      <c r="F123" s="3">
        <v>47.862731755294021</v>
      </c>
      <c r="G123" s="3">
        <v>31</v>
      </c>
      <c r="H123" s="2">
        <v>1.6798526064809799E-3</v>
      </c>
      <c r="I123" s="4">
        <v>-2.3899861707728509E-3</v>
      </c>
      <c r="J123" s="4">
        <v>-0.46631378996805839</v>
      </c>
      <c r="K123" s="5">
        <v>31</v>
      </c>
      <c r="L123" s="5">
        <v>0</v>
      </c>
      <c r="M123" s="5">
        <v>24</v>
      </c>
    </row>
    <row r="124" spans="1:13" hidden="1" x14ac:dyDescent="0.25">
      <c r="A124" t="s">
        <v>134</v>
      </c>
      <c r="B124" s="1">
        <v>0.86783583371544804</v>
      </c>
      <c r="C124" s="2">
        <v>2.4727705117706439E-4</v>
      </c>
      <c r="D124" s="2"/>
      <c r="E124" s="2">
        <v>0.76639515570761674</v>
      </c>
      <c r="F124" s="3">
        <v>159.12873781985789</v>
      </c>
      <c r="G124" s="3">
        <v>8</v>
      </c>
      <c r="H124" s="2">
        <v>4.3351035005960773E-4</v>
      </c>
      <c r="I124" s="4">
        <v>8.0918830860896129E-2</v>
      </c>
      <c r="J124" s="4">
        <v>0.68547632484672061</v>
      </c>
      <c r="K124" s="5">
        <v>8</v>
      </c>
      <c r="L124" s="5">
        <v>0</v>
      </c>
      <c r="M124" s="5">
        <v>0</v>
      </c>
    </row>
    <row r="125" spans="1:13" hidden="1" x14ac:dyDescent="0.25">
      <c r="A125" t="s">
        <v>135</v>
      </c>
      <c r="B125" s="1">
        <v>0.8370994469610904</v>
      </c>
      <c r="C125" s="2">
        <v>2.3851917003736101E-4</v>
      </c>
      <c r="D125" s="2"/>
      <c r="E125" s="2">
        <v>0.49491984525444438</v>
      </c>
      <c r="F125" s="3">
        <v>134.67241876685321</v>
      </c>
      <c r="G125" s="3">
        <v>6</v>
      </c>
      <c r="H125" s="2">
        <v>3.2513276254470582E-4</v>
      </c>
      <c r="I125" s="4">
        <v>-5.5511151231257827E-17</v>
      </c>
      <c r="J125" s="4">
        <v>0.49491984525444438</v>
      </c>
      <c r="K125" s="5">
        <v>6</v>
      </c>
      <c r="L125" s="5">
        <v>0</v>
      </c>
      <c r="M125" s="5">
        <v>0</v>
      </c>
    </row>
    <row r="126" spans="1:13" hidden="1" x14ac:dyDescent="0.25">
      <c r="A126" t="s">
        <v>136</v>
      </c>
      <c r="B126" s="1">
        <v>0.78937263230715093</v>
      </c>
      <c r="C126" s="2">
        <v>2.249201164707736E-4</v>
      </c>
      <c r="D126" s="2"/>
      <c r="E126" s="2">
        <v>-0.33925576669977558</v>
      </c>
      <c r="F126" s="3">
        <v>59.524277751256683</v>
      </c>
      <c r="G126" s="3">
        <v>27</v>
      </c>
      <c r="H126" s="2">
        <v>1.463097431451176E-3</v>
      </c>
      <c r="I126" s="4">
        <v>-0.10288331920798011</v>
      </c>
      <c r="J126" s="4">
        <v>-0.23637244749179559</v>
      </c>
      <c r="K126" s="5">
        <v>27</v>
      </c>
      <c r="L126" s="5">
        <v>0</v>
      </c>
      <c r="M126" s="5">
        <v>13</v>
      </c>
    </row>
    <row r="127" spans="1:13" hidden="1" x14ac:dyDescent="0.25">
      <c r="A127" t="s">
        <v>137</v>
      </c>
      <c r="B127" s="1">
        <v>0.78930811384751154</v>
      </c>
      <c r="C127" s="2">
        <v>2.2490173288504649E-4</v>
      </c>
      <c r="D127" s="2"/>
      <c r="E127" s="2">
        <v>0.43739850992074603</v>
      </c>
      <c r="F127" s="3">
        <v>129.49051059653931</v>
      </c>
      <c r="G127" s="3">
        <v>2</v>
      </c>
      <c r="H127" s="2">
        <v>1.083775875149019E-4</v>
      </c>
      <c r="I127" s="4">
        <v>-1.110223024625157E-16</v>
      </c>
      <c r="J127" s="4">
        <v>0.43739850992074608</v>
      </c>
      <c r="K127" s="5">
        <v>2</v>
      </c>
      <c r="L127" s="5">
        <v>0</v>
      </c>
      <c r="M127" s="5">
        <v>2</v>
      </c>
    </row>
    <row r="128" spans="1:13" hidden="1" x14ac:dyDescent="0.25">
      <c r="A128" t="s">
        <v>138</v>
      </c>
      <c r="B128" s="1">
        <v>0.77115481944045816</v>
      </c>
      <c r="C128" s="2">
        <v>2.1972921875768319E-4</v>
      </c>
      <c r="D128" s="2"/>
      <c r="E128" s="2">
        <v>0.26745271770983159</v>
      </c>
      <c r="F128" s="3">
        <v>114.1806523663829</v>
      </c>
      <c r="G128" s="3">
        <v>9</v>
      </c>
      <c r="H128" s="2">
        <v>4.876991438170586E-4</v>
      </c>
      <c r="I128" s="4">
        <v>-3.9424585335001039E-2</v>
      </c>
      <c r="J128" s="4">
        <v>0.30687730304483257</v>
      </c>
      <c r="K128" s="5">
        <v>9</v>
      </c>
      <c r="L128" s="5">
        <v>9</v>
      </c>
      <c r="M128" s="5">
        <v>8</v>
      </c>
    </row>
    <row r="129" spans="1:13" hidden="1" x14ac:dyDescent="0.25">
      <c r="A129" t="s">
        <v>139</v>
      </c>
      <c r="B129" s="1">
        <v>0.76324992237066969</v>
      </c>
      <c r="C129" s="2">
        <v>2.1747683465306869E-4</v>
      </c>
      <c r="D129" s="2"/>
      <c r="E129" s="2">
        <v>-0.48397183792916448</v>
      </c>
      <c r="F129" s="3">
        <v>46.487282216836682</v>
      </c>
      <c r="G129" s="3">
        <v>1</v>
      </c>
      <c r="H129" s="2">
        <v>5.4188793757450959E-5</v>
      </c>
      <c r="I129" s="4">
        <v>5.5511151231257827E-17</v>
      </c>
      <c r="J129" s="4">
        <v>-0.48397183792916459</v>
      </c>
      <c r="K129" s="5">
        <v>1</v>
      </c>
      <c r="L129" s="5">
        <v>0</v>
      </c>
      <c r="M129" s="5">
        <v>0</v>
      </c>
    </row>
    <row r="130" spans="1:13" hidden="1" x14ac:dyDescent="0.25">
      <c r="A130" t="s">
        <v>140</v>
      </c>
      <c r="B130" s="1">
        <v>0.76075225087512399</v>
      </c>
      <c r="C130" s="2">
        <v>2.1676515991202541E-4</v>
      </c>
      <c r="D130" s="2"/>
      <c r="E130" s="2">
        <v>0.17991992831330081</v>
      </c>
      <c r="F130" s="3">
        <v>106.2951108727292</v>
      </c>
      <c r="G130" s="3">
        <v>10</v>
      </c>
      <c r="H130" s="2">
        <v>5.4188793757450958E-4</v>
      </c>
      <c r="I130" s="4">
        <v>-0.16969061473454561</v>
      </c>
      <c r="J130" s="4">
        <v>0.34961054304784639</v>
      </c>
      <c r="K130" s="5">
        <v>10</v>
      </c>
      <c r="L130" s="5">
        <v>10</v>
      </c>
      <c r="M130" s="5">
        <v>10</v>
      </c>
    </row>
    <row r="131" spans="1:13" hidden="1" x14ac:dyDescent="0.25">
      <c r="A131" t="s">
        <v>141</v>
      </c>
      <c r="B131" s="1">
        <v>0.74651812156590691</v>
      </c>
      <c r="C131" s="2">
        <v>2.127093542113239E-4</v>
      </c>
      <c r="D131" s="2"/>
      <c r="E131" s="2">
        <v>0.15000595787038271</v>
      </c>
      <c r="F131" s="3">
        <v>103.6002595285207</v>
      </c>
      <c r="G131" s="3">
        <v>8</v>
      </c>
      <c r="H131" s="2">
        <v>4.3351035005960773E-4</v>
      </c>
      <c r="I131" s="4">
        <v>5.5511151231257827E-17</v>
      </c>
      <c r="J131" s="4">
        <v>0.15000595787038271</v>
      </c>
      <c r="K131" s="5">
        <v>8</v>
      </c>
      <c r="L131" s="5">
        <v>0</v>
      </c>
      <c r="M131" s="5">
        <v>1</v>
      </c>
    </row>
    <row r="132" spans="1:13" hidden="1" x14ac:dyDescent="0.25">
      <c r="A132" t="s">
        <v>142</v>
      </c>
      <c r="B132" s="1">
        <v>0.74625658349880453</v>
      </c>
      <c r="C132" s="2">
        <v>2.1263483278746571E-4</v>
      </c>
      <c r="D132" s="2"/>
      <c r="E132" s="2">
        <v>-3.9606896825592708E-2</v>
      </c>
      <c r="F132" s="3">
        <v>86.51866023591873</v>
      </c>
      <c r="G132" s="3">
        <v>11</v>
      </c>
      <c r="H132" s="2">
        <v>5.9607673133196056E-4</v>
      </c>
      <c r="I132" s="4">
        <v>2.9837243786801082E-16</v>
      </c>
      <c r="J132" s="4">
        <v>-3.9606896825593013E-2</v>
      </c>
      <c r="K132" s="5">
        <v>11</v>
      </c>
      <c r="L132" s="5">
        <v>0</v>
      </c>
      <c r="M132" s="5">
        <v>11</v>
      </c>
    </row>
    <row r="133" spans="1:13" hidden="1" x14ac:dyDescent="0.25">
      <c r="A133" t="s">
        <v>143</v>
      </c>
      <c r="B133" s="1">
        <v>0.74435220036736438</v>
      </c>
      <c r="C133" s="2">
        <v>2.1209220683592159E-4</v>
      </c>
      <c r="D133" s="2"/>
      <c r="E133" s="2">
        <v>-0.42381513622185529</v>
      </c>
      <c r="F133" s="3">
        <v>51.906601887839187</v>
      </c>
      <c r="G133" s="3">
        <v>10</v>
      </c>
      <c r="H133" s="2">
        <v>5.4188793757450958E-4</v>
      </c>
      <c r="I133" s="4">
        <v>-4.1649677656087007E-2</v>
      </c>
      <c r="J133" s="4">
        <v>-0.38216545856576828</v>
      </c>
      <c r="K133" s="5">
        <v>10</v>
      </c>
      <c r="L133" s="5">
        <v>0</v>
      </c>
      <c r="M133" s="5">
        <v>7</v>
      </c>
    </row>
    <row r="134" spans="1:13" hidden="1" x14ac:dyDescent="0.25">
      <c r="A134" t="s">
        <v>144</v>
      </c>
      <c r="B134" s="1">
        <v>0.7130715132793386</v>
      </c>
      <c r="C134" s="2">
        <v>2.0317923532516501E-4</v>
      </c>
      <c r="D134" s="2"/>
      <c r="E134" s="2">
        <v>0.22814270991111349</v>
      </c>
      <c r="F134" s="3">
        <v>110.6393428782504</v>
      </c>
      <c r="G134" s="3">
        <v>3</v>
      </c>
      <c r="H134" s="2">
        <v>1.6256638127235291E-4</v>
      </c>
      <c r="I134" s="4">
        <v>-5.5511151231257827E-17</v>
      </c>
      <c r="J134" s="4">
        <v>0.2281427099111136</v>
      </c>
      <c r="K134" s="5">
        <v>3</v>
      </c>
      <c r="L134" s="5">
        <v>0</v>
      </c>
      <c r="M134" s="5">
        <v>1</v>
      </c>
    </row>
    <row r="135" spans="1:13" hidden="1" x14ac:dyDescent="0.25">
      <c r="A135" t="s">
        <v>145</v>
      </c>
      <c r="B135" s="1">
        <v>0.70505052801933021</v>
      </c>
      <c r="C135" s="2">
        <v>2.0089377359890971E-4</v>
      </c>
      <c r="D135" s="2"/>
      <c r="E135" s="2">
        <v>0.39351792076994457</v>
      </c>
      <c r="F135" s="3">
        <v>125.5374524465573</v>
      </c>
      <c r="G135" s="3">
        <v>7</v>
      </c>
      <c r="H135" s="2">
        <v>3.7932155630215669E-4</v>
      </c>
      <c r="I135" s="4">
        <v>-3.1181980292105341E-2</v>
      </c>
      <c r="J135" s="4">
        <v>0.42469990106205002</v>
      </c>
      <c r="K135" s="5">
        <v>7</v>
      </c>
      <c r="L135" s="5">
        <v>0</v>
      </c>
      <c r="M135" s="5">
        <v>3</v>
      </c>
    </row>
    <row r="136" spans="1:13" hidden="1" x14ac:dyDescent="0.25">
      <c r="A136" t="s">
        <v>146</v>
      </c>
      <c r="B136" s="1">
        <v>0.70305824306654341</v>
      </c>
      <c r="C136" s="2">
        <v>2.00326101316791E-4</v>
      </c>
      <c r="D136" s="2"/>
      <c r="E136" s="2">
        <v>0.20556898221911671</v>
      </c>
      <c r="F136" s="3">
        <v>108.6057498943081</v>
      </c>
      <c r="G136" s="3">
        <v>5</v>
      </c>
      <c r="H136" s="2">
        <v>2.7094396878725479E-4</v>
      </c>
      <c r="I136" s="4">
        <v>3.05311331771918E-16</v>
      </c>
      <c r="J136" s="4">
        <v>0.2055689822191164</v>
      </c>
      <c r="K136" s="5">
        <v>5</v>
      </c>
      <c r="L136" s="5">
        <v>5</v>
      </c>
      <c r="M136" s="5">
        <v>5</v>
      </c>
    </row>
    <row r="137" spans="1:13" hidden="1" x14ac:dyDescent="0.25">
      <c r="A137" t="s">
        <v>147</v>
      </c>
      <c r="B137" s="1">
        <v>0.69671990716019261</v>
      </c>
      <c r="C137" s="2">
        <v>1.98520085764769E-4</v>
      </c>
      <c r="D137" s="2"/>
      <c r="E137" s="2">
        <v>-0.42245482649344229</v>
      </c>
      <c r="F137" s="3">
        <v>52.029147723309229</v>
      </c>
      <c r="G137" s="3">
        <v>8</v>
      </c>
      <c r="H137" s="2">
        <v>4.3351035005960773E-4</v>
      </c>
      <c r="I137" s="4">
        <v>2.5733822160107889E-2</v>
      </c>
      <c r="J137" s="4">
        <v>-0.44818864865355018</v>
      </c>
      <c r="K137" s="5">
        <v>7</v>
      </c>
      <c r="L137" s="5">
        <v>0</v>
      </c>
      <c r="M137" s="5">
        <v>7</v>
      </c>
    </row>
    <row r="138" spans="1:13" hidden="1" x14ac:dyDescent="0.25">
      <c r="A138" t="s">
        <v>148</v>
      </c>
      <c r="B138" s="1">
        <v>0.69033419466600754</v>
      </c>
      <c r="C138" s="2">
        <v>1.9670057095115919E-4</v>
      </c>
      <c r="D138" s="2"/>
      <c r="E138" s="2">
        <v>0.35041578015847602</v>
      </c>
      <c r="F138" s="3">
        <v>121.65452216865501</v>
      </c>
      <c r="G138" s="3">
        <v>9</v>
      </c>
      <c r="H138" s="2">
        <v>4.876991438170586E-4</v>
      </c>
      <c r="I138" s="4">
        <v>2.7190857370600119E-2</v>
      </c>
      <c r="J138" s="4">
        <v>0.32322492278787579</v>
      </c>
      <c r="K138" s="5">
        <v>9</v>
      </c>
      <c r="L138" s="5">
        <v>0</v>
      </c>
      <c r="M138" s="5">
        <v>3</v>
      </c>
    </row>
    <row r="139" spans="1:13" hidden="1" x14ac:dyDescent="0.25">
      <c r="A139" t="s">
        <v>149</v>
      </c>
      <c r="B139" s="1">
        <v>0.68188305713959263</v>
      </c>
      <c r="C139" s="2">
        <v>1.9429254366600229E-4</v>
      </c>
      <c r="D139" s="2"/>
      <c r="E139" s="2">
        <v>0.28436689070637938</v>
      </c>
      <c r="F139" s="3">
        <v>115.7043946567252</v>
      </c>
      <c r="G139" s="3">
        <v>5</v>
      </c>
      <c r="H139" s="2">
        <v>2.7094396878725479E-4</v>
      </c>
      <c r="I139" s="4">
        <v>0.30708446460654382</v>
      </c>
      <c r="J139" s="4">
        <v>-2.2717573900164378E-2</v>
      </c>
      <c r="K139" s="5">
        <v>5</v>
      </c>
      <c r="L139" s="5">
        <v>4</v>
      </c>
      <c r="M139" s="5">
        <v>0</v>
      </c>
    </row>
    <row r="140" spans="1:13" hidden="1" x14ac:dyDescent="0.25">
      <c r="A140" t="s">
        <v>150</v>
      </c>
      <c r="B140" s="1">
        <v>0.67883593086697847</v>
      </c>
      <c r="C140" s="2">
        <v>1.9342430987110321E-4</v>
      </c>
      <c r="D140" s="2"/>
      <c r="E140" s="2">
        <v>0.16770174718779909</v>
      </c>
      <c r="F140" s="3">
        <v>105.1944150659766</v>
      </c>
      <c r="G140" s="3">
        <v>9</v>
      </c>
      <c r="H140" s="2">
        <v>4.876991438170586E-4</v>
      </c>
      <c r="I140" s="4">
        <v>2.4980018054066022E-16</v>
      </c>
      <c r="J140" s="4">
        <v>0.16770174718779879</v>
      </c>
      <c r="K140" s="5">
        <v>9</v>
      </c>
      <c r="L140" s="5">
        <v>0</v>
      </c>
      <c r="M140" s="5">
        <v>9</v>
      </c>
    </row>
    <row r="141" spans="1:13" hidden="1" x14ac:dyDescent="0.25">
      <c r="A141" t="s">
        <v>151</v>
      </c>
      <c r="B141" s="1">
        <v>0.67528970857560222</v>
      </c>
      <c r="C141" s="2">
        <v>1.9241386600953129E-4</v>
      </c>
      <c r="D141" s="2"/>
      <c r="E141" s="2">
        <v>0.80069381394595918</v>
      </c>
      <c r="F141" s="3">
        <v>162.21859128596739</v>
      </c>
      <c r="G141" s="3">
        <v>9</v>
      </c>
      <c r="H141" s="2">
        <v>4.876991438170586E-4</v>
      </c>
      <c r="I141" s="4">
        <v>8.2675898647899371E-2</v>
      </c>
      <c r="J141" s="4">
        <v>0.71801791529805981</v>
      </c>
      <c r="K141" s="5">
        <v>9</v>
      </c>
      <c r="L141" s="5">
        <v>0</v>
      </c>
      <c r="M141" s="5">
        <v>4</v>
      </c>
    </row>
    <row r="142" spans="1:13" hidden="1" x14ac:dyDescent="0.25">
      <c r="A142" t="s">
        <v>152</v>
      </c>
      <c r="B142" s="1">
        <v>0.67521039192276677</v>
      </c>
      <c r="C142" s="2">
        <v>1.9239126589639879E-4</v>
      </c>
      <c r="D142" s="2"/>
      <c r="E142" s="2">
        <v>1.1935111276479411</v>
      </c>
      <c r="F142" s="3">
        <v>197.606212861584</v>
      </c>
      <c r="G142" s="3">
        <v>5</v>
      </c>
      <c r="H142" s="2">
        <v>2.7094396878725479E-4</v>
      </c>
      <c r="I142" s="4">
        <v>4.0568361551355243E-2</v>
      </c>
      <c r="J142" s="4">
        <v>1.152942766096585</v>
      </c>
      <c r="K142" s="5">
        <v>5</v>
      </c>
      <c r="L142" s="5">
        <v>0</v>
      </c>
      <c r="M142" s="5">
        <v>0</v>
      </c>
    </row>
    <row r="143" spans="1:13" hidden="1" x14ac:dyDescent="0.25">
      <c r="A143" t="s">
        <v>153</v>
      </c>
      <c r="B143" s="1">
        <v>0.66296163971137767</v>
      </c>
      <c r="C143" s="2">
        <v>1.8890116418619001E-4</v>
      </c>
      <c r="D143" s="2"/>
      <c r="E143" s="2">
        <v>-0.18979256773587089</v>
      </c>
      <c r="F143" s="3">
        <v>72.988926431249595</v>
      </c>
      <c r="G143" s="3">
        <v>8</v>
      </c>
      <c r="H143" s="2">
        <v>4.3351035005960773E-4</v>
      </c>
      <c r="I143" s="4">
        <v>-4.847496559930467E-2</v>
      </c>
      <c r="J143" s="4">
        <v>-0.1413176021365663</v>
      </c>
      <c r="K143" s="5">
        <v>8</v>
      </c>
      <c r="L143" s="5">
        <v>0</v>
      </c>
      <c r="M143" s="5">
        <v>8</v>
      </c>
    </row>
    <row r="144" spans="1:13" hidden="1" x14ac:dyDescent="0.25">
      <c r="A144" t="s">
        <v>154</v>
      </c>
      <c r="B144" s="1">
        <v>0.66031192775099967</v>
      </c>
      <c r="C144" s="2">
        <v>1.8814616775186929E-4</v>
      </c>
      <c r="D144" s="2"/>
      <c r="E144" s="2">
        <v>3.8374354999081588E-2</v>
      </c>
      <c r="F144" s="3">
        <v>93.543735081927295</v>
      </c>
      <c r="G144" s="3">
        <v>10</v>
      </c>
      <c r="H144" s="2">
        <v>5.4188793757450958E-4</v>
      </c>
      <c r="I144" s="4">
        <v>0.18624994495523051</v>
      </c>
      <c r="J144" s="4">
        <v>-0.14787558995614891</v>
      </c>
      <c r="K144" s="5">
        <v>10</v>
      </c>
      <c r="L144" s="5">
        <v>0</v>
      </c>
      <c r="M144" s="5">
        <v>0</v>
      </c>
    </row>
    <row r="145" spans="1:13" hidden="1" x14ac:dyDescent="0.25">
      <c r="A145" t="s">
        <v>155</v>
      </c>
      <c r="B145" s="1">
        <v>0.64694307831994602</v>
      </c>
      <c r="C145" s="2">
        <v>1.8433691082041939E-4</v>
      </c>
      <c r="D145" s="2"/>
      <c r="E145" s="2">
        <v>3.3547596847415262E-2</v>
      </c>
      <c r="F145" s="3">
        <v>93.108908293620843</v>
      </c>
      <c r="G145" s="3">
        <v>6</v>
      </c>
      <c r="H145" s="2">
        <v>3.2513276254470582E-4</v>
      </c>
      <c r="I145" s="4">
        <v>-9.7030218992613521E-3</v>
      </c>
      <c r="J145" s="4">
        <v>4.3250618746676607E-2</v>
      </c>
      <c r="K145" s="5">
        <v>6</v>
      </c>
      <c r="L145" s="5">
        <v>0</v>
      </c>
      <c r="M145" s="5">
        <v>6</v>
      </c>
    </row>
    <row r="146" spans="1:13" hidden="1" x14ac:dyDescent="0.25">
      <c r="A146" t="s">
        <v>156</v>
      </c>
      <c r="B146" s="1">
        <v>0.64224782637782563</v>
      </c>
      <c r="C146" s="2">
        <v>1.8299906786709241E-4</v>
      </c>
      <c r="D146" s="2"/>
      <c r="E146" s="2">
        <v>-0.23027717820587751</v>
      </c>
      <c r="F146" s="3">
        <v>69.341800846465048</v>
      </c>
      <c r="G146" s="3">
        <v>11</v>
      </c>
      <c r="H146" s="2">
        <v>5.9607673133196056E-4</v>
      </c>
      <c r="I146" s="4">
        <v>1.3877787807814459E-16</v>
      </c>
      <c r="J146" s="4">
        <v>-0.23027717820587759</v>
      </c>
      <c r="K146" s="5">
        <v>9</v>
      </c>
      <c r="L146" s="5">
        <v>0</v>
      </c>
      <c r="M146" s="5">
        <v>8</v>
      </c>
    </row>
    <row r="147" spans="1:13" hidden="1" x14ac:dyDescent="0.25">
      <c r="A147" t="s">
        <v>157</v>
      </c>
      <c r="B147" s="1">
        <v>0.6297635550223738</v>
      </c>
      <c r="C147" s="2">
        <v>1.7944185844229391E-4</v>
      </c>
      <c r="D147" s="2"/>
      <c r="E147" s="2">
        <v>7.5729888906541643E-3</v>
      </c>
      <c r="F147" s="3">
        <v>90.768941176880631</v>
      </c>
      <c r="G147" s="3">
        <v>14</v>
      </c>
      <c r="H147" s="2">
        <v>7.5864311260431339E-4</v>
      </c>
      <c r="I147" s="4">
        <v>-1.7451945721000631E-2</v>
      </c>
      <c r="J147" s="4">
        <v>2.5024934611654798E-2</v>
      </c>
      <c r="K147" s="5">
        <v>13</v>
      </c>
      <c r="L147" s="5">
        <v>11</v>
      </c>
      <c r="M147" s="5">
        <v>5</v>
      </c>
    </row>
    <row r="148" spans="1:13" hidden="1" x14ac:dyDescent="0.25">
      <c r="A148" t="s">
        <v>158</v>
      </c>
      <c r="B148" s="1">
        <v>0.62694152792908142</v>
      </c>
      <c r="C148" s="2">
        <v>1.7863776334635449E-4</v>
      </c>
      <c r="D148" s="2"/>
      <c r="E148" s="2">
        <v>0.12869642807532039</v>
      </c>
      <c r="F148" s="3">
        <v>101.6805539808316</v>
      </c>
      <c r="G148" s="3">
        <v>5</v>
      </c>
      <c r="H148" s="2">
        <v>2.7094396878725479E-4</v>
      </c>
      <c r="I148" s="4">
        <v>-1.110223024625157E-16</v>
      </c>
      <c r="J148" s="4">
        <v>0.12869642807532061</v>
      </c>
      <c r="K148" s="5">
        <v>5</v>
      </c>
      <c r="L148" s="5">
        <v>0</v>
      </c>
      <c r="M148" s="5">
        <v>4</v>
      </c>
    </row>
    <row r="149" spans="1:13" hidden="1" x14ac:dyDescent="0.25">
      <c r="A149" t="s">
        <v>159</v>
      </c>
      <c r="B149" s="1">
        <v>0.62148313710898351</v>
      </c>
      <c r="C149" s="2">
        <v>1.7708247519884019E-4</v>
      </c>
      <c r="D149" s="2"/>
      <c r="E149" s="2">
        <v>0.88453294594454834</v>
      </c>
      <c r="F149" s="3">
        <v>169.77138331652719</v>
      </c>
      <c r="G149" s="3">
        <v>6</v>
      </c>
      <c r="H149" s="2">
        <v>3.2513276254470582E-4</v>
      </c>
      <c r="I149" s="4">
        <v>0.413740365246279</v>
      </c>
      <c r="J149" s="4">
        <v>0.4707925806982694</v>
      </c>
      <c r="K149" s="5">
        <v>4</v>
      </c>
      <c r="L149" s="5">
        <v>0</v>
      </c>
      <c r="M149" s="5">
        <v>0</v>
      </c>
    </row>
    <row r="150" spans="1:13" hidden="1" x14ac:dyDescent="0.25">
      <c r="A150" t="s">
        <v>160</v>
      </c>
      <c r="B150" s="1">
        <v>0.6073972022777453</v>
      </c>
      <c r="C150" s="2">
        <v>1.7306889533405331E-4</v>
      </c>
      <c r="D150" s="2"/>
      <c r="E150" s="2">
        <v>-0.64648367046731359</v>
      </c>
      <c r="F150" s="3">
        <v>31.847124996620479</v>
      </c>
      <c r="G150" s="3">
        <v>8</v>
      </c>
      <c r="H150" s="2">
        <v>4.3351035005960773E-4</v>
      </c>
      <c r="I150" s="4">
        <v>-6.3138761885484063E-2</v>
      </c>
      <c r="J150" s="4">
        <v>-0.58334490858182952</v>
      </c>
      <c r="K150" s="5">
        <v>8</v>
      </c>
      <c r="L150" s="5">
        <v>0</v>
      </c>
      <c r="M150" s="5">
        <v>0</v>
      </c>
    </row>
    <row r="151" spans="1:13" hidden="1" x14ac:dyDescent="0.25">
      <c r="A151" t="s">
        <v>161</v>
      </c>
      <c r="B151" s="1">
        <v>0.60629405427171679</v>
      </c>
      <c r="C151" s="2">
        <v>1.7275456954184129E-4</v>
      </c>
      <c r="D151" s="2"/>
      <c r="E151" s="2">
        <v>1.633949101506867</v>
      </c>
      <c r="F151" s="3">
        <v>237.28382329979311</v>
      </c>
      <c r="G151" s="3">
        <v>5</v>
      </c>
      <c r="H151" s="2">
        <v>2.7094396878725479E-4</v>
      </c>
      <c r="I151" s="4">
        <v>-0.1026097198271789</v>
      </c>
      <c r="J151" s="4">
        <v>1.7365588213340459</v>
      </c>
      <c r="K151" s="5">
        <v>5</v>
      </c>
      <c r="L151" s="5">
        <v>0</v>
      </c>
      <c r="M151" s="5">
        <v>4</v>
      </c>
    </row>
    <row r="152" spans="1:13" hidden="1" x14ac:dyDescent="0.25">
      <c r="A152" t="s">
        <v>162</v>
      </c>
      <c r="B152" s="1">
        <v>0.60596443527740462</v>
      </c>
      <c r="C152" s="2">
        <v>1.7266064945954131E-4</v>
      </c>
      <c r="D152" s="2"/>
      <c r="E152" s="2">
        <v>-0.102046047102808</v>
      </c>
      <c r="F152" s="3">
        <v>80.893722269998307</v>
      </c>
      <c r="G152" s="3">
        <v>6</v>
      </c>
      <c r="H152" s="2">
        <v>3.2513276254470582E-4</v>
      </c>
      <c r="I152" s="4">
        <v>1.3877787807814459E-16</v>
      </c>
      <c r="J152" s="4">
        <v>-0.1020460471028081</v>
      </c>
      <c r="K152" s="5">
        <v>6</v>
      </c>
      <c r="L152" s="5">
        <v>6</v>
      </c>
      <c r="M152" s="5">
        <v>4</v>
      </c>
    </row>
    <row r="153" spans="1:13" hidden="1" x14ac:dyDescent="0.25">
      <c r="A153" t="s">
        <v>163</v>
      </c>
      <c r="B153" s="1">
        <v>0.59773061030144581</v>
      </c>
      <c r="C153" s="2">
        <v>1.7031454218802391E-4</v>
      </c>
      <c r="D153" s="2"/>
      <c r="E153" s="2">
        <v>-0.2599325562136382</v>
      </c>
      <c r="F153" s="3">
        <v>66.670245245388188</v>
      </c>
      <c r="G153" s="3">
        <v>3</v>
      </c>
      <c r="H153" s="2">
        <v>1.6256638127235291E-4</v>
      </c>
      <c r="I153" s="4">
        <v>1.110223024625157E-16</v>
      </c>
      <c r="J153" s="4">
        <v>-0.25993255621363831</v>
      </c>
      <c r="K153" s="5">
        <v>3</v>
      </c>
      <c r="L153" s="5">
        <v>0</v>
      </c>
      <c r="M153" s="5">
        <v>3</v>
      </c>
    </row>
    <row r="154" spans="1:13" hidden="1" x14ac:dyDescent="0.25">
      <c r="A154" t="s">
        <v>164</v>
      </c>
      <c r="B154" s="1">
        <v>0.5943169071829093</v>
      </c>
      <c r="C154" s="2">
        <v>1.6934185771481919E-4</v>
      </c>
      <c r="D154" s="2"/>
      <c r="E154" s="2">
        <v>1.9903656671069529E-2</v>
      </c>
      <c r="F154" s="3">
        <v>91.879770536909902</v>
      </c>
      <c r="G154" s="3">
        <v>2</v>
      </c>
      <c r="H154" s="2">
        <v>1.083775875149019E-4</v>
      </c>
      <c r="I154" s="4">
        <v>-5.5511151231257827E-17</v>
      </c>
      <c r="J154" s="4">
        <v>1.9903656671069581E-2</v>
      </c>
      <c r="K154" s="5">
        <v>2</v>
      </c>
      <c r="L154" s="5">
        <v>0</v>
      </c>
      <c r="M154" s="5">
        <v>0</v>
      </c>
    </row>
    <row r="155" spans="1:13" hidden="1" x14ac:dyDescent="0.25">
      <c r="A155" t="s">
        <v>165</v>
      </c>
      <c r="B155" s="1">
        <v>0.59373636722922796</v>
      </c>
      <c r="C155" s="2">
        <v>1.691764413972858E-4</v>
      </c>
      <c r="D155" s="2"/>
      <c r="E155" s="2">
        <v>1.5518781235158721</v>
      </c>
      <c r="F155" s="3">
        <v>229.8903184562426</v>
      </c>
      <c r="G155" s="3">
        <v>5</v>
      </c>
      <c r="H155" s="2">
        <v>2.7094396878725479E-4</v>
      </c>
      <c r="I155" s="4">
        <v>-4.4408920985006262E-16</v>
      </c>
      <c r="J155" s="4">
        <v>1.5518781235158721</v>
      </c>
      <c r="K155" s="5">
        <v>5</v>
      </c>
      <c r="L155" s="5">
        <v>0</v>
      </c>
      <c r="M155" s="5">
        <v>5</v>
      </c>
    </row>
    <row r="156" spans="1:13" hidden="1" x14ac:dyDescent="0.25">
      <c r="A156" t="s">
        <v>166</v>
      </c>
      <c r="B156" s="1">
        <v>0.58954496685435198</v>
      </c>
      <c r="C156" s="2">
        <v>1.6798216353419669E-4</v>
      </c>
      <c r="D156" s="2"/>
      <c r="E156" s="2">
        <v>0.96508205565543737</v>
      </c>
      <c r="F156" s="3">
        <v>177.0277880453277</v>
      </c>
      <c r="G156" s="3">
        <v>1</v>
      </c>
      <c r="H156" s="2">
        <v>5.4188793757450959E-5</v>
      </c>
      <c r="I156" s="4">
        <v>0</v>
      </c>
      <c r="J156" s="4">
        <v>0.96508205565543737</v>
      </c>
      <c r="K156" s="5">
        <v>1</v>
      </c>
      <c r="L156" s="5">
        <v>0</v>
      </c>
      <c r="M156" s="5">
        <v>0</v>
      </c>
    </row>
    <row r="157" spans="1:13" hidden="1" x14ac:dyDescent="0.25">
      <c r="A157" t="s">
        <v>167</v>
      </c>
      <c r="B157" s="1">
        <v>0.5862247814339947</v>
      </c>
      <c r="C157" s="2">
        <v>1.6703612555303611E-4</v>
      </c>
      <c r="D157" s="2"/>
      <c r="E157" s="2">
        <v>6.0443817130441486</v>
      </c>
      <c r="F157" s="3">
        <v>634.60521112499714</v>
      </c>
      <c r="G157" s="3">
        <v>8</v>
      </c>
      <c r="H157" s="2">
        <v>4.3351035005960773E-4</v>
      </c>
      <c r="I157" s="4">
        <v>8.8817841970012523E-16</v>
      </c>
      <c r="J157" s="4">
        <v>6.0443817130441468</v>
      </c>
      <c r="K157" s="5">
        <v>8</v>
      </c>
      <c r="L157" s="5">
        <v>0</v>
      </c>
      <c r="M157" s="5">
        <v>8</v>
      </c>
    </row>
    <row r="158" spans="1:13" hidden="1" x14ac:dyDescent="0.25">
      <c r="A158" t="s">
        <v>168</v>
      </c>
      <c r="B158" s="1">
        <v>0.56500610476352486</v>
      </c>
      <c r="C158" s="2">
        <v>1.609901758548196E-4</v>
      </c>
      <c r="D158" s="2"/>
      <c r="E158" s="2">
        <v>-0.47334491970505782</v>
      </c>
      <c r="F158" s="3">
        <v>47.444626375335311</v>
      </c>
      <c r="G158" s="3">
        <v>3</v>
      </c>
      <c r="H158" s="2">
        <v>1.6256638127235291E-4</v>
      </c>
      <c r="I158" s="4">
        <v>1.6653345369377351E-16</v>
      </c>
      <c r="J158" s="4">
        <v>-0.47334491970505788</v>
      </c>
      <c r="K158" s="5">
        <v>3</v>
      </c>
      <c r="L158" s="5">
        <v>0</v>
      </c>
      <c r="M158" s="5">
        <v>0</v>
      </c>
    </row>
    <row r="159" spans="1:13" hidden="1" x14ac:dyDescent="0.25">
      <c r="A159" t="s">
        <v>169</v>
      </c>
      <c r="B159" s="1">
        <v>0.56449661945893925</v>
      </c>
      <c r="C159" s="2">
        <v>1.60845005514023E-4</v>
      </c>
      <c r="D159" s="2"/>
      <c r="E159" s="2">
        <v>0.44746547770099099</v>
      </c>
      <c r="F159" s="3">
        <v>130.39741065871809</v>
      </c>
      <c r="G159" s="3">
        <v>2</v>
      </c>
      <c r="H159" s="2">
        <v>1.083775875149019E-4</v>
      </c>
      <c r="I159" s="4">
        <v>-0.17610069421447899</v>
      </c>
      <c r="J159" s="4">
        <v>0.62356617191547004</v>
      </c>
      <c r="K159" s="5">
        <v>2</v>
      </c>
      <c r="L159" s="5">
        <v>0</v>
      </c>
      <c r="M159" s="5">
        <v>0</v>
      </c>
    </row>
    <row r="160" spans="1:13" hidden="1" x14ac:dyDescent="0.25">
      <c r="A160" t="s">
        <v>170</v>
      </c>
      <c r="B160" s="1">
        <v>0.55625872797684672</v>
      </c>
      <c r="C160" s="2">
        <v>1.5849773955141881E-4</v>
      </c>
      <c r="D160" s="2"/>
      <c r="E160" s="2">
        <v>-0.19639875653942321</v>
      </c>
      <c r="F160" s="3">
        <v>72.393796580087951</v>
      </c>
      <c r="G160" s="3">
        <v>4</v>
      </c>
      <c r="H160" s="2">
        <v>2.1675517502980381E-4</v>
      </c>
      <c r="I160" s="4">
        <v>-0.38332488502720202</v>
      </c>
      <c r="J160" s="4">
        <v>0.1869261284877789</v>
      </c>
      <c r="K160" s="5">
        <v>4</v>
      </c>
      <c r="L160" s="5">
        <v>0</v>
      </c>
      <c r="M160" s="5">
        <v>3</v>
      </c>
    </row>
    <row r="161" spans="1:13" hidden="1" x14ac:dyDescent="0.25">
      <c r="A161" t="s">
        <v>171</v>
      </c>
      <c r="B161" s="1">
        <v>0.55582827524300349</v>
      </c>
      <c r="C161" s="2">
        <v>1.5837508837874241E-4</v>
      </c>
      <c r="D161" s="2"/>
      <c r="E161" s="2">
        <v>1.1457131131575231</v>
      </c>
      <c r="F161" s="3">
        <v>193.30024672961261</v>
      </c>
      <c r="G161" s="3">
        <v>2</v>
      </c>
      <c r="H161" s="2">
        <v>1.083775875149019E-4</v>
      </c>
      <c r="I161" s="4">
        <v>2.2204460492503131E-16</v>
      </c>
      <c r="J161" s="4">
        <v>1.1457131131575231</v>
      </c>
      <c r="K161" s="5">
        <v>2</v>
      </c>
      <c r="L161" s="5">
        <v>0</v>
      </c>
      <c r="M161" s="5">
        <v>0</v>
      </c>
    </row>
    <row r="162" spans="1:13" hidden="1" x14ac:dyDescent="0.25">
      <c r="A162" t="s">
        <v>172</v>
      </c>
      <c r="B162" s="1">
        <v>0.53866370622868243</v>
      </c>
      <c r="C162" s="2">
        <v>1.5348429700358669E-4</v>
      </c>
      <c r="D162" s="2"/>
      <c r="E162" s="2">
        <v>0.67554380192371499</v>
      </c>
      <c r="F162" s="3">
        <v>150.9442377604326</v>
      </c>
      <c r="G162" s="3">
        <v>5</v>
      </c>
      <c r="H162" s="2">
        <v>2.7094396878725479E-4</v>
      </c>
      <c r="I162" s="4">
        <v>3.3306690738754701E-16</v>
      </c>
      <c r="J162" s="4">
        <v>0.67554380192371466</v>
      </c>
      <c r="K162" s="5">
        <v>5</v>
      </c>
      <c r="L162" s="5">
        <v>0</v>
      </c>
      <c r="M162" s="5">
        <v>3</v>
      </c>
    </row>
    <row r="163" spans="1:13" hidden="1" x14ac:dyDescent="0.25">
      <c r="A163" t="s">
        <v>173</v>
      </c>
      <c r="B163" s="1">
        <v>0.52916096355853504</v>
      </c>
      <c r="C163" s="2">
        <v>1.5077663030640929E-4</v>
      </c>
      <c r="D163" s="2"/>
      <c r="E163" s="2">
        <v>-3.5284111166907883E-2</v>
      </c>
      <c r="F163" s="3">
        <v>86.908085797639529</v>
      </c>
      <c r="G163" s="3">
        <v>3</v>
      </c>
      <c r="H163" s="2">
        <v>1.6256638127235291E-4</v>
      </c>
      <c r="I163" s="4">
        <v>-0.39818881086701408</v>
      </c>
      <c r="J163" s="4">
        <v>0.36290469970010619</v>
      </c>
      <c r="K163" s="5">
        <v>3</v>
      </c>
      <c r="L163" s="5">
        <v>0</v>
      </c>
      <c r="M163" s="5">
        <v>3</v>
      </c>
    </row>
    <row r="164" spans="1:13" hidden="1" x14ac:dyDescent="0.25">
      <c r="A164" t="s">
        <v>174</v>
      </c>
      <c r="B164" s="1">
        <v>0.52741747000015382</v>
      </c>
      <c r="C164" s="2">
        <v>1.502798474713229E-4</v>
      </c>
      <c r="D164" s="2"/>
      <c r="E164" s="2">
        <v>0.18354180696794509</v>
      </c>
      <c r="F164" s="3">
        <v>106.6213940245981</v>
      </c>
      <c r="G164" s="3">
        <v>4</v>
      </c>
      <c r="H164" s="2">
        <v>2.1675517502980381E-4</v>
      </c>
      <c r="I164" s="4">
        <v>3.3306690738754701E-16</v>
      </c>
      <c r="J164" s="4">
        <v>0.18354180696794481</v>
      </c>
      <c r="K164" s="5">
        <v>4</v>
      </c>
      <c r="L164" s="5">
        <v>0</v>
      </c>
      <c r="M164" s="5">
        <v>0</v>
      </c>
    </row>
    <row r="165" spans="1:13" hidden="1" x14ac:dyDescent="0.25">
      <c r="A165" t="s">
        <v>175</v>
      </c>
      <c r="B165" s="1">
        <v>0.51972456666780953</v>
      </c>
      <c r="C165" s="2">
        <v>1.4808786786284309E-4</v>
      </c>
      <c r="D165" s="2"/>
      <c r="E165" s="2">
        <v>0.5491089761642598</v>
      </c>
      <c r="F165" s="3">
        <v>139.5541395853071</v>
      </c>
      <c r="G165" s="3">
        <v>2</v>
      </c>
      <c r="H165" s="2">
        <v>1.083775875149019E-4</v>
      </c>
      <c r="I165" s="4">
        <v>2.2204460492503131E-16</v>
      </c>
      <c r="J165" s="4">
        <v>0.54910897616425958</v>
      </c>
      <c r="K165" s="5">
        <v>2</v>
      </c>
      <c r="L165" s="5">
        <v>0</v>
      </c>
      <c r="M165" s="5">
        <v>0</v>
      </c>
    </row>
    <row r="166" spans="1:13" hidden="1" x14ac:dyDescent="0.25">
      <c r="A166" t="s">
        <v>176</v>
      </c>
      <c r="B166" s="1">
        <v>0.51846225453893102</v>
      </c>
      <c r="C166" s="2">
        <v>1.4772819059582159E-4</v>
      </c>
      <c r="D166" s="2"/>
      <c r="E166" s="2">
        <v>5.4696080291043128</v>
      </c>
      <c r="F166" s="3">
        <v>582.82573779374479</v>
      </c>
      <c r="G166" s="3">
        <v>6</v>
      </c>
      <c r="H166" s="2">
        <v>3.2513276254470582E-4</v>
      </c>
      <c r="I166" s="4">
        <v>6.1229285761648624</v>
      </c>
      <c r="J166" s="4">
        <v>-0.65332054706055032</v>
      </c>
      <c r="K166" s="5">
        <v>6</v>
      </c>
      <c r="L166" s="5">
        <v>0</v>
      </c>
      <c r="M166" s="5">
        <v>5</v>
      </c>
    </row>
    <row r="167" spans="1:13" hidden="1" x14ac:dyDescent="0.25">
      <c r="A167" t="s">
        <v>177</v>
      </c>
      <c r="B167" s="1">
        <v>0.51667952156494157</v>
      </c>
      <c r="C167" s="2">
        <v>1.4722022706664019E-4</v>
      </c>
      <c r="D167" s="2"/>
      <c r="E167" s="2">
        <v>1.2822261605118399</v>
      </c>
      <c r="F167" s="3">
        <v>205.5982587861123</v>
      </c>
      <c r="G167" s="3">
        <v>7</v>
      </c>
      <c r="H167" s="2">
        <v>3.7932155630215669E-4</v>
      </c>
      <c r="I167" s="4">
        <v>6.6613381477509392E-16</v>
      </c>
      <c r="J167" s="4">
        <v>1.282226160511839</v>
      </c>
      <c r="K167" s="5">
        <v>7</v>
      </c>
      <c r="L167" s="5">
        <v>2</v>
      </c>
      <c r="M167" s="5">
        <v>2</v>
      </c>
    </row>
    <row r="168" spans="1:13" hidden="1" x14ac:dyDescent="0.25">
      <c r="A168" t="s">
        <v>178</v>
      </c>
      <c r="B168" s="1">
        <v>0.50716576728511664</v>
      </c>
      <c r="C168" s="2">
        <v>1.445094227733138E-4</v>
      </c>
      <c r="D168" s="2"/>
      <c r="E168" s="2">
        <v>2.87850848932132</v>
      </c>
      <c r="F168" s="3">
        <v>349.40209076947048</v>
      </c>
      <c r="G168" s="3">
        <v>3</v>
      </c>
      <c r="H168" s="2">
        <v>1.6256638127235291E-4</v>
      </c>
      <c r="I168" s="4">
        <v>-8.8817841970012523E-16</v>
      </c>
      <c r="J168" s="4">
        <v>2.87850848932132</v>
      </c>
      <c r="K168" s="5">
        <v>3</v>
      </c>
      <c r="L168" s="5">
        <v>0</v>
      </c>
      <c r="M168" s="5">
        <v>0</v>
      </c>
    </row>
    <row r="169" spans="1:13" hidden="1" x14ac:dyDescent="0.25">
      <c r="A169" t="s">
        <v>179</v>
      </c>
      <c r="B169" s="1">
        <v>0.50461433980753567</v>
      </c>
      <c r="C169" s="2">
        <v>1.437824310561739E-4</v>
      </c>
      <c r="D169" s="2"/>
      <c r="E169" s="2">
        <v>0.62709644334699943</v>
      </c>
      <c r="F169" s="3">
        <v>146.5797743525093</v>
      </c>
      <c r="G169" s="3">
        <v>7</v>
      </c>
      <c r="H169" s="2">
        <v>3.7932155630215669E-4</v>
      </c>
      <c r="I169" s="4">
        <v>-1.110223024625157E-16</v>
      </c>
      <c r="J169" s="4">
        <v>0.62709644334699954</v>
      </c>
      <c r="K169" s="5">
        <v>7</v>
      </c>
      <c r="L169" s="5">
        <v>0</v>
      </c>
      <c r="M169" s="5">
        <v>2</v>
      </c>
    </row>
    <row r="170" spans="1:13" hidden="1" x14ac:dyDescent="0.25">
      <c r="A170" t="s">
        <v>180</v>
      </c>
      <c r="B170" s="1">
        <v>0.50153550150524895</v>
      </c>
      <c r="C170" s="2">
        <v>1.4290516138504151E-4</v>
      </c>
      <c r="D170" s="2"/>
      <c r="E170" s="2">
        <v>-0.30548154043465431</v>
      </c>
      <c r="F170" s="3">
        <v>62.566886863405223</v>
      </c>
      <c r="G170" s="3">
        <v>5</v>
      </c>
      <c r="H170" s="2">
        <v>2.7094396878725479E-4</v>
      </c>
      <c r="I170" s="4">
        <v>5.7505767750111181E-3</v>
      </c>
      <c r="J170" s="4">
        <v>-0.31123211720966543</v>
      </c>
      <c r="K170" s="5">
        <v>4</v>
      </c>
      <c r="L170" s="5">
        <v>4</v>
      </c>
      <c r="M170" s="5">
        <v>4</v>
      </c>
    </row>
    <row r="171" spans="1:13" hidden="1" x14ac:dyDescent="0.25">
      <c r="A171" t="s">
        <v>181</v>
      </c>
      <c r="B171" s="1">
        <v>0.5013326290857858</v>
      </c>
      <c r="C171" s="2">
        <v>1.4284735587425119E-4</v>
      </c>
      <c r="D171" s="2"/>
      <c r="E171" s="2">
        <v>1.1366379254584831</v>
      </c>
      <c r="F171" s="3">
        <v>192.48269287742929</v>
      </c>
      <c r="G171" s="3">
        <v>1</v>
      </c>
      <c r="H171" s="2">
        <v>5.4188793757450959E-5</v>
      </c>
      <c r="I171" s="4">
        <v>2.2204460492503131E-16</v>
      </c>
      <c r="J171" s="4">
        <v>1.136637925458482</v>
      </c>
      <c r="K171" s="5">
        <v>1</v>
      </c>
      <c r="L171" s="5">
        <v>0</v>
      </c>
      <c r="M171" s="5">
        <v>0</v>
      </c>
    </row>
    <row r="172" spans="1:13" hidden="1" x14ac:dyDescent="0.25">
      <c r="A172" t="s">
        <v>182</v>
      </c>
      <c r="B172" s="1">
        <v>0.49693952086273702</v>
      </c>
      <c r="C172" s="2">
        <v>1.415956043278252E-4</v>
      </c>
      <c r="D172" s="2"/>
      <c r="E172" s="2">
        <v>0.58365814591990395</v>
      </c>
      <c r="F172" s="3">
        <v>142.66656081120061</v>
      </c>
      <c r="G172" s="3">
        <v>3</v>
      </c>
      <c r="H172" s="2">
        <v>1.6256638127235291E-4</v>
      </c>
      <c r="I172" s="4">
        <v>-1.110223024625157E-16</v>
      </c>
      <c r="J172" s="4">
        <v>0.58365814591990395</v>
      </c>
      <c r="K172" s="5">
        <v>3</v>
      </c>
      <c r="L172" s="5">
        <v>0</v>
      </c>
      <c r="M172" s="5">
        <v>0</v>
      </c>
    </row>
    <row r="173" spans="1:13" hidden="1" x14ac:dyDescent="0.25">
      <c r="A173" t="s">
        <v>183</v>
      </c>
      <c r="B173" s="1">
        <v>0.49246886834750742</v>
      </c>
      <c r="C173" s="2">
        <v>1.4032175767635609E-4</v>
      </c>
      <c r="D173" s="2"/>
      <c r="E173" s="2">
        <v>6.1764446156336028E-3</v>
      </c>
      <c r="F173" s="3">
        <v>90.643131090119766</v>
      </c>
      <c r="G173" s="3">
        <v>6</v>
      </c>
      <c r="H173" s="2">
        <v>3.2513276254470582E-4</v>
      </c>
      <c r="I173" s="4">
        <v>5.8260351657801308E-2</v>
      </c>
      <c r="J173" s="4">
        <v>-5.2083907042167712E-2</v>
      </c>
      <c r="K173" s="5">
        <v>6</v>
      </c>
      <c r="L173" s="5">
        <v>0</v>
      </c>
      <c r="M173" s="5">
        <v>6</v>
      </c>
    </row>
    <row r="174" spans="1:13" hidden="1" x14ac:dyDescent="0.25">
      <c r="A174" t="s">
        <v>184</v>
      </c>
      <c r="B174" s="1">
        <v>0.4892371601099238</v>
      </c>
      <c r="C174" s="2">
        <v>1.394009299665426E-4</v>
      </c>
      <c r="D174" s="2"/>
      <c r="E174" s="2">
        <v>3.5700730907953311</v>
      </c>
      <c r="F174" s="3">
        <v>411.70287425942939</v>
      </c>
      <c r="G174" s="3">
        <v>1</v>
      </c>
      <c r="H174" s="2">
        <v>5.4188793757450959E-5</v>
      </c>
      <c r="I174" s="4">
        <v>0</v>
      </c>
      <c r="J174" s="4">
        <v>3.5700730907953311</v>
      </c>
      <c r="K174" s="5">
        <v>1</v>
      </c>
      <c r="L174" s="5">
        <v>0</v>
      </c>
      <c r="M174" s="5">
        <v>0</v>
      </c>
    </row>
    <row r="175" spans="1:13" hidden="1" x14ac:dyDescent="0.25">
      <c r="A175" t="s">
        <v>185</v>
      </c>
      <c r="B175" s="1">
        <v>0.48527379197230652</v>
      </c>
      <c r="C175" s="2">
        <v>1.3827162653411431E-4</v>
      </c>
      <c r="D175" s="2"/>
      <c r="E175" s="2">
        <v>1.803218380717883</v>
      </c>
      <c r="F175" s="3">
        <v>252.53273669580821</v>
      </c>
      <c r="G175" s="3">
        <v>7</v>
      </c>
      <c r="H175" s="2">
        <v>3.7932155630215669E-4</v>
      </c>
      <c r="I175" s="4">
        <v>5.1916223158934072E-2</v>
      </c>
      <c r="J175" s="4">
        <v>1.7513021575589489</v>
      </c>
      <c r="K175" s="5">
        <v>7</v>
      </c>
      <c r="L175" s="5">
        <v>0</v>
      </c>
      <c r="M175" s="5">
        <v>0</v>
      </c>
    </row>
    <row r="176" spans="1:13" hidden="1" x14ac:dyDescent="0.25">
      <c r="A176" t="s">
        <v>186</v>
      </c>
      <c r="B176" s="1">
        <v>0.4839106476511188</v>
      </c>
      <c r="C176" s="2">
        <v>1.378832186175745E-4</v>
      </c>
      <c r="D176" s="2"/>
      <c r="E176" s="2">
        <v>-6.0171291894551733E-2</v>
      </c>
      <c r="F176" s="3">
        <v>84.666081428295456</v>
      </c>
      <c r="G176" s="3">
        <v>1</v>
      </c>
      <c r="H176" s="2">
        <v>5.4188793757450959E-5</v>
      </c>
      <c r="I176" s="4">
        <v>0</v>
      </c>
      <c r="J176" s="4">
        <v>-6.0171291894551733E-2</v>
      </c>
      <c r="K176" s="5">
        <v>1</v>
      </c>
      <c r="L176" s="5">
        <v>0</v>
      </c>
      <c r="M176" s="5">
        <v>1</v>
      </c>
    </row>
    <row r="177" spans="1:13" hidden="1" x14ac:dyDescent="0.25">
      <c r="A177" t="s">
        <v>187</v>
      </c>
      <c r="B177" s="1">
        <v>0.47298450368621048</v>
      </c>
      <c r="C177" s="2">
        <v>1.3476997466587971E-4</v>
      </c>
      <c r="D177" s="2"/>
      <c r="E177" s="2">
        <v>1.056619054707544</v>
      </c>
      <c r="F177" s="3">
        <v>185.274055634951</v>
      </c>
      <c r="G177" s="3">
        <v>4</v>
      </c>
      <c r="H177" s="2">
        <v>2.1675517502980381E-4</v>
      </c>
      <c r="I177" s="4">
        <v>-4.4408920985006262E-16</v>
      </c>
      <c r="J177" s="4">
        <v>1.056619054707544</v>
      </c>
      <c r="K177" s="5">
        <v>4</v>
      </c>
      <c r="L177" s="5">
        <v>0</v>
      </c>
      <c r="M177" s="5">
        <v>2</v>
      </c>
    </row>
    <row r="178" spans="1:13" hidden="1" x14ac:dyDescent="0.25">
      <c r="A178" t="s">
        <v>188</v>
      </c>
      <c r="B178" s="1">
        <v>0.4656752863062194</v>
      </c>
      <c r="C178" s="2">
        <v>1.326873207238336E-4</v>
      </c>
      <c r="D178" s="2"/>
      <c r="E178" s="2">
        <v>0.11044864784688201</v>
      </c>
      <c r="F178" s="3">
        <v>100.03667139522619</v>
      </c>
      <c r="G178" s="3">
        <v>3</v>
      </c>
      <c r="H178" s="2">
        <v>1.6256638127235291E-4</v>
      </c>
      <c r="I178" s="4">
        <v>2.2204460492503131E-16</v>
      </c>
      <c r="J178" s="4">
        <v>0.1104486478468818</v>
      </c>
      <c r="K178" s="5">
        <v>3</v>
      </c>
      <c r="L178" s="5">
        <v>0</v>
      </c>
      <c r="M178" s="5">
        <v>3</v>
      </c>
    </row>
    <row r="179" spans="1:13" hidden="1" x14ac:dyDescent="0.25">
      <c r="A179" t="s">
        <v>189</v>
      </c>
      <c r="B179" s="1">
        <v>0.45914768309167853</v>
      </c>
      <c r="C179" s="2">
        <v>1.308273762372882E-4</v>
      </c>
      <c r="D179" s="2"/>
      <c r="E179" s="2">
        <v>0.73904327262327918</v>
      </c>
      <c r="F179" s="3">
        <v>156.66469651056019</v>
      </c>
      <c r="G179" s="3">
        <v>10</v>
      </c>
      <c r="H179" s="2">
        <v>5.4188793757450958E-4</v>
      </c>
      <c r="I179" s="4">
        <v>-1.110223024625157E-16</v>
      </c>
      <c r="J179" s="4">
        <v>0.73904327262327918</v>
      </c>
      <c r="K179" s="5">
        <v>10</v>
      </c>
      <c r="L179" s="5">
        <v>0</v>
      </c>
      <c r="M179" s="5">
        <v>0</v>
      </c>
    </row>
    <row r="180" spans="1:13" hidden="1" x14ac:dyDescent="0.25">
      <c r="A180" t="s">
        <v>190</v>
      </c>
      <c r="B180" s="1">
        <v>0.45269541834492449</v>
      </c>
      <c r="C180" s="2">
        <v>1.2898889833858201E-4</v>
      </c>
      <c r="D180" s="2"/>
      <c r="E180" s="2">
        <v>1.83243187206151</v>
      </c>
      <c r="F180" s="3">
        <v>255.1644841786983</v>
      </c>
      <c r="G180" s="3">
        <v>2</v>
      </c>
      <c r="H180" s="2">
        <v>1.083775875149019E-4</v>
      </c>
      <c r="I180" s="4">
        <v>0</v>
      </c>
      <c r="J180" s="4">
        <v>1.83243187206151</v>
      </c>
      <c r="K180" s="5">
        <v>2</v>
      </c>
      <c r="L180" s="5">
        <v>0</v>
      </c>
      <c r="M180" s="5">
        <v>0</v>
      </c>
    </row>
    <row r="181" spans="1:13" hidden="1" x14ac:dyDescent="0.25">
      <c r="A181" t="s">
        <v>191</v>
      </c>
      <c r="B181" s="1">
        <v>0.44674239383201858</v>
      </c>
      <c r="C181" s="2">
        <v>1.2729267159851539E-4</v>
      </c>
      <c r="D181" s="2"/>
      <c r="E181" s="2">
        <v>3.7984425812988443E-2</v>
      </c>
      <c r="F181" s="3">
        <v>93.508607642281831</v>
      </c>
      <c r="G181" s="3">
        <v>23</v>
      </c>
      <c r="H181" s="2">
        <v>1.2463422564213721E-3</v>
      </c>
      <c r="I181" s="4">
        <v>0.29007000156781082</v>
      </c>
      <c r="J181" s="4">
        <v>-0.25208557575482232</v>
      </c>
      <c r="K181" s="5">
        <v>23</v>
      </c>
      <c r="L181" s="5">
        <v>0</v>
      </c>
      <c r="M181" s="5">
        <v>10</v>
      </c>
    </row>
    <row r="182" spans="1:13" hidden="1" x14ac:dyDescent="0.25">
      <c r="A182" t="s">
        <v>192</v>
      </c>
      <c r="B182" s="1">
        <v>0.44601883697964978</v>
      </c>
      <c r="C182" s="2">
        <v>1.2708650472010159E-4</v>
      </c>
      <c r="D182" s="2"/>
      <c r="E182" s="2">
        <v>-0.30013299769988799</v>
      </c>
      <c r="F182" s="3">
        <v>63.048719510991951</v>
      </c>
      <c r="G182" s="3">
        <v>5</v>
      </c>
      <c r="H182" s="2">
        <v>2.7094396878725479E-4</v>
      </c>
      <c r="I182" s="4">
        <v>-6.4009354271243629E-2</v>
      </c>
      <c r="J182" s="4">
        <v>-0.23612364342864439</v>
      </c>
      <c r="K182" s="5">
        <v>5</v>
      </c>
      <c r="L182" s="5">
        <v>0</v>
      </c>
      <c r="M182" s="5">
        <v>5</v>
      </c>
    </row>
    <row r="183" spans="1:13" hidden="1" x14ac:dyDescent="0.25">
      <c r="A183" t="s">
        <v>193</v>
      </c>
      <c r="B183" s="1">
        <v>0.44203069683448698</v>
      </c>
      <c r="C183" s="2">
        <v>1.2595014286862719E-4</v>
      </c>
      <c r="D183" s="2"/>
      <c r="E183" s="2">
        <v>-0.1495409737643498</v>
      </c>
      <c r="F183" s="3">
        <v>76.61506032503263</v>
      </c>
      <c r="G183" s="3">
        <v>6</v>
      </c>
      <c r="H183" s="2">
        <v>3.2513276254470582E-4</v>
      </c>
      <c r="I183" s="4">
        <v>-1.6653345369377351E-16</v>
      </c>
      <c r="J183" s="4">
        <v>-0.14954097376434969</v>
      </c>
      <c r="K183" s="5">
        <v>6</v>
      </c>
      <c r="L183" s="5">
        <v>6</v>
      </c>
      <c r="M183" s="5">
        <v>0</v>
      </c>
    </row>
    <row r="184" spans="1:13" hidden="1" x14ac:dyDescent="0.25">
      <c r="A184" t="s">
        <v>194</v>
      </c>
      <c r="B184" s="1">
        <v>0.44101134865416919</v>
      </c>
      <c r="C184" s="2">
        <v>1.2565969460369151E-4</v>
      </c>
      <c r="D184" s="2"/>
      <c r="E184" s="2">
        <v>0.10642183570187</v>
      </c>
      <c r="F184" s="3">
        <v>99.67390911522169</v>
      </c>
      <c r="G184" s="3">
        <v>3</v>
      </c>
      <c r="H184" s="2">
        <v>1.6256638127235291E-4</v>
      </c>
      <c r="I184" s="4">
        <v>5.5511151231257827E-17</v>
      </c>
      <c r="J184" s="4">
        <v>0.10642183570187</v>
      </c>
      <c r="K184" s="5">
        <v>3</v>
      </c>
      <c r="L184" s="5">
        <v>3</v>
      </c>
      <c r="M184" s="5">
        <v>3</v>
      </c>
    </row>
    <row r="185" spans="1:13" hidden="1" x14ac:dyDescent="0.25">
      <c r="A185" t="s">
        <v>195</v>
      </c>
      <c r="B185" s="1">
        <v>0.43794002207387139</v>
      </c>
      <c r="C185" s="2">
        <v>1.2478456528720969E-4</v>
      </c>
      <c r="D185" s="2"/>
      <c r="E185" s="2">
        <v>0.1198115080214401</v>
      </c>
      <c r="F185" s="3">
        <v>100.88014071586321</v>
      </c>
      <c r="G185" s="3">
        <v>3</v>
      </c>
      <c r="H185" s="2">
        <v>1.6256638127235291E-4</v>
      </c>
      <c r="I185" s="4">
        <v>0.26346559676321057</v>
      </c>
      <c r="J185" s="4">
        <v>-0.14365408874177049</v>
      </c>
      <c r="K185" s="5">
        <v>3</v>
      </c>
      <c r="L185" s="5">
        <v>0</v>
      </c>
      <c r="M185" s="5">
        <v>1</v>
      </c>
    </row>
    <row r="186" spans="1:13" hidden="1" x14ac:dyDescent="0.25">
      <c r="A186" t="s">
        <v>196</v>
      </c>
      <c r="B186" s="1">
        <v>0.43310517402391541</v>
      </c>
      <c r="C186" s="2">
        <v>1.2340694647702089E-4</v>
      </c>
      <c r="D186" s="2"/>
      <c r="E186" s="2">
        <v>0.66111887912155165</v>
      </c>
      <c r="F186" s="3">
        <v>149.64474384411369</v>
      </c>
      <c r="G186" s="3">
        <v>3</v>
      </c>
      <c r="H186" s="2">
        <v>1.6256638127235291E-4</v>
      </c>
      <c r="I186" s="4">
        <v>1.110223024625157E-16</v>
      </c>
      <c r="J186" s="4">
        <v>0.66111887912155154</v>
      </c>
      <c r="K186" s="5">
        <v>3</v>
      </c>
      <c r="L186" s="5">
        <v>0</v>
      </c>
      <c r="M186" s="5">
        <v>0</v>
      </c>
    </row>
    <row r="187" spans="1:13" hidden="1" x14ac:dyDescent="0.25">
      <c r="A187" t="s">
        <v>197</v>
      </c>
      <c r="B187" s="1">
        <v>0.4307539487431945</v>
      </c>
      <c r="C187" s="2">
        <v>1.2273699943003111E-4</v>
      </c>
      <c r="D187" s="2"/>
      <c r="E187" s="2">
        <v>-0.17590882139059841</v>
      </c>
      <c r="F187" s="3">
        <v>74.239667538071359</v>
      </c>
      <c r="G187" s="3">
        <v>8</v>
      </c>
      <c r="H187" s="2">
        <v>4.3351035005960773E-4</v>
      </c>
      <c r="I187" s="4">
        <v>-1.2537360440163511E-2</v>
      </c>
      <c r="J187" s="4">
        <v>-0.16337146095043489</v>
      </c>
      <c r="K187" s="5">
        <v>8</v>
      </c>
      <c r="L187" s="5">
        <v>8</v>
      </c>
      <c r="M187" s="5">
        <v>6</v>
      </c>
    </row>
    <row r="188" spans="1:13" hidden="1" x14ac:dyDescent="0.25">
      <c r="A188" t="s">
        <v>198</v>
      </c>
      <c r="B188" s="1">
        <v>0.43055815941414871</v>
      </c>
      <c r="C188" s="2">
        <v>1.226812121416322E-4</v>
      </c>
      <c r="D188" s="2"/>
      <c r="E188" s="2">
        <v>-0.32074468410738488</v>
      </c>
      <c r="F188" s="3">
        <v>61.191880382009053</v>
      </c>
      <c r="G188" s="3">
        <v>9</v>
      </c>
      <c r="H188" s="2">
        <v>4.876991438170586E-4</v>
      </c>
      <c r="I188" s="4">
        <v>0</v>
      </c>
      <c r="J188" s="4">
        <v>-0.32074468410738488</v>
      </c>
      <c r="K188" s="5">
        <v>9</v>
      </c>
      <c r="L188" s="5">
        <v>0</v>
      </c>
      <c r="M188" s="5">
        <v>6</v>
      </c>
    </row>
    <row r="189" spans="1:13" hidden="1" x14ac:dyDescent="0.25">
      <c r="A189" t="s">
        <v>199</v>
      </c>
      <c r="B189" s="1">
        <v>0.42681456909357052</v>
      </c>
      <c r="C189" s="2">
        <v>1.216145311642815E-4</v>
      </c>
      <c r="D189" s="2"/>
      <c r="E189" s="2">
        <v>2.566276128727873</v>
      </c>
      <c r="F189" s="3">
        <v>321.27410293662012</v>
      </c>
      <c r="G189" s="3">
        <v>1</v>
      </c>
      <c r="H189" s="2">
        <v>5.4188793757450959E-5</v>
      </c>
      <c r="I189" s="4">
        <v>-4.4408920985006262E-16</v>
      </c>
      <c r="J189" s="4">
        <v>2.566276128727873</v>
      </c>
      <c r="K189" s="5">
        <v>1</v>
      </c>
      <c r="L189" s="5">
        <v>0</v>
      </c>
      <c r="M189" s="5">
        <v>0</v>
      </c>
    </row>
    <row r="190" spans="1:13" hidden="1" x14ac:dyDescent="0.25">
      <c r="A190" t="s">
        <v>200</v>
      </c>
      <c r="B190" s="1">
        <v>0.42588399170135161</v>
      </c>
      <c r="C190" s="2">
        <v>1.213493768292101E-4</v>
      </c>
      <c r="D190" s="2"/>
      <c r="E190" s="2">
        <v>-6.7921139230086025E-2</v>
      </c>
      <c r="F190" s="3">
        <v>83.96792313635531</v>
      </c>
      <c r="G190" s="3">
        <v>1</v>
      </c>
      <c r="H190" s="2">
        <v>5.4188793757450959E-5</v>
      </c>
      <c r="I190" s="4">
        <v>-0.18620279794190919</v>
      </c>
      <c r="J190" s="4">
        <v>0.1182816587118232</v>
      </c>
      <c r="K190" s="5">
        <v>1</v>
      </c>
      <c r="L190" s="5">
        <v>0</v>
      </c>
      <c r="M190" s="5">
        <v>0</v>
      </c>
    </row>
    <row r="191" spans="1:13" hidden="1" x14ac:dyDescent="0.25">
      <c r="A191" t="s">
        <v>201</v>
      </c>
      <c r="B191" s="1">
        <v>0.42193367848052721</v>
      </c>
      <c r="C191" s="2">
        <v>1.2022379320322729E-4</v>
      </c>
      <c r="D191" s="2"/>
      <c r="E191" s="2">
        <v>1.7376968843553231</v>
      </c>
      <c r="F191" s="3">
        <v>246.63012029508241</v>
      </c>
      <c r="G191" s="3">
        <v>2</v>
      </c>
      <c r="H191" s="2">
        <v>1.083775875149019E-4</v>
      </c>
      <c r="I191" s="4">
        <v>2.2204460492503131E-16</v>
      </c>
      <c r="J191" s="4">
        <v>1.7376968843553231</v>
      </c>
      <c r="K191" s="5">
        <v>2</v>
      </c>
      <c r="L191" s="5">
        <v>0</v>
      </c>
      <c r="M191" s="5">
        <v>0</v>
      </c>
    </row>
    <row r="192" spans="1:13" hidden="1" x14ac:dyDescent="0.25">
      <c r="A192" t="s">
        <v>202</v>
      </c>
      <c r="B192" s="1">
        <v>0.42159175195888798</v>
      </c>
      <c r="C192" s="2">
        <v>1.201263662721127E-4</v>
      </c>
      <c r="D192" s="2"/>
      <c r="E192" s="2">
        <v>-0.37844110082333732</v>
      </c>
      <c r="F192" s="3">
        <v>55.994199705025927</v>
      </c>
      <c r="G192" s="3">
        <v>17</v>
      </c>
      <c r="H192" s="2">
        <v>9.2120949387666632E-4</v>
      </c>
      <c r="I192" s="4">
        <v>6.8240383821598138E-2</v>
      </c>
      <c r="J192" s="4">
        <v>-0.44668148464493551</v>
      </c>
      <c r="K192" s="5">
        <v>17</v>
      </c>
      <c r="L192" s="5">
        <v>0</v>
      </c>
      <c r="M192" s="5">
        <v>0</v>
      </c>
    </row>
    <row r="193" spans="1:13" hidden="1" x14ac:dyDescent="0.25">
      <c r="A193" t="s">
        <v>203</v>
      </c>
      <c r="B193" s="1">
        <v>0.42002457876516619</v>
      </c>
      <c r="C193" s="2">
        <v>1.196798233304965E-4</v>
      </c>
      <c r="D193" s="2"/>
      <c r="E193" s="2">
        <v>-0.14418006174093781</v>
      </c>
      <c r="F193" s="3">
        <v>77.098007281206293</v>
      </c>
      <c r="G193" s="3">
        <v>4</v>
      </c>
      <c r="H193" s="2">
        <v>2.1675517502980381E-4</v>
      </c>
      <c r="I193" s="4">
        <v>-1.110223024625157E-16</v>
      </c>
      <c r="J193" s="4">
        <v>-0.1441800617409377</v>
      </c>
      <c r="K193" s="5">
        <v>4</v>
      </c>
      <c r="L193" s="5">
        <v>0</v>
      </c>
      <c r="M193" s="5">
        <v>1</v>
      </c>
    </row>
    <row r="194" spans="1:13" hidden="1" x14ac:dyDescent="0.25">
      <c r="A194" t="s">
        <v>204</v>
      </c>
      <c r="B194" s="1">
        <v>0.41938343525608962</v>
      </c>
      <c r="C194" s="2">
        <v>1.194971389215951E-4</v>
      </c>
      <c r="D194" s="2"/>
      <c r="E194" s="2">
        <v>4.0712593910142258E-2</v>
      </c>
      <c r="F194" s="3">
        <v>93.75437934543541</v>
      </c>
      <c r="G194" s="3">
        <v>3</v>
      </c>
      <c r="H194" s="2">
        <v>1.6256638127235291E-4</v>
      </c>
      <c r="I194" s="4">
        <v>0.26145758618540538</v>
      </c>
      <c r="J194" s="4">
        <v>-0.22074499227526309</v>
      </c>
      <c r="K194" s="5">
        <v>3</v>
      </c>
      <c r="L194" s="5">
        <v>0</v>
      </c>
      <c r="M194" s="5">
        <v>3</v>
      </c>
    </row>
    <row r="195" spans="1:13" hidden="1" x14ac:dyDescent="0.25">
      <c r="A195" t="s">
        <v>205</v>
      </c>
      <c r="B195" s="1">
        <v>0.41889153422232028</v>
      </c>
      <c r="C195" s="2">
        <v>1.1935697896002641E-4</v>
      </c>
      <c r="D195" s="2"/>
      <c r="E195" s="2">
        <v>0.17867178076406651</v>
      </c>
      <c r="F195" s="3">
        <v>106.1826693595826</v>
      </c>
      <c r="G195" s="3">
        <v>4</v>
      </c>
      <c r="H195" s="2">
        <v>2.1675517502980381E-4</v>
      </c>
      <c r="I195" s="4">
        <v>0.20108015616284111</v>
      </c>
      <c r="J195" s="4">
        <v>-2.2408375398774581E-2</v>
      </c>
      <c r="K195" s="5">
        <v>4</v>
      </c>
      <c r="L195" s="5">
        <v>2</v>
      </c>
      <c r="M195" s="5">
        <v>3</v>
      </c>
    </row>
    <row r="196" spans="1:13" hidden="1" x14ac:dyDescent="0.25">
      <c r="A196" t="s">
        <v>206</v>
      </c>
      <c r="B196" s="1">
        <v>0.41878299708482319</v>
      </c>
      <c r="C196" s="2">
        <v>1.1932605289975009E-4</v>
      </c>
      <c r="D196" s="2"/>
      <c r="E196" s="2">
        <v>2.8313552336153149</v>
      </c>
      <c r="F196" s="3">
        <v>345.1542088386646</v>
      </c>
      <c r="G196" s="3">
        <v>1</v>
      </c>
      <c r="H196" s="2">
        <v>5.4188793757450959E-5</v>
      </c>
      <c r="I196" s="4">
        <v>0</v>
      </c>
      <c r="J196" s="4">
        <v>2.8313552336153149</v>
      </c>
      <c r="K196" s="5">
        <v>1</v>
      </c>
      <c r="L196" s="5">
        <v>0</v>
      </c>
      <c r="M196" s="5">
        <v>0</v>
      </c>
    </row>
    <row r="197" spans="1:13" hidden="1" x14ac:dyDescent="0.25">
      <c r="A197" t="s">
        <v>207</v>
      </c>
      <c r="B197" s="1">
        <v>0.40889634584983869</v>
      </c>
      <c r="C197" s="2">
        <v>1.165089971059873E-4</v>
      </c>
      <c r="D197" s="2"/>
      <c r="E197" s="2">
        <v>-0.1133113314886864</v>
      </c>
      <c r="F197" s="3">
        <v>79.878869800711229</v>
      </c>
      <c r="G197" s="3">
        <v>4</v>
      </c>
      <c r="H197" s="2">
        <v>2.1675517502980381E-4</v>
      </c>
      <c r="I197" s="4">
        <v>8.3266726846886741E-17</v>
      </c>
      <c r="J197" s="4">
        <v>-0.1133113314886865</v>
      </c>
      <c r="K197" s="5">
        <v>4</v>
      </c>
      <c r="L197" s="5">
        <v>0</v>
      </c>
      <c r="M197" s="5">
        <v>2</v>
      </c>
    </row>
    <row r="198" spans="1:13" hidden="1" x14ac:dyDescent="0.25">
      <c r="A198" t="s">
        <v>208</v>
      </c>
      <c r="B198" s="1">
        <v>0.40824855996619658</v>
      </c>
      <c r="C198" s="2">
        <v>1.163244200501917E-4</v>
      </c>
      <c r="D198" s="2"/>
      <c r="E198" s="2">
        <v>0.27102665389787761</v>
      </c>
      <c r="F198" s="3">
        <v>114.50261653890389</v>
      </c>
      <c r="G198" s="3">
        <v>3</v>
      </c>
      <c r="H198" s="2">
        <v>1.6256638127235291E-4</v>
      </c>
      <c r="I198" s="4">
        <v>2.2204460492503131E-16</v>
      </c>
      <c r="J198" s="4">
        <v>0.27102665389787739</v>
      </c>
      <c r="K198" s="5">
        <v>3</v>
      </c>
      <c r="L198" s="5">
        <v>0</v>
      </c>
      <c r="M198" s="5">
        <v>3</v>
      </c>
    </row>
    <row r="199" spans="1:13" hidden="1" x14ac:dyDescent="0.25">
      <c r="A199" t="s">
        <v>209</v>
      </c>
      <c r="B199" s="1">
        <v>0.40339378728880299</v>
      </c>
      <c r="C199" s="2">
        <v>1.1494112401059249E-4</v>
      </c>
      <c r="D199" s="2"/>
      <c r="E199" s="2">
        <v>0.83629272239184171</v>
      </c>
      <c r="F199" s="3">
        <v>165.42558002257809</v>
      </c>
      <c r="G199" s="3">
        <v>5</v>
      </c>
      <c r="H199" s="2">
        <v>2.7094396878725479E-4</v>
      </c>
      <c r="I199" s="4">
        <v>0</v>
      </c>
      <c r="J199" s="4">
        <v>0.83629272239184171</v>
      </c>
      <c r="K199" s="5">
        <v>5</v>
      </c>
      <c r="L199" s="5">
        <v>0</v>
      </c>
      <c r="M199" s="5">
        <v>0</v>
      </c>
    </row>
    <row r="200" spans="1:13" hidden="1" x14ac:dyDescent="0.25">
      <c r="A200" t="s">
        <v>210</v>
      </c>
      <c r="B200" s="1">
        <v>0.40306591020579652</v>
      </c>
      <c r="C200" s="2">
        <v>1.148477002602879E-4</v>
      </c>
      <c r="D200" s="2"/>
      <c r="E200" s="2">
        <v>0.80332601066556475</v>
      </c>
      <c r="F200" s="3">
        <v>162.45571724293751</v>
      </c>
      <c r="G200" s="3">
        <v>2</v>
      </c>
      <c r="H200" s="2">
        <v>1.083775875149019E-4</v>
      </c>
      <c r="I200" s="4">
        <v>0</v>
      </c>
      <c r="J200" s="4">
        <v>0.80332601066556475</v>
      </c>
      <c r="K200" s="5">
        <v>2</v>
      </c>
      <c r="L200" s="5">
        <v>0</v>
      </c>
      <c r="M200" s="5">
        <v>0</v>
      </c>
    </row>
    <row r="201" spans="1:13" hidden="1" x14ac:dyDescent="0.25">
      <c r="A201" t="s">
        <v>211</v>
      </c>
      <c r="B201" s="1">
        <v>0.40106733753273438</v>
      </c>
      <c r="C201" s="2">
        <v>1.142782363847965E-4</v>
      </c>
      <c r="D201" s="2"/>
      <c r="E201" s="2">
        <v>-0.3099410640832313</v>
      </c>
      <c r="F201" s="3">
        <v>62.165143025293553</v>
      </c>
      <c r="G201" s="3">
        <v>3</v>
      </c>
      <c r="H201" s="2">
        <v>1.6256638127235291E-4</v>
      </c>
      <c r="I201" s="4">
        <v>2.2204460492503131E-16</v>
      </c>
      <c r="J201" s="4">
        <v>-0.30994106408323158</v>
      </c>
      <c r="K201" s="5">
        <v>3</v>
      </c>
      <c r="L201" s="5">
        <v>0</v>
      </c>
      <c r="M201" s="5">
        <v>3</v>
      </c>
    </row>
    <row r="202" spans="1:13" hidden="1" x14ac:dyDescent="0.25">
      <c r="A202" t="s">
        <v>212</v>
      </c>
      <c r="B202" s="1">
        <v>0.39999884465445412</v>
      </c>
      <c r="C202" s="2">
        <v>1.139737850613087E-4</v>
      </c>
      <c r="D202" s="2"/>
      <c r="E202" s="2">
        <v>2.8061115959310921</v>
      </c>
      <c r="F202" s="3">
        <v>342.88009243289179</v>
      </c>
      <c r="G202" s="3">
        <v>2</v>
      </c>
      <c r="H202" s="2">
        <v>1.083775875149019E-4</v>
      </c>
      <c r="I202" s="4">
        <v>0</v>
      </c>
      <c r="J202" s="4">
        <v>2.8061115959310921</v>
      </c>
      <c r="K202" s="5">
        <v>2</v>
      </c>
      <c r="L202" s="5">
        <v>0</v>
      </c>
      <c r="M202" s="5">
        <v>0</v>
      </c>
    </row>
    <row r="203" spans="1:13" hidden="1" x14ac:dyDescent="0.25">
      <c r="A203" t="s">
        <v>213</v>
      </c>
      <c r="B203" s="1">
        <v>0.39955107702647752</v>
      </c>
      <c r="C203" s="2">
        <v>1.138462002643263E-4</v>
      </c>
      <c r="D203" s="2"/>
      <c r="E203" s="2">
        <v>-0.51428891584908554</v>
      </c>
      <c r="F203" s="3">
        <v>43.756116244038992</v>
      </c>
      <c r="G203" s="3">
        <v>5</v>
      </c>
      <c r="H203" s="2">
        <v>2.7094396878725479E-4</v>
      </c>
      <c r="I203" s="4">
        <v>-0.15626691682510691</v>
      </c>
      <c r="J203" s="4">
        <v>-0.35802199902397858</v>
      </c>
      <c r="K203" s="5">
        <v>5</v>
      </c>
      <c r="L203" s="5">
        <v>0</v>
      </c>
      <c r="M203" s="5">
        <v>0</v>
      </c>
    </row>
    <row r="204" spans="1:13" hidden="1" x14ac:dyDescent="0.25">
      <c r="A204" t="s">
        <v>214</v>
      </c>
      <c r="B204" s="1">
        <v>0.39411930206588769</v>
      </c>
      <c r="C204" s="2">
        <v>1.1229849591434391E-4</v>
      </c>
      <c r="D204" s="2"/>
      <c r="E204" s="2">
        <v>0.16001838138602281</v>
      </c>
      <c r="F204" s="3">
        <v>104.5022458770529</v>
      </c>
      <c r="G204" s="3">
        <v>4</v>
      </c>
      <c r="H204" s="2">
        <v>2.1675517502980381E-4</v>
      </c>
      <c r="I204" s="4">
        <v>-1.6653345369377351E-16</v>
      </c>
      <c r="J204" s="4">
        <v>0.1600183813860229</v>
      </c>
      <c r="K204" s="5">
        <v>4</v>
      </c>
      <c r="L204" s="5">
        <v>0</v>
      </c>
      <c r="M204" s="5">
        <v>2</v>
      </c>
    </row>
    <row r="205" spans="1:13" hidden="1" x14ac:dyDescent="0.25">
      <c r="A205" t="s">
        <v>215</v>
      </c>
      <c r="B205" s="1">
        <v>0.39291045151288873</v>
      </c>
      <c r="C205" s="2">
        <v>1.119540517367169E-4</v>
      </c>
      <c r="D205" s="2"/>
      <c r="E205" s="2">
        <v>-0.48606271698195319</v>
      </c>
      <c r="F205" s="3">
        <v>46.298921790502213</v>
      </c>
      <c r="G205" s="3">
        <v>8</v>
      </c>
      <c r="H205" s="2">
        <v>4.3351035005960773E-4</v>
      </c>
      <c r="I205" s="4">
        <v>-0.1860388436262134</v>
      </c>
      <c r="J205" s="4">
        <v>-0.30002387335573988</v>
      </c>
      <c r="K205" s="5">
        <v>8</v>
      </c>
      <c r="L205" s="5">
        <v>0</v>
      </c>
      <c r="M205" s="5">
        <v>8</v>
      </c>
    </row>
    <row r="206" spans="1:13" hidden="1" x14ac:dyDescent="0.25">
      <c r="A206" t="s">
        <v>216</v>
      </c>
      <c r="B206" s="1">
        <v>0.39099817946062221</v>
      </c>
      <c r="C206" s="2">
        <v>1.114091779532637E-4</v>
      </c>
      <c r="D206" s="2"/>
      <c r="E206" s="2">
        <v>-0.33653011271706001</v>
      </c>
      <c r="F206" s="3">
        <v>59.769822966098182</v>
      </c>
      <c r="G206" s="3">
        <v>4</v>
      </c>
      <c r="H206" s="2">
        <v>2.1675517502980381E-4</v>
      </c>
      <c r="I206" s="4">
        <v>-2.2204460492503131E-16</v>
      </c>
      <c r="J206" s="4">
        <v>-0.33653011271705979</v>
      </c>
      <c r="K206" s="5">
        <v>4</v>
      </c>
      <c r="L206" s="5">
        <v>0</v>
      </c>
      <c r="M206" s="5">
        <v>0</v>
      </c>
    </row>
    <row r="207" spans="1:13" hidden="1" x14ac:dyDescent="0.25">
      <c r="A207" t="s">
        <v>217</v>
      </c>
      <c r="B207" s="1">
        <v>0.3894998056995394</v>
      </c>
      <c r="C207" s="2">
        <v>1.1098223839763899E-4</v>
      </c>
      <c r="D207" s="2"/>
      <c r="E207" s="2">
        <v>4.7343908154857246</v>
      </c>
      <c r="F207" s="3">
        <v>516.59243385349976</v>
      </c>
      <c r="G207" s="3">
        <v>5</v>
      </c>
      <c r="H207" s="2">
        <v>2.7094396878725479E-4</v>
      </c>
      <c r="I207" s="4">
        <v>0.42430686057325229</v>
      </c>
      <c r="J207" s="4">
        <v>4.3100839549124723</v>
      </c>
      <c r="K207" s="5">
        <v>5</v>
      </c>
      <c r="L207" s="5">
        <v>0</v>
      </c>
      <c r="M207" s="5">
        <v>4</v>
      </c>
    </row>
    <row r="208" spans="1:13" hidden="1" x14ac:dyDescent="0.25">
      <c r="A208" t="s">
        <v>218</v>
      </c>
      <c r="B208" s="1">
        <v>0.38887285091679458</v>
      </c>
      <c r="C208" s="2">
        <v>1.10803596857528E-4</v>
      </c>
      <c r="D208" s="2"/>
      <c r="E208" s="2">
        <v>0.32030025718811972</v>
      </c>
      <c r="F208" s="3">
        <v>118.9415136192526</v>
      </c>
      <c r="G208" s="3">
        <v>3</v>
      </c>
      <c r="H208" s="2">
        <v>1.6256638127235291E-4</v>
      </c>
      <c r="I208" s="4">
        <v>1.6653345369377351E-16</v>
      </c>
      <c r="J208" s="4">
        <v>0.32030025718811961</v>
      </c>
      <c r="K208" s="5">
        <v>3</v>
      </c>
      <c r="L208" s="5">
        <v>3</v>
      </c>
      <c r="M208" s="5">
        <v>3</v>
      </c>
    </row>
    <row r="209" spans="1:13" hidden="1" x14ac:dyDescent="0.25">
      <c r="A209" t="s">
        <v>219</v>
      </c>
      <c r="B209" s="1">
        <v>0.37979390835463811</v>
      </c>
      <c r="C209" s="2">
        <v>1.082166857651795E-4</v>
      </c>
      <c r="D209" s="2"/>
      <c r="E209" s="2">
        <v>-0.50216385604368818</v>
      </c>
      <c r="F209" s="3">
        <v>44.848423056922122</v>
      </c>
      <c r="G209" s="3">
        <v>4</v>
      </c>
      <c r="H209" s="2">
        <v>2.1675517502980381E-4</v>
      </c>
      <c r="I209" s="4">
        <v>0</v>
      </c>
      <c r="J209" s="4">
        <v>-0.50216385604368818</v>
      </c>
      <c r="K209" s="5">
        <v>4</v>
      </c>
      <c r="L209" s="5">
        <v>0</v>
      </c>
      <c r="M209" s="5">
        <v>1</v>
      </c>
    </row>
    <row r="210" spans="1:13" hidden="1" x14ac:dyDescent="0.25">
      <c r="A210" t="s">
        <v>220</v>
      </c>
      <c r="B210" s="1">
        <v>0.37480566629294021</v>
      </c>
      <c r="C210" s="2">
        <v>1.0679535958843789E-4</v>
      </c>
      <c r="D210" s="2"/>
      <c r="E210" s="2">
        <v>0.20705243244181809</v>
      </c>
      <c r="F210" s="3">
        <v>108.7393890524514</v>
      </c>
      <c r="G210" s="3">
        <v>9</v>
      </c>
      <c r="H210" s="2">
        <v>4.876991438170586E-4</v>
      </c>
      <c r="I210" s="4">
        <v>9.2601634564190391E-2</v>
      </c>
      <c r="J210" s="4">
        <v>0.1144507978776278</v>
      </c>
      <c r="K210" s="5">
        <v>9</v>
      </c>
      <c r="L210" s="5">
        <v>8</v>
      </c>
      <c r="M210" s="5">
        <v>0</v>
      </c>
    </row>
    <row r="211" spans="1:13" hidden="1" x14ac:dyDescent="0.25">
      <c r="A211" t="s">
        <v>221</v>
      </c>
      <c r="B211" s="1">
        <v>0.3735097256667107</v>
      </c>
      <c r="C211" s="2">
        <v>1.064261003759177E-4</v>
      </c>
      <c r="D211" s="2"/>
      <c r="E211" s="2">
        <v>1.99976848415449</v>
      </c>
      <c r="F211" s="3">
        <v>270.23928994193068</v>
      </c>
      <c r="G211" s="3">
        <v>3</v>
      </c>
      <c r="H211" s="2">
        <v>1.6256638127235291E-4</v>
      </c>
      <c r="I211" s="4">
        <v>0</v>
      </c>
      <c r="J211" s="4">
        <v>1.99976848415449</v>
      </c>
      <c r="K211" s="5">
        <v>3</v>
      </c>
      <c r="L211" s="5">
        <v>0</v>
      </c>
      <c r="M211" s="5">
        <v>0</v>
      </c>
    </row>
    <row r="212" spans="1:13" hidden="1" x14ac:dyDescent="0.25">
      <c r="A212" t="s">
        <v>222</v>
      </c>
      <c r="B212" s="1">
        <v>0.37045766736808011</v>
      </c>
      <c r="C212" s="2">
        <v>1.055564612727768E-4</v>
      </c>
      <c r="D212" s="2"/>
      <c r="E212" s="2">
        <v>-0.57172349693773938</v>
      </c>
      <c r="F212" s="3">
        <v>38.5820234787152</v>
      </c>
      <c r="G212" s="3">
        <v>11</v>
      </c>
      <c r="H212" s="2">
        <v>5.9607673133196056E-4</v>
      </c>
      <c r="I212" s="4">
        <v>-0.25712412544588847</v>
      </c>
      <c r="J212" s="4">
        <v>-0.31459937149185091</v>
      </c>
      <c r="K212" s="5">
        <v>11</v>
      </c>
      <c r="L212" s="5">
        <v>0</v>
      </c>
      <c r="M212" s="5">
        <v>6</v>
      </c>
    </row>
    <row r="213" spans="1:13" hidden="1" x14ac:dyDescent="0.25">
      <c r="A213" t="s">
        <v>223</v>
      </c>
      <c r="B213" s="1">
        <v>0.36983892842063087</v>
      </c>
      <c r="C213" s="2">
        <v>1.0538016071404249E-4</v>
      </c>
      <c r="D213" s="2"/>
      <c r="E213" s="2">
        <v>0.67261453093405543</v>
      </c>
      <c r="F213" s="3">
        <v>150.68034935821939</v>
      </c>
      <c r="G213" s="3">
        <v>1</v>
      </c>
      <c r="H213" s="2">
        <v>5.4188793757450959E-5</v>
      </c>
      <c r="I213" s="4">
        <v>0</v>
      </c>
      <c r="J213" s="4">
        <v>0.67261453093405543</v>
      </c>
      <c r="K213" s="5">
        <v>1</v>
      </c>
      <c r="L213" s="5">
        <v>0</v>
      </c>
      <c r="M213" s="5">
        <v>1</v>
      </c>
    </row>
    <row r="214" spans="1:13" hidden="1" x14ac:dyDescent="0.25">
      <c r="A214" t="s">
        <v>224</v>
      </c>
      <c r="B214" s="1">
        <v>0.36982245532221591</v>
      </c>
      <c r="C214" s="2">
        <v>1.053754669470401E-4</v>
      </c>
      <c r="D214" s="2"/>
      <c r="E214" s="2">
        <v>0.30029873656873618</v>
      </c>
      <c r="F214" s="3">
        <v>117.13964232201999</v>
      </c>
      <c r="G214" s="3">
        <v>3</v>
      </c>
      <c r="H214" s="2">
        <v>1.6256638127235291E-4</v>
      </c>
      <c r="I214" s="4">
        <v>5.5511151231257827E-17</v>
      </c>
      <c r="J214" s="4">
        <v>0.30029873656873612</v>
      </c>
      <c r="K214" s="5">
        <v>3</v>
      </c>
      <c r="L214" s="5">
        <v>1</v>
      </c>
      <c r="M214" s="5">
        <v>1</v>
      </c>
    </row>
    <row r="215" spans="1:13" hidden="1" x14ac:dyDescent="0.25">
      <c r="A215" t="s">
        <v>225</v>
      </c>
      <c r="B215" s="1">
        <v>0.36817835079546662</v>
      </c>
      <c r="C215" s="2">
        <v>1.049070035540723E-4</v>
      </c>
      <c r="D215" s="2"/>
      <c r="E215" s="2">
        <v>0.59318410943888389</v>
      </c>
      <c r="F215" s="3">
        <v>143.5247235764206</v>
      </c>
      <c r="G215" s="3">
        <v>1</v>
      </c>
      <c r="H215" s="2">
        <v>5.4188793757450959E-5</v>
      </c>
      <c r="I215" s="4">
        <v>0</v>
      </c>
      <c r="J215" s="4">
        <v>0.59318410943888389</v>
      </c>
      <c r="K215" s="5">
        <v>1</v>
      </c>
      <c r="L215" s="5">
        <v>0</v>
      </c>
      <c r="M215" s="5">
        <v>1</v>
      </c>
    </row>
    <row r="216" spans="1:13" hidden="1" x14ac:dyDescent="0.25">
      <c r="A216" t="s">
        <v>226</v>
      </c>
      <c r="B216" s="1">
        <v>0.36777856641070278</v>
      </c>
      <c r="C216" s="2">
        <v>1.047930908762012E-4</v>
      </c>
      <c r="D216" s="2"/>
      <c r="E216" s="2">
        <v>9.6913226456741164E-2</v>
      </c>
      <c r="F216" s="3">
        <v>98.817309739532476</v>
      </c>
      <c r="G216" s="3">
        <v>7</v>
      </c>
      <c r="H216" s="2">
        <v>3.7932155630215669E-4</v>
      </c>
      <c r="I216" s="4">
        <v>6.9388939039072284E-17</v>
      </c>
      <c r="J216" s="4">
        <v>9.6913226456741094E-2</v>
      </c>
      <c r="K216" s="5">
        <v>7</v>
      </c>
      <c r="L216" s="5">
        <v>0</v>
      </c>
      <c r="M216" s="5">
        <v>0</v>
      </c>
    </row>
    <row r="217" spans="1:13" hidden="1" x14ac:dyDescent="0.25">
      <c r="A217" t="s">
        <v>227</v>
      </c>
      <c r="B217" s="1">
        <v>0.36382205421810287</v>
      </c>
      <c r="C217" s="2">
        <v>1.036657409444248E-4</v>
      </c>
      <c r="D217" s="2"/>
      <c r="E217" s="2">
        <v>0.47677252719753938</v>
      </c>
      <c r="F217" s="3">
        <v>133.0375864883114</v>
      </c>
      <c r="G217" s="3">
        <v>7</v>
      </c>
      <c r="H217" s="2">
        <v>3.7932155630215669E-4</v>
      </c>
      <c r="I217" s="4">
        <v>3.3306690738754701E-16</v>
      </c>
      <c r="J217" s="4">
        <v>0.4767725271975391</v>
      </c>
      <c r="K217" s="5">
        <v>6</v>
      </c>
      <c r="L217" s="5">
        <v>1</v>
      </c>
      <c r="M217" s="5">
        <v>0</v>
      </c>
    </row>
    <row r="218" spans="1:13" hidden="1" x14ac:dyDescent="0.25">
      <c r="A218" t="s">
        <v>228</v>
      </c>
      <c r="B218" s="1">
        <v>0.36250381694486888</v>
      </c>
      <c r="C218" s="2">
        <v>1.0329012863042131E-4</v>
      </c>
      <c r="D218" s="2"/>
      <c r="E218" s="2">
        <v>3.3972460453749291</v>
      </c>
      <c r="F218" s="3">
        <v>396.13345339116029</v>
      </c>
      <c r="G218" s="3">
        <v>2</v>
      </c>
      <c r="H218" s="2">
        <v>1.083775875149019E-4</v>
      </c>
      <c r="I218" s="4">
        <v>0.6319708884120141</v>
      </c>
      <c r="J218" s="4">
        <v>2.765275156962915</v>
      </c>
      <c r="K218" s="5">
        <v>2</v>
      </c>
      <c r="L218" s="5">
        <v>0</v>
      </c>
      <c r="M218" s="5">
        <v>2</v>
      </c>
    </row>
    <row r="219" spans="1:13" hidden="1" x14ac:dyDescent="0.25">
      <c r="A219" t="s">
        <v>229</v>
      </c>
      <c r="B219" s="1">
        <v>0.36149605017076752</v>
      </c>
      <c r="C219" s="2">
        <v>1.030029803167741E-4</v>
      </c>
      <c r="D219" s="2"/>
      <c r="E219" s="2">
        <v>-7.9058737062336237E-2</v>
      </c>
      <c r="F219" s="3">
        <v>82.964573529295762</v>
      </c>
      <c r="G219" s="3">
        <v>2</v>
      </c>
      <c r="H219" s="2">
        <v>1.083775875149019E-4</v>
      </c>
      <c r="I219" s="4">
        <v>-2.6367796834847468E-16</v>
      </c>
      <c r="J219" s="4">
        <v>-7.9058737062335974E-2</v>
      </c>
      <c r="K219" s="5">
        <v>2</v>
      </c>
      <c r="L219" s="5">
        <v>0</v>
      </c>
      <c r="M219" s="5">
        <v>0</v>
      </c>
    </row>
    <row r="220" spans="1:13" hidden="1" x14ac:dyDescent="0.25">
      <c r="A220" t="s">
        <v>230</v>
      </c>
      <c r="B220" s="1">
        <v>0.36017455206991811</v>
      </c>
      <c r="C220" s="2">
        <v>1.026264388779226E-4</v>
      </c>
      <c r="D220" s="2"/>
      <c r="E220" s="2">
        <v>0.24506882370109739</v>
      </c>
      <c r="F220" s="3">
        <v>112.1641608754535</v>
      </c>
      <c r="G220" s="3">
        <v>1</v>
      </c>
      <c r="H220" s="2">
        <v>5.4188793757450959E-5</v>
      </c>
      <c r="I220" s="4">
        <v>1.110223024625157E-16</v>
      </c>
      <c r="J220" s="4">
        <v>0.24506882370109731</v>
      </c>
      <c r="K220" s="5">
        <v>1</v>
      </c>
      <c r="L220" s="5">
        <v>0</v>
      </c>
      <c r="M220" s="5">
        <v>1</v>
      </c>
    </row>
    <row r="221" spans="1:13" x14ac:dyDescent="0.25">
      <c r="A221" t="s">
        <v>231</v>
      </c>
      <c r="B221" s="1">
        <v>0.35589236168440741</v>
      </c>
      <c r="C221" s="2">
        <v>1.0140629173721921E-4</v>
      </c>
      <c r="D221" s="2"/>
      <c r="E221" s="2">
        <v>-0.2175292083432929</v>
      </c>
      <c r="F221" s="3">
        <v>70.490223580440457</v>
      </c>
      <c r="G221" s="3">
        <v>7</v>
      </c>
      <c r="H221" s="2">
        <v>3.7932155630215669E-4</v>
      </c>
      <c r="I221" s="4">
        <v>2.775557561562891E-17</v>
      </c>
      <c r="J221" s="4">
        <v>-0.21752920834329301</v>
      </c>
      <c r="K221" s="5">
        <v>7</v>
      </c>
      <c r="L221" s="5">
        <v>0</v>
      </c>
      <c r="M221" s="5">
        <v>0</v>
      </c>
    </row>
    <row r="222" spans="1:13" hidden="1" x14ac:dyDescent="0.25">
      <c r="A222" t="s">
        <v>232</v>
      </c>
      <c r="B222" s="1">
        <v>0.35574399811679758</v>
      </c>
      <c r="C222" s="2">
        <v>1.013640177217022E-4</v>
      </c>
      <c r="D222" s="2"/>
      <c r="E222" s="2">
        <v>2.3895995830959258</v>
      </c>
      <c r="F222" s="3">
        <v>305.35789323804801</v>
      </c>
      <c r="G222" s="3">
        <v>1</v>
      </c>
      <c r="H222" s="2">
        <v>5.4188793757450959E-5</v>
      </c>
      <c r="I222" s="4">
        <v>0</v>
      </c>
      <c r="J222" s="4">
        <v>2.3895995830959258</v>
      </c>
      <c r="K222" s="5">
        <v>1</v>
      </c>
      <c r="L222" s="5">
        <v>0</v>
      </c>
      <c r="M222" s="5">
        <v>1</v>
      </c>
    </row>
    <row r="223" spans="1:13" hidden="1" x14ac:dyDescent="0.25">
      <c r="A223" t="s">
        <v>233</v>
      </c>
      <c r="B223" s="1">
        <v>0.35224921261380138</v>
      </c>
      <c r="C223" s="2">
        <v>1.003682300161203E-4</v>
      </c>
      <c r="D223" s="2"/>
      <c r="E223" s="2">
        <v>0.44717075292659542</v>
      </c>
      <c r="F223" s="3">
        <v>130.37085987182189</v>
      </c>
      <c r="G223" s="3">
        <v>2</v>
      </c>
      <c r="H223" s="2">
        <v>1.083775875149019E-4</v>
      </c>
      <c r="I223" s="4">
        <v>-5.5511151231257827E-17</v>
      </c>
      <c r="J223" s="4">
        <v>0.44717075292659542</v>
      </c>
      <c r="K223" s="5">
        <v>2</v>
      </c>
      <c r="L223" s="5">
        <v>2</v>
      </c>
      <c r="M223" s="5">
        <v>0</v>
      </c>
    </row>
    <row r="224" spans="1:13" hidden="1" x14ac:dyDescent="0.25">
      <c r="A224" t="s">
        <v>234</v>
      </c>
      <c r="B224" s="1">
        <v>0.34861916754226541</v>
      </c>
      <c r="C224" s="2">
        <v>9.9333902086739623E-5</v>
      </c>
      <c r="D224" s="2"/>
      <c r="E224" s="2">
        <v>1.327850818919166</v>
      </c>
      <c r="F224" s="3">
        <v>209.70843440698661</v>
      </c>
      <c r="G224" s="3">
        <v>2</v>
      </c>
      <c r="H224" s="2">
        <v>1.083775875149019E-4</v>
      </c>
      <c r="I224" s="4">
        <v>0.65647797762960547</v>
      </c>
      <c r="J224" s="4">
        <v>0.6713728412895601</v>
      </c>
      <c r="K224" s="5">
        <v>2</v>
      </c>
      <c r="L224" s="5">
        <v>0</v>
      </c>
      <c r="M224" s="5">
        <v>0</v>
      </c>
    </row>
    <row r="225" spans="1:13" hidden="1" x14ac:dyDescent="0.25">
      <c r="A225" t="s">
        <v>235</v>
      </c>
      <c r="B225" s="1">
        <v>0.34855336672379822</v>
      </c>
      <c r="C225" s="2">
        <v>9.931515311173368E-5</v>
      </c>
      <c r="D225" s="2"/>
      <c r="E225" s="2">
        <v>-0.13661233471946799</v>
      </c>
      <c r="F225" s="3">
        <v>77.779758952229912</v>
      </c>
      <c r="G225" s="3">
        <v>1</v>
      </c>
      <c r="H225" s="2">
        <v>5.4188793757450959E-5</v>
      </c>
      <c r="I225" s="4">
        <v>2.775557561562891E-17</v>
      </c>
      <c r="J225" s="4">
        <v>-0.13661233471946799</v>
      </c>
      <c r="K225" s="5">
        <v>1</v>
      </c>
      <c r="L225" s="5">
        <v>0</v>
      </c>
      <c r="M225" s="5">
        <v>1</v>
      </c>
    </row>
    <row r="226" spans="1:13" hidden="1" x14ac:dyDescent="0.25">
      <c r="A226" t="s">
        <v>236</v>
      </c>
      <c r="B226" s="1">
        <v>0.34771369310308942</v>
      </c>
      <c r="C226" s="2">
        <v>9.9075900468764179E-5</v>
      </c>
      <c r="D226" s="2"/>
      <c r="E226" s="2">
        <v>0.68796533393539572</v>
      </c>
      <c r="F226" s="3">
        <v>152.06325278061129</v>
      </c>
      <c r="G226" s="3">
        <v>2</v>
      </c>
      <c r="H226" s="2">
        <v>1.083775875149019E-4</v>
      </c>
      <c r="I226" s="4">
        <v>2.2204460492503131E-16</v>
      </c>
      <c r="J226" s="4">
        <v>0.6879653339353955</v>
      </c>
      <c r="K226" s="5">
        <v>2</v>
      </c>
      <c r="L226" s="5">
        <v>0</v>
      </c>
      <c r="M226" s="5">
        <v>0</v>
      </c>
    </row>
    <row r="227" spans="1:13" hidden="1" x14ac:dyDescent="0.25">
      <c r="A227" t="s">
        <v>237</v>
      </c>
      <c r="B227" s="1">
        <v>0.34349169006878238</v>
      </c>
      <c r="C227" s="2">
        <v>9.7872902828168563E-5</v>
      </c>
      <c r="D227" s="2"/>
      <c r="E227" s="2">
        <v>-0.21615725189043711</v>
      </c>
      <c r="F227" s="3">
        <v>70.61381863106169</v>
      </c>
      <c r="G227" s="3">
        <v>5</v>
      </c>
      <c r="H227" s="2">
        <v>2.7094396878725479E-4</v>
      </c>
      <c r="I227" s="4">
        <v>1.110223024625157E-16</v>
      </c>
      <c r="J227" s="4">
        <v>-0.21615725189043719</v>
      </c>
      <c r="K227" s="5">
        <v>5</v>
      </c>
      <c r="L227" s="5">
        <v>3</v>
      </c>
      <c r="M227" s="5">
        <v>1</v>
      </c>
    </row>
    <row r="228" spans="1:13" hidden="1" x14ac:dyDescent="0.25">
      <c r="A228" t="s">
        <v>238</v>
      </c>
      <c r="B228" s="1">
        <v>0.34228215456982608</v>
      </c>
      <c r="C228" s="2">
        <v>9.7528263485269537E-5</v>
      </c>
      <c r="D228" s="2"/>
      <c r="E228" s="2">
        <v>0.13664566128575381</v>
      </c>
      <c r="F228" s="3">
        <v>102.3966742913548</v>
      </c>
      <c r="G228" s="3">
        <v>2</v>
      </c>
      <c r="H228" s="2">
        <v>1.083775875149019E-4</v>
      </c>
      <c r="I228" s="4">
        <v>-2.4980018054066022E-16</v>
      </c>
      <c r="J228" s="4">
        <v>0.13664566128575409</v>
      </c>
      <c r="K228" s="5">
        <v>2</v>
      </c>
      <c r="L228" s="5">
        <v>0</v>
      </c>
      <c r="M228" s="5">
        <v>0</v>
      </c>
    </row>
    <row r="229" spans="1:13" hidden="1" x14ac:dyDescent="0.25">
      <c r="A229" t="s">
        <v>239</v>
      </c>
      <c r="B229" s="1">
        <v>0.34212554199370088</v>
      </c>
      <c r="C229" s="2">
        <v>9.74836390361549E-5</v>
      </c>
      <c r="D229" s="2"/>
      <c r="E229" s="2">
        <v>-9.4554395649230627E-2</v>
      </c>
      <c r="F229" s="3">
        <v>81.568620542982131</v>
      </c>
      <c r="G229" s="3">
        <v>8</v>
      </c>
      <c r="H229" s="2">
        <v>4.3351035005960773E-4</v>
      </c>
      <c r="I229" s="4">
        <v>-5.0563023961031253E-2</v>
      </c>
      <c r="J229" s="4">
        <v>-4.3991371688199367E-2</v>
      </c>
      <c r="K229" s="5">
        <v>8</v>
      </c>
      <c r="L229" s="5">
        <v>0</v>
      </c>
      <c r="M229" s="5">
        <v>8</v>
      </c>
    </row>
    <row r="230" spans="1:13" hidden="1" x14ac:dyDescent="0.25">
      <c r="A230" t="s">
        <v>240</v>
      </c>
      <c r="B230" s="1">
        <v>0.34174716767562291</v>
      </c>
      <c r="C230" s="2">
        <v>9.7375826841750702E-5</v>
      </c>
      <c r="D230" s="2"/>
      <c r="E230" s="2">
        <v>0.56562620921126783</v>
      </c>
      <c r="F230" s="3">
        <v>141.04212285935199</v>
      </c>
      <c r="G230" s="3">
        <v>3</v>
      </c>
      <c r="H230" s="2">
        <v>1.6256638127235291E-4</v>
      </c>
      <c r="I230" s="4">
        <v>2.2204460492503131E-16</v>
      </c>
      <c r="J230" s="4">
        <v>0.56562620921126761</v>
      </c>
      <c r="K230" s="5">
        <v>3</v>
      </c>
      <c r="L230" s="5">
        <v>0</v>
      </c>
      <c r="M230" s="5">
        <v>0</v>
      </c>
    </row>
    <row r="231" spans="1:13" hidden="1" x14ac:dyDescent="0.25">
      <c r="A231" t="s">
        <v>241</v>
      </c>
      <c r="B231" s="1">
        <v>0.34147905915979598</v>
      </c>
      <c r="C231" s="2">
        <v>9.729943326520837E-5</v>
      </c>
      <c r="D231" s="2"/>
      <c r="E231" s="2">
        <v>0.18319389327074601</v>
      </c>
      <c r="F231" s="3">
        <v>106.59005162234639</v>
      </c>
      <c r="G231" s="3">
        <v>4</v>
      </c>
      <c r="H231" s="2">
        <v>2.1675517502980381E-4</v>
      </c>
      <c r="I231" s="4">
        <v>1.6653345369377351E-16</v>
      </c>
      <c r="J231" s="4">
        <v>0.18319389327074581</v>
      </c>
      <c r="K231" s="5">
        <v>4</v>
      </c>
      <c r="L231" s="5">
        <v>0</v>
      </c>
      <c r="M231" s="5">
        <v>4</v>
      </c>
    </row>
    <row r="232" spans="1:13" hidden="1" x14ac:dyDescent="0.25">
      <c r="A232" t="s">
        <v>242</v>
      </c>
      <c r="B232" s="1">
        <v>0.33979601033135137</v>
      </c>
      <c r="C232" s="2">
        <v>9.6819873266512497E-5</v>
      </c>
      <c r="D232" s="2"/>
      <c r="E232" s="2">
        <v>-0.12362734351395289</v>
      </c>
      <c r="F232" s="3">
        <v>78.949534160488923</v>
      </c>
      <c r="G232" s="3">
        <v>5</v>
      </c>
      <c r="H232" s="2">
        <v>2.7094396878725479E-4</v>
      </c>
      <c r="I232" s="4">
        <v>-1.3877787807814459E-16</v>
      </c>
      <c r="J232" s="4">
        <v>-0.1236273435139527</v>
      </c>
      <c r="K232" s="5">
        <v>5</v>
      </c>
      <c r="L232" s="5">
        <v>0</v>
      </c>
      <c r="M232" s="5">
        <v>4</v>
      </c>
    </row>
    <row r="233" spans="1:13" hidden="1" x14ac:dyDescent="0.25">
      <c r="A233" t="s">
        <v>243</v>
      </c>
      <c r="B233" s="1">
        <v>0.33605769625409032</v>
      </c>
      <c r="C233" s="2">
        <v>9.57546956770585E-5</v>
      </c>
      <c r="D233" s="2"/>
      <c r="E233" s="2">
        <v>0.57689885530988017</v>
      </c>
      <c r="F233" s="3">
        <v>142.05763852115959</v>
      </c>
      <c r="G233" s="3">
        <v>2</v>
      </c>
      <c r="H233" s="2">
        <v>1.083775875149019E-4</v>
      </c>
      <c r="I233" s="4">
        <v>0</v>
      </c>
      <c r="J233" s="4">
        <v>0.57689885530988017</v>
      </c>
      <c r="K233" s="5">
        <v>2</v>
      </c>
      <c r="L233" s="5">
        <v>0</v>
      </c>
      <c r="M233" s="5">
        <v>0</v>
      </c>
    </row>
    <row r="234" spans="1:13" hidden="1" x14ac:dyDescent="0.25">
      <c r="A234" t="s">
        <v>244</v>
      </c>
      <c r="B234" s="1">
        <v>0.33603414430495482</v>
      </c>
      <c r="C234" s="2">
        <v>9.5747984895703964E-5</v>
      </c>
      <c r="D234" s="2"/>
      <c r="E234" s="2">
        <v>0.22095015552582351</v>
      </c>
      <c r="F234" s="3">
        <v>109.9913892777586</v>
      </c>
      <c r="G234" s="3">
        <v>2</v>
      </c>
      <c r="H234" s="2">
        <v>1.083775875149019E-4</v>
      </c>
      <c r="I234" s="4">
        <v>2.4980018054066022E-16</v>
      </c>
      <c r="J234" s="4">
        <v>0.22095015552582331</v>
      </c>
      <c r="K234" s="5">
        <v>2</v>
      </c>
      <c r="L234" s="5">
        <v>0</v>
      </c>
      <c r="M234" s="5">
        <v>0</v>
      </c>
    </row>
    <row r="235" spans="1:13" hidden="1" x14ac:dyDescent="0.25">
      <c r="A235" t="s">
        <v>245</v>
      </c>
      <c r="B235" s="1">
        <v>0.33523112470180122</v>
      </c>
      <c r="C235" s="2">
        <v>9.5519176275696789E-5</v>
      </c>
      <c r="D235" s="2"/>
      <c r="E235" s="2">
        <v>1.935298806875229</v>
      </c>
      <c r="F235" s="3">
        <v>264.43142846769979</v>
      </c>
      <c r="G235" s="3">
        <v>1</v>
      </c>
      <c r="H235" s="2">
        <v>5.4188793757450959E-5</v>
      </c>
      <c r="I235" s="4">
        <v>0</v>
      </c>
      <c r="J235" s="4">
        <v>1.935298806875229</v>
      </c>
      <c r="K235" s="5">
        <v>1</v>
      </c>
      <c r="L235" s="5">
        <v>0</v>
      </c>
      <c r="M235" s="5">
        <v>0</v>
      </c>
    </row>
    <row r="236" spans="1:13" hidden="1" x14ac:dyDescent="0.25">
      <c r="A236" t="s">
        <v>246</v>
      </c>
      <c r="B236" s="1">
        <v>0.33488615507739922</v>
      </c>
      <c r="C236" s="2">
        <v>9.5420882257227213E-5</v>
      </c>
      <c r="D236" s="2"/>
      <c r="E236" s="2">
        <v>-0.25070169168183548</v>
      </c>
      <c r="F236" s="3">
        <v>67.501823512111542</v>
      </c>
      <c r="G236" s="3">
        <v>3</v>
      </c>
      <c r="H236" s="2">
        <v>1.6256638127235291E-4</v>
      </c>
      <c r="I236" s="4">
        <v>1.110223024625157E-16</v>
      </c>
      <c r="J236" s="4">
        <v>-0.25070169168183559</v>
      </c>
      <c r="K236" s="5">
        <v>3</v>
      </c>
      <c r="L236" s="5">
        <v>0</v>
      </c>
      <c r="M236" s="5">
        <v>0</v>
      </c>
    </row>
    <row r="237" spans="1:13" hidden="1" x14ac:dyDescent="0.25">
      <c r="A237" t="s">
        <v>247</v>
      </c>
      <c r="B237" s="1">
        <v>0.33473544722988929</v>
      </c>
      <c r="C237" s="2">
        <v>9.5377940273647278E-5</v>
      </c>
      <c r="D237" s="2"/>
      <c r="E237" s="2">
        <v>0.139204729861933</v>
      </c>
      <c r="F237" s="3">
        <v>102.6272123740743</v>
      </c>
      <c r="G237" s="3">
        <v>6</v>
      </c>
      <c r="H237" s="2">
        <v>3.2513276254470582E-4</v>
      </c>
      <c r="I237" s="4">
        <v>-2.8003884480775121E-2</v>
      </c>
      <c r="J237" s="4">
        <v>0.16720861434270809</v>
      </c>
      <c r="K237" s="5">
        <v>6</v>
      </c>
      <c r="L237" s="5">
        <v>0</v>
      </c>
      <c r="M237" s="5">
        <v>6</v>
      </c>
    </row>
    <row r="238" spans="1:13" hidden="1" x14ac:dyDescent="0.25">
      <c r="A238" t="s">
        <v>248</v>
      </c>
      <c r="B238" s="1">
        <v>0.33364936427442732</v>
      </c>
      <c r="C238" s="2">
        <v>9.5068476916493051E-5</v>
      </c>
      <c r="D238" s="2"/>
      <c r="E238" s="2">
        <v>0.73131758363251276</v>
      </c>
      <c r="F238" s="3">
        <v>155.9687145645517</v>
      </c>
      <c r="G238" s="3">
        <v>1</v>
      </c>
      <c r="H238" s="2">
        <v>5.4188793757450959E-5</v>
      </c>
      <c r="I238" s="4">
        <v>0</v>
      </c>
      <c r="J238" s="4">
        <v>0.73131758363251276</v>
      </c>
      <c r="K238" s="5">
        <v>1</v>
      </c>
      <c r="L238" s="5">
        <v>0</v>
      </c>
      <c r="M238" s="5">
        <v>1</v>
      </c>
    </row>
    <row r="239" spans="1:13" hidden="1" x14ac:dyDescent="0.25">
      <c r="A239" t="s">
        <v>249</v>
      </c>
      <c r="B239" s="1">
        <v>0.33020794268360321</v>
      </c>
      <c r="C239" s="2">
        <v>9.4087894472469328E-5</v>
      </c>
      <c r="D239" s="2"/>
      <c r="E239" s="2">
        <v>-6.5392844061915145E-2</v>
      </c>
      <c r="F239" s="3">
        <v>84.195688943823185</v>
      </c>
      <c r="G239" s="3">
        <v>1</v>
      </c>
      <c r="H239" s="2">
        <v>5.4188793757450959E-5</v>
      </c>
      <c r="I239" s="4">
        <v>-2.775557561562891E-17</v>
      </c>
      <c r="J239" s="4">
        <v>-6.5392844061915117E-2</v>
      </c>
      <c r="K239" s="5">
        <v>1</v>
      </c>
      <c r="L239" s="5">
        <v>0</v>
      </c>
      <c r="M239" s="5">
        <v>0</v>
      </c>
    </row>
    <row r="240" spans="1:13" hidden="1" x14ac:dyDescent="0.25">
      <c r="A240" t="s">
        <v>250</v>
      </c>
      <c r="B240" s="1">
        <v>0.32783970966805381</v>
      </c>
      <c r="C240" s="2">
        <v>9.341310132169788E-5</v>
      </c>
      <c r="D240" s="2"/>
      <c r="E240" s="2">
        <v>2.913004171923042</v>
      </c>
      <c r="F240" s="3">
        <v>352.50969351334669</v>
      </c>
      <c r="G240" s="3">
        <v>1</v>
      </c>
      <c r="H240" s="2">
        <v>5.4188793757450959E-5</v>
      </c>
      <c r="I240" s="4">
        <v>0</v>
      </c>
      <c r="J240" s="4">
        <v>2.913004171923042</v>
      </c>
      <c r="K240" s="5">
        <v>1</v>
      </c>
      <c r="L240" s="5">
        <v>0</v>
      </c>
      <c r="M240" s="5">
        <v>1</v>
      </c>
    </row>
    <row r="241" spans="1:13" hidden="1" x14ac:dyDescent="0.25">
      <c r="A241" t="s">
        <v>251</v>
      </c>
      <c r="B241" s="1">
        <v>0.32732178390764111</v>
      </c>
      <c r="C241" s="2">
        <v>9.326552599720915E-5</v>
      </c>
      <c r="D241" s="2"/>
      <c r="E241" s="2">
        <v>-8.7902760898569299E-2</v>
      </c>
      <c r="F241" s="3">
        <v>82.167844470250799</v>
      </c>
      <c r="G241" s="3">
        <v>1</v>
      </c>
      <c r="H241" s="2">
        <v>5.4188793757450959E-5</v>
      </c>
      <c r="I241" s="4">
        <v>0</v>
      </c>
      <c r="J241" s="4">
        <v>-8.7902760898569299E-2</v>
      </c>
      <c r="K241" s="5">
        <v>1</v>
      </c>
      <c r="L241" s="5">
        <v>0</v>
      </c>
      <c r="M241" s="5">
        <v>0</v>
      </c>
    </row>
    <row r="242" spans="1:13" hidden="1" x14ac:dyDescent="0.25">
      <c r="A242" t="s">
        <v>252</v>
      </c>
      <c r="B242" s="1">
        <v>0.32533431544423058</v>
      </c>
      <c r="C242" s="2">
        <v>9.2699226102866818E-5</v>
      </c>
      <c r="D242" s="2"/>
      <c r="E242" s="2">
        <v>0.50158575236554159</v>
      </c>
      <c r="F242" s="3">
        <v>135.27292844419571</v>
      </c>
      <c r="G242" s="3">
        <v>6</v>
      </c>
      <c r="H242" s="2">
        <v>3.2513276254470582E-4</v>
      </c>
      <c r="I242" s="4">
        <v>1.110223024625157E-16</v>
      </c>
      <c r="J242" s="4">
        <v>0.50158575236554148</v>
      </c>
      <c r="K242" s="5">
        <v>6</v>
      </c>
      <c r="L242" s="5">
        <v>0</v>
      </c>
      <c r="M242" s="5">
        <v>0</v>
      </c>
    </row>
    <row r="243" spans="1:13" hidden="1" x14ac:dyDescent="0.25">
      <c r="A243" t="s">
        <v>253</v>
      </c>
      <c r="B243" s="1">
        <v>0.32314379100209589</v>
      </c>
      <c r="C243" s="2">
        <v>9.2075068395223745E-5</v>
      </c>
      <c r="D243" s="2"/>
      <c r="E243" s="2">
        <v>0.83751586498622665</v>
      </c>
      <c r="F243" s="3">
        <v>165.53576892147149</v>
      </c>
      <c r="G243" s="3">
        <v>1</v>
      </c>
      <c r="H243" s="2">
        <v>5.4188793757450959E-5</v>
      </c>
      <c r="I243" s="4">
        <v>1.110223024625157E-16</v>
      </c>
      <c r="J243" s="4">
        <v>0.83751586498622654</v>
      </c>
      <c r="K243" s="5">
        <v>1</v>
      </c>
      <c r="L243" s="5">
        <v>0</v>
      </c>
      <c r="M243" s="5">
        <v>1</v>
      </c>
    </row>
    <row r="244" spans="1:13" hidden="1" x14ac:dyDescent="0.25">
      <c r="A244" t="s">
        <v>254</v>
      </c>
      <c r="B244" s="1">
        <v>0.32038175042719541</v>
      </c>
      <c r="C244" s="2">
        <v>9.1288065575037422E-5</v>
      </c>
      <c r="D244" s="2"/>
      <c r="E244" s="2">
        <v>0.64080656058161578</v>
      </c>
      <c r="F244" s="3">
        <v>147.8148737830401</v>
      </c>
      <c r="G244" s="3">
        <v>1</v>
      </c>
      <c r="H244" s="2">
        <v>5.4188793757450959E-5</v>
      </c>
      <c r="I244" s="4">
        <v>-1.110223024625157E-16</v>
      </c>
      <c r="J244" s="4">
        <v>0.64080656058161589</v>
      </c>
      <c r="K244" s="5">
        <v>1</v>
      </c>
      <c r="L244" s="5">
        <v>0</v>
      </c>
      <c r="M244" s="5">
        <v>0</v>
      </c>
    </row>
    <row r="245" spans="1:13" hidden="1" x14ac:dyDescent="0.25">
      <c r="A245" t="s">
        <v>255</v>
      </c>
      <c r="B245" s="1">
        <v>0.31067323739321401</v>
      </c>
      <c r="C245" s="2">
        <v>8.8521767640462631E-5</v>
      </c>
      <c r="D245" s="2"/>
      <c r="E245" s="2">
        <v>0.64776675171482667</v>
      </c>
      <c r="F245" s="3">
        <v>148.44189454135341</v>
      </c>
      <c r="G245" s="3">
        <v>1</v>
      </c>
      <c r="H245" s="2">
        <v>5.4188793757450959E-5</v>
      </c>
      <c r="I245" s="4">
        <v>0</v>
      </c>
      <c r="J245" s="4">
        <v>0.64776675171482667</v>
      </c>
      <c r="K245" s="5">
        <v>1</v>
      </c>
      <c r="L245" s="5">
        <v>0</v>
      </c>
      <c r="M245" s="5">
        <v>0</v>
      </c>
    </row>
    <row r="246" spans="1:13" hidden="1" x14ac:dyDescent="0.25">
      <c r="A246" t="s">
        <v>256</v>
      </c>
      <c r="B246" s="1">
        <v>0.31033717820814899</v>
      </c>
      <c r="C246" s="2">
        <v>8.842601252057084E-5</v>
      </c>
      <c r="D246" s="2"/>
      <c r="E246" s="2">
        <v>0.2011774303854286</v>
      </c>
      <c r="F246" s="3">
        <v>108.21012941374509</v>
      </c>
      <c r="G246" s="3">
        <v>3</v>
      </c>
      <c r="H246" s="2">
        <v>1.6256638127235291E-4</v>
      </c>
      <c r="I246" s="4">
        <v>-2.4980018054066022E-16</v>
      </c>
      <c r="J246" s="4">
        <v>0.20117743038542879</v>
      </c>
      <c r="K246" s="5">
        <v>3</v>
      </c>
      <c r="L246" s="5">
        <v>2</v>
      </c>
      <c r="M246" s="5">
        <v>0</v>
      </c>
    </row>
    <row r="247" spans="1:13" hidden="1" x14ac:dyDescent="0.25">
      <c r="A247" t="s">
        <v>257</v>
      </c>
      <c r="B247" s="1">
        <v>0.31000432165336361</v>
      </c>
      <c r="C247" s="2">
        <v>8.8331169943052569E-5</v>
      </c>
      <c r="D247" s="2"/>
      <c r="E247" s="2">
        <v>0.34924813716031933</v>
      </c>
      <c r="F247" s="3">
        <v>121.54933304609629</v>
      </c>
      <c r="G247" s="3">
        <v>2</v>
      </c>
      <c r="H247" s="2">
        <v>1.083775875149019E-4</v>
      </c>
      <c r="I247" s="4">
        <v>-1.110223024625157E-16</v>
      </c>
      <c r="J247" s="4">
        <v>0.34924813716031938</v>
      </c>
      <c r="K247" s="5">
        <v>2</v>
      </c>
      <c r="L247" s="5">
        <v>0</v>
      </c>
      <c r="M247" s="5">
        <v>2</v>
      </c>
    </row>
    <row r="248" spans="1:13" hidden="1" x14ac:dyDescent="0.25">
      <c r="A248" t="s">
        <v>258</v>
      </c>
      <c r="B248" s="1">
        <v>0.30752714865080349</v>
      </c>
      <c r="C248" s="2">
        <v>8.7625335945963514E-5</v>
      </c>
      <c r="D248" s="2"/>
      <c r="E248" s="2">
        <v>1.291163577409709</v>
      </c>
      <c r="F248" s="3">
        <v>206.40340131932879</v>
      </c>
      <c r="G248" s="3">
        <v>2</v>
      </c>
      <c r="H248" s="2">
        <v>1.083775875149019E-4</v>
      </c>
      <c r="I248" s="4">
        <v>0.26824577267666799</v>
      </c>
      <c r="J248" s="4">
        <v>1.0229178047330409</v>
      </c>
      <c r="K248" s="5">
        <v>2</v>
      </c>
      <c r="L248" s="5">
        <v>0</v>
      </c>
      <c r="M248" s="5">
        <v>0</v>
      </c>
    </row>
    <row r="249" spans="1:13" hidden="1" x14ac:dyDescent="0.25">
      <c r="A249" t="s">
        <v>259</v>
      </c>
      <c r="B249" s="1">
        <v>0.30383522156715298</v>
      </c>
      <c r="C249" s="2">
        <v>8.6573375647784376E-5</v>
      </c>
      <c r="D249" s="2"/>
      <c r="E249" s="2">
        <v>-0.29441738493994463</v>
      </c>
      <c r="F249" s="3">
        <v>63.563620291498481</v>
      </c>
      <c r="G249" s="3">
        <v>5</v>
      </c>
      <c r="H249" s="2">
        <v>2.7094396878725479E-4</v>
      </c>
      <c r="I249" s="4">
        <v>7.9824607278255799E-2</v>
      </c>
      <c r="J249" s="4">
        <v>-0.37424199221820043</v>
      </c>
      <c r="K249" s="5">
        <v>5</v>
      </c>
      <c r="L249" s="5">
        <v>0</v>
      </c>
      <c r="M249" s="5">
        <v>0</v>
      </c>
    </row>
    <row r="250" spans="1:13" hidden="1" x14ac:dyDescent="0.25">
      <c r="A250" t="s">
        <v>260</v>
      </c>
      <c r="B250" s="1">
        <v>0.30179791767737429</v>
      </c>
      <c r="C250" s="2">
        <v>8.599287588199432E-5</v>
      </c>
      <c r="D250" s="2"/>
      <c r="E250" s="2">
        <v>0.29676817588792131</v>
      </c>
      <c r="F250" s="3">
        <v>116.8215857064778</v>
      </c>
      <c r="G250" s="3">
        <v>3</v>
      </c>
      <c r="H250" s="2">
        <v>1.6256638127235291E-4</v>
      </c>
      <c r="I250" s="4">
        <v>0</v>
      </c>
      <c r="J250" s="4">
        <v>0.29676817588792131</v>
      </c>
      <c r="K250" s="5">
        <v>3</v>
      </c>
      <c r="L250" s="5">
        <v>0</v>
      </c>
      <c r="M250" s="5">
        <v>0</v>
      </c>
    </row>
    <row r="251" spans="1:13" hidden="1" x14ac:dyDescent="0.25">
      <c r="A251" t="s">
        <v>261</v>
      </c>
      <c r="B251" s="1">
        <v>0.29954567839261143</v>
      </c>
      <c r="C251" s="2">
        <v>8.5351133438038102E-5</v>
      </c>
      <c r="D251" s="2"/>
      <c r="E251" s="2">
        <v>-0.2152992045536665</v>
      </c>
      <c r="F251" s="3">
        <v>70.691117297358858</v>
      </c>
      <c r="G251" s="3">
        <v>10</v>
      </c>
      <c r="H251" s="2">
        <v>5.4188793757450958E-4</v>
      </c>
      <c r="I251" s="4">
        <v>-0.24120189011628901</v>
      </c>
      <c r="J251" s="4">
        <v>2.5902685562622488E-2</v>
      </c>
      <c r="K251" s="5">
        <v>10</v>
      </c>
      <c r="L251" s="5">
        <v>0</v>
      </c>
      <c r="M251" s="5">
        <v>4</v>
      </c>
    </row>
    <row r="252" spans="1:13" hidden="1" x14ac:dyDescent="0.25">
      <c r="A252" t="s">
        <v>262</v>
      </c>
      <c r="B252" s="1">
        <v>0.29953544074019839</v>
      </c>
      <c r="C252" s="2">
        <v>8.5348216369623441E-5</v>
      </c>
      <c r="D252" s="2"/>
      <c r="E252" s="2">
        <v>0.1085178805139089</v>
      </c>
      <c r="F252" s="3">
        <v>99.862734907839993</v>
      </c>
      <c r="G252" s="3">
        <v>3</v>
      </c>
      <c r="H252" s="2">
        <v>1.6256638127235291E-4</v>
      </c>
      <c r="I252" s="4">
        <v>-6.9388939039072284E-17</v>
      </c>
      <c r="J252" s="4">
        <v>0.1085178805139089</v>
      </c>
      <c r="K252" s="5">
        <v>3</v>
      </c>
      <c r="L252" s="5">
        <v>0</v>
      </c>
      <c r="M252" s="5">
        <v>0</v>
      </c>
    </row>
    <row r="253" spans="1:13" hidden="1" x14ac:dyDescent="0.25">
      <c r="A253" t="s">
        <v>263</v>
      </c>
      <c r="B253" s="1">
        <v>0.29863287604107219</v>
      </c>
      <c r="C253" s="2">
        <v>8.5091043839260254E-5</v>
      </c>
      <c r="D253" s="2"/>
      <c r="E253" s="2">
        <v>-3.2560905777043743E-2</v>
      </c>
      <c r="F253" s="3">
        <v>87.153410426793471</v>
      </c>
      <c r="G253" s="3">
        <v>2</v>
      </c>
      <c r="H253" s="2">
        <v>1.083775875149019E-4</v>
      </c>
      <c r="I253" s="4">
        <v>2.151057110211241E-16</v>
      </c>
      <c r="J253" s="4">
        <v>-3.2560905777043951E-2</v>
      </c>
      <c r="K253" s="5">
        <v>2</v>
      </c>
      <c r="L253" s="5">
        <v>0</v>
      </c>
      <c r="M253" s="5">
        <v>1</v>
      </c>
    </row>
    <row r="254" spans="1:13" hidden="1" x14ac:dyDescent="0.25">
      <c r="A254" t="s">
        <v>264</v>
      </c>
      <c r="B254" s="1">
        <v>0.29821714373831898</v>
      </c>
      <c r="C254" s="2">
        <v>8.4972587036821306E-5</v>
      </c>
      <c r="D254" s="2"/>
      <c r="E254" s="2">
        <v>0.80668664377054755</v>
      </c>
      <c r="F254" s="3">
        <v>162.75846564130319</v>
      </c>
      <c r="G254" s="3">
        <v>3</v>
      </c>
      <c r="H254" s="2">
        <v>1.6256638127235291E-4</v>
      </c>
      <c r="I254" s="4">
        <v>1.110223024625157E-16</v>
      </c>
      <c r="J254" s="4">
        <v>0.80668664377054744</v>
      </c>
      <c r="K254" s="5">
        <v>3</v>
      </c>
      <c r="L254" s="5">
        <v>0</v>
      </c>
      <c r="M254" s="5">
        <v>0</v>
      </c>
    </row>
    <row r="255" spans="1:13" hidden="1" x14ac:dyDescent="0.25">
      <c r="A255" t="s">
        <v>265</v>
      </c>
      <c r="B255" s="1">
        <v>0.29814788452899932</v>
      </c>
      <c r="C255" s="2">
        <v>8.4952852644229915E-5</v>
      </c>
      <c r="D255" s="2"/>
      <c r="E255" s="2">
        <v>-0.2006986061904846</v>
      </c>
      <c r="F255" s="3">
        <v>72.006437247960207</v>
      </c>
      <c r="G255" s="3">
        <v>5</v>
      </c>
      <c r="H255" s="2">
        <v>2.7094396878725479E-4</v>
      </c>
      <c r="I255" s="4">
        <v>1.6653345369377351E-16</v>
      </c>
      <c r="J255" s="4">
        <v>-0.2006986061904848</v>
      </c>
      <c r="K255" s="5">
        <v>5</v>
      </c>
      <c r="L255" s="5">
        <v>0</v>
      </c>
      <c r="M255" s="5">
        <v>0</v>
      </c>
    </row>
    <row r="256" spans="1:13" hidden="1" x14ac:dyDescent="0.25">
      <c r="A256" t="s">
        <v>266</v>
      </c>
      <c r="B256" s="1">
        <v>0.29747932349913397</v>
      </c>
      <c r="C256" s="2">
        <v>8.4762356016210733E-5</v>
      </c>
      <c r="D256" s="2"/>
      <c r="E256" s="2">
        <v>-0.17889572423143549</v>
      </c>
      <c r="F256" s="3">
        <v>73.970587271678426</v>
      </c>
      <c r="G256" s="3">
        <v>3</v>
      </c>
      <c r="H256" s="2">
        <v>1.6256638127235291E-4</v>
      </c>
      <c r="I256" s="4">
        <v>-1.6653345369377351E-16</v>
      </c>
      <c r="J256" s="4">
        <v>-0.17889572423143529</v>
      </c>
      <c r="K256" s="5">
        <v>3</v>
      </c>
      <c r="L256" s="5">
        <v>0</v>
      </c>
      <c r="M256" s="5">
        <v>0</v>
      </c>
    </row>
    <row r="257" spans="1:13" hidden="1" x14ac:dyDescent="0.25">
      <c r="A257" t="s">
        <v>267</v>
      </c>
      <c r="B257" s="1">
        <v>0.29546813091927238</v>
      </c>
      <c r="C257" s="2">
        <v>8.41892962839706E-5</v>
      </c>
      <c r="D257" s="2"/>
      <c r="E257" s="2">
        <v>0.86679600395222556</v>
      </c>
      <c r="F257" s="3">
        <v>168.17352046975569</v>
      </c>
      <c r="G257" s="3">
        <v>8</v>
      </c>
      <c r="H257" s="2">
        <v>4.3351035005960773E-4</v>
      </c>
      <c r="I257" s="4">
        <v>0.18454842470593011</v>
      </c>
      <c r="J257" s="4">
        <v>0.68224757924629542</v>
      </c>
      <c r="K257" s="5">
        <v>8</v>
      </c>
      <c r="L257" s="5">
        <v>0</v>
      </c>
      <c r="M257" s="5">
        <v>7</v>
      </c>
    </row>
    <row r="258" spans="1:13" hidden="1" x14ac:dyDescent="0.25">
      <c r="A258" t="s">
        <v>268</v>
      </c>
      <c r="B258" s="1">
        <v>0.29345927193754878</v>
      </c>
      <c r="C258" s="2">
        <v>8.3616901476182541E-5</v>
      </c>
      <c r="D258" s="2"/>
      <c r="E258" s="2">
        <v>-7.0815853469051615E-2</v>
      </c>
      <c r="F258" s="3">
        <v>83.707147838309822</v>
      </c>
      <c r="G258" s="3">
        <v>4</v>
      </c>
      <c r="H258" s="2">
        <v>2.1675517502980381E-4</v>
      </c>
      <c r="I258" s="4">
        <v>2.081668171172169E-16</v>
      </c>
      <c r="J258" s="4">
        <v>-7.0815853469051823E-2</v>
      </c>
      <c r="K258" s="5">
        <v>4</v>
      </c>
      <c r="L258" s="5">
        <v>1</v>
      </c>
      <c r="M258" s="5">
        <v>0</v>
      </c>
    </row>
    <row r="259" spans="1:13" hidden="1" x14ac:dyDescent="0.25">
      <c r="A259" t="s">
        <v>269</v>
      </c>
      <c r="B259" s="1">
        <v>0.29275210541675251</v>
      </c>
      <c r="C259" s="2">
        <v>8.3415404781577262E-5</v>
      </c>
      <c r="D259" s="2"/>
      <c r="E259" s="2">
        <v>2.6734982123952702</v>
      </c>
      <c r="F259" s="3">
        <v>330.93338828128168</v>
      </c>
      <c r="G259" s="3">
        <v>3</v>
      </c>
      <c r="H259" s="2">
        <v>1.6256638127235291E-4</v>
      </c>
      <c r="I259" s="4">
        <v>0</v>
      </c>
      <c r="J259" s="4">
        <v>2.6734982123952702</v>
      </c>
      <c r="K259" s="5">
        <v>3</v>
      </c>
      <c r="L259" s="5">
        <v>0</v>
      </c>
      <c r="M259" s="5">
        <v>0</v>
      </c>
    </row>
    <row r="260" spans="1:13" hidden="1" x14ac:dyDescent="0.25">
      <c r="A260" t="s">
        <v>270</v>
      </c>
      <c r="B260" s="1">
        <v>0.29268329007817723</v>
      </c>
      <c r="C260" s="2">
        <v>8.3395796863423199E-5</v>
      </c>
      <c r="D260" s="2"/>
      <c r="E260" s="2">
        <v>0.53050516392205616</v>
      </c>
      <c r="F260" s="3">
        <v>137.87818324497539</v>
      </c>
      <c r="G260" s="3">
        <v>1</v>
      </c>
      <c r="H260" s="2">
        <v>5.4188793757450959E-5</v>
      </c>
      <c r="I260" s="4">
        <v>0</v>
      </c>
      <c r="J260" s="4">
        <v>0.53050516392205616</v>
      </c>
      <c r="K260" s="5">
        <v>1</v>
      </c>
      <c r="L260" s="5">
        <v>1</v>
      </c>
      <c r="M260" s="5">
        <v>1</v>
      </c>
    </row>
    <row r="261" spans="1:13" hidden="1" x14ac:dyDescent="0.25">
      <c r="A261" t="s">
        <v>271</v>
      </c>
      <c r="B261" s="1">
        <v>0.29154358381950191</v>
      </c>
      <c r="C261" s="2">
        <v>8.3071054335050393E-5</v>
      </c>
      <c r="D261" s="2"/>
      <c r="E261" s="2">
        <v>-0.57355377908820693</v>
      </c>
      <c r="F261" s="3">
        <v>38.417139371375448</v>
      </c>
      <c r="G261" s="3">
        <v>2</v>
      </c>
      <c r="H261" s="2">
        <v>1.083775875149019E-4</v>
      </c>
      <c r="I261" s="4">
        <v>-9.7273949721831288E-2</v>
      </c>
      <c r="J261" s="4">
        <v>-0.47627982936637558</v>
      </c>
      <c r="K261" s="5">
        <v>2</v>
      </c>
      <c r="L261" s="5">
        <v>0</v>
      </c>
      <c r="M261" s="5">
        <v>2</v>
      </c>
    </row>
    <row r="262" spans="1:13" hidden="1" x14ac:dyDescent="0.25">
      <c r="A262" t="s">
        <v>272</v>
      </c>
      <c r="B262" s="1">
        <v>0.29145011914335689</v>
      </c>
      <c r="C262" s="2">
        <v>8.3044422950854827E-5</v>
      </c>
      <c r="D262" s="2"/>
      <c r="E262" s="2">
        <v>0.42165211022761889</v>
      </c>
      <c r="F262" s="3">
        <v>128.07196916752909</v>
      </c>
      <c r="G262" s="3">
        <v>1</v>
      </c>
      <c r="H262" s="2">
        <v>5.4188793757450959E-5</v>
      </c>
      <c r="I262" s="4">
        <v>5.5511151231257827E-17</v>
      </c>
      <c r="J262" s="4">
        <v>0.42165211022761889</v>
      </c>
      <c r="K262" s="5">
        <v>1</v>
      </c>
      <c r="L262" s="5">
        <v>0</v>
      </c>
      <c r="M262" s="5">
        <v>0</v>
      </c>
    </row>
    <row r="263" spans="1:13" hidden="1" x14ac:dyDescent="0.25">
      <c r="A263" t="s">
        <v>273</v>
      </c>
      <c r="B263" s="1">
        <v>0.28827460492168328</v>
      </c>
      <c r="C263" s="2">
        <v>8.2139606899016455E-5</v>
      </c>
      <c r="D263" s="2"/>
      <c r="E263" s="2">
        <v>-0.1212682593398197</v>
      </c>
      <c r="F263" s="3">
        <v>79.162056305280615</v>
      </c>
      <c r="G263" s="3">
        <v>1</v>
      </c>
      <c r="H263" s="2">
        <v>5.4188793757450959E-5</v>
      </c>
      <c r="I263" s="4">
        <v>-5.5511151231257827E-17</v>
      </c>
      <c r="J263" s="4">
        <v>-0.12126825933981961</v>
      </c>
      <c r="K263" s="5">
        <v>1</v>
      </c>
      <c r="L263" s="5">
        <v>0</v>
      </c>
      <c r="M263" s="5">
        <v>0</v>
      </c>
    </row>
    <row r="264" spans="1:13" hidden="1" x14ac:dyDescent="0.25">
      <c r="A264" t="s">
        <v>274</v>
      </c>
      <c r="B264" s="1">
        <v>0.28787171248751853</v>
      </c>
      <c r="C264" s="2">
        <v>8.202480862820148E-5</v>
      </c>
      <c r="D264" s="2"/>
      <c r="E264" s="2">
        <v>-0.125349884960514</v>
      </c>
      <c r="F264" s="3">
        <v>78.79435605928775</v>
      </c>
      <c r="G264" s="3">
        <v>14</v>
      </c>
      <c r="H264" s="2">
        <v>7.5864311260431339E-4</v>
      </c>
      <c r="I264" s="4">
        <v>3.3406525757786021E-2</v>
      </c>
      <c r="J264" s="4">
        <v>-0.15875641071829999</v>
      </c>
      <c r="K264" s="5">
        <v>14</v>
      </c>
      <c r="L264" s="5">
        <v>0</v>
      </c>
      <c r="M264" s="5">
        <v>4</v>
      </c>
    </row>
    <row r="265" spans="1:13" hidden="1" x14ac:dyDescent="0.25">
      <c r="A265" t="s">
        <v>275</v>
      </c>
      <c r="B265" s="1">
        <v>0.28245386109589582</v>
      </c>
      <c r="C265" s="2">
        <v>8.0481071594319914E-5</v>
      </c>
      <c r="D265" s="2"/>
      <c r="E265" s="2">
        <v>0.25948227660269868</v>
      </c>
      <c r="F265" s="3">
        <v>113.4626215061038</v>
      </c>
      <c r="G265" s="3">
        <v>3</v>
      </c>
      <c r="H265" s="2">
        <v>1.6256638127235291E-4</v>
      </c>
      <c r="I265" s="4">
        <v>0.30007289468376919</v>
      </c>
      <c r="J265" s="4">
        <v>-4.0590618081070458E-2</v>
      </c>
      <c r="K265" s="5">
        <v>3</v>
      </c>
      <c r="L265" s="5">
        <v>3</v>
      </c>
      <c r="M265" s="5">
        <v>3</v>
      </c>
    </row>
    <row r="266" spans="1:13" hidden="1" x14ac:dyDescent="0.25">
      <c r="A266" t="s">
        <v>276</v>
      </c>
      <c r="B266" s="1">
        <v>0.27832012092845559</v>
      </c>
      <c r="C266" s="2">
        <v>7.9303223158907243E-5</v>
      </c>
      <c r="D266" s="2"/>
      <c r="E266" s="2">
        <v>3.4271094517457128E-2</v>
      </c>
      <c r="F266" s="3">
        <v>93.174085822373343</v>
      </c>
      <c r="G266" s="3">
        <v>1</v>
      </c>
      <c r="H266" s="2">
        <v>5.4188793757450959E-5</v>
      </c>
      <c r="I266" s="4">
        <v>-8.3266726846886741E-17</v>
      </c>
      <c r="J266" s="4">
        <v>3.4271094517457218E-2</v>
      </c>
      <c r="K266" s="5">
        <v>1</v>
      </c>
      <c r="L266" s="5">
        <v>0</v>
      </c>
      <c r="M266" s="5">
        <v>0</v>
      </c>
    </row>
    <row r="267" spans="1:13" hidden="1" x14ac:dyDescent="0.25">
      <c r="A267" t="s">
        <v>277</v>
      </c>
      <c r="B267" s="1">
        <v>0.27810667769632408</v>
      </c>
      <c r="C267" s="2">
        <v>7.9242405650589777E-5</v>
      </c>
      <c r="D267" s="2"/>
      <c r="E267" s="2">
        <v>-0.20637675463011571</v>
      </c>
      <c r="F267" s="3">
        <v>71.494911505018322</v>
      </c>
      <c r="G267" s="3">
        <v>5</v>
      </c>
      <c r="H267" s="2">
        <v>2.7094396878725479E-4</v>
      </c>
      <c r="I267" s="4">
        <v>-3.65498731596339E-2</v>
      </c>
      <c r="J267" s="4">
        <v>-0.16982688147048181</v>
      </c>
      <c r="K267" s="5">
        <v>5</v>
      </c>
      <c r="L267" s="5">
        <v>0</v>
      </c>
      <c r="M267" s="5">
        <v>0</v>
      </c>
    </row>
    <row r="268" spans="1:13" hidden="1" x14ac:dyDescent="0.25">
      <c r="A268" t="s">
        <v>278</v>
      </c>
      <c r="B268" s="1">
        <v>0.27712726060064358</v>
      </c>
      <c r="C268" s="2">
        <v>7.8963335160661509E-5</v>
      </c>
      <c r="D268" s="2"/>
      <c r="E268" s="2">
        <v>1.397180645791813</v>
      </c>
      <c r="F268" s="3">
        <v>215.95413079483359</v>
      </c>
      <c r="G268" s="3">
        <v>1</v>
      </c>
      <c r="H268" s="2">
        <v>5.4188793757450959E-5</v>
      </c>
      <c r="I268" s="4">
        <v>-2.2204460492503131E-16</v>
      </c>
      <c r="J268" s="4">
        <v>1.397180645791813</v>
      </c>
      <c r="K268" s="5">
        <v>1</v>
      </c>
      <c r="L268" s="5">
        <v>0</v>
      </c>
      <c r="M268" s="5">
        <v>0</v>
      </c>
    </row>
    <row r="269" spans="1:13" hidden="1" x14ac:dyDescent="0.25">
      <c r="A269" t="s">
        <v>279</v>
      </c>
      <c r="B269" s="1">
        <v>0.27406359721654638</v>
      </c>
      <c r="C269" s="2">
        <v>7.8090389359178165E-5</v>
      </c>
      <c r="D269" s="2"/>
      <c r="E269" s="2">
        <v>0.28701278483864501</v>
      </c>
      <c r="F269" s="3">
        <v>115.9427545686124</v>
      </c>
      <c r="G269" s="3">
        <v>1</v>
      </c>
      <c r="H269" s="2">
        <v>5.4188793757450959E-5</v>
      </c>
      <c r="I269" s="4">
        <v>-5.5511151231257827E-17</v>
      </c>
      <c r="J269" s="4">
        <v>0.28701278483864512</v>
      </c>
      <c r="K269" s="5">
        <v>1</v>
      </c>
      <c r="L269" s="5">
        <v>0</v>
      </c>
      <c r="M269" s="5">
        <v>0</v>
      </c>
    </row>
    <row r="270" spans="1:13" hidden="1" x14ac:dyDescent="0.25">
      <c r="A270" t="s">
        <v>280</v>
      </c>
      <c r="B270" s="1">
        <v>0.27389159075472269</v>
      </c>
      <c r="C270" s="2">
        <v>7.8041378648844762E-5</v>
      </c>
      <c r="D270" s="2"/>
      <c r="E270" s="2">
        <v>0.68738937339860395</v>
      </c>
      <c r="F270" s="3">
        <v>152.01136638760491</v>
      </c>
      <c r="G270" s="3">
        <v>1</v>
      </c>
      <c r="H270" s="2">
        <v>5.4188793757450959E-5</v>
      </c>
      <c r="I270" s="4">
        <v>1.110223024625157E-16</v>
      </c>
      <c r="J270" s="4">
        <v>0.68738937339860373</v>
      </c>
      <c r="K270" s="5">
        <v>1</v>
      </c>
      <c r="L270" s="5">
        <v>0</v>
      </c>
      <c r="M270" s="5">
        <v>0</v>
      </c>
    </row>
    <row r="271" spans="1:13" hidden="1" x14ac:dyDescent="0.25">
      <c r="A271" t="s">
        <v>281</v>
      </c>
      <c r="B271" s="1">
        <v>0.27046349740188491</v>
      </c>
      <c r="C271" s="2">
        <v>7.7064593890118852E-5</v>
      </c>
      <c r="D271" s="2"/>
      <c r="E271" s="2">
        <v>0.37301897991590938</v>
      </c>
      <c r="F271" s="3">
        <v>123.6907701941709</v>
      </c>
      <c r="G271" s="3">
        <v>4</v>
      </c>
      <c r="H271" s="2">
        <v>2.1675517502980381E-4</v>
      </c>
      <c r="I271" s="4">
        <v>-3.8857805861880469E-16</v>
      </c>
      <c r="J271" s="4">
        <v>0.37301897991590982</v>
      </c>
      <c r="K271" s="5">
        <v>3</v>
      </c>
      <c r="L271" s="5">
        <v>0</v>
      </c>
      <c r="M271" s="5">
        <v>0</v>
      </c>
    </row>
    <row r="272" spans="1:13" hidden="1" x14ac:dyDescent="0.25">
      <c r="A272" t="s">
        <v>282</v>
      </c>
      <c r="B272" s="1">
        <v>0.27044164868536191</v>
      </c>
      <c r="C272" s="2">
        <v>7.7058368419835295E-5</v>
      </c>
      <c r="D272" s="2"/>
      <c r="E272" s="2">
        <v>-0.31337110121112621</v>
      </c>
      <c r="F272" s="3">
        <v>61.85614224646244</v>
      </c>
      <c r="G272" s="3">
        <v>3</v>
      </c>
      <c r="H272" s="2">
        <v>1.6256638127235291E-4</v>
      </c>
      <c r="I272" s="4">
        <v>-0.29348316276997521</v>
      </c>
      <c r="J272" s="4">
        <v>-1.9887938441151071E-2</v>
      </c>
      <c r="K272" s="5">
        <v>3</v>
      </c>
      <c r="L272" s="5">
        <v>0</v>
      </c>
      <c r="M272" s="5">
        <v>2</v>
      </c>
    </row>
    <row r="273" spans="1:13" hidden="1" x14ac:dyDescent="0.25">
      <c r="A273" t="s">
        <v>283</v>
      </c>
      <c r="B273" s="1">
        <v>0.26490241039575779</v>
      </c>
      <c r="C273" s="2">
        <v>7.5480043975503241E-5</v>
      </c>
      <c r="D273" s="2"/>
      <c r="E273" s="2">
        <v>-0.1233809446555147</v>
      </c>
      <c r="F273" s="3">
        <v>78.971731424343986</v>
      </c>
      <c r="G273" s="3">
        <v>2</v>
      </c>
      <c r="H273" s="2">
        <v>1.083775875149019E-4</v>
      </c>
      <c r="I273" s="4">
        <v>1.8041124150158789E-16</v>
      </c>
      <c r="J273" s="4">
        <v>-0.1233809446555149</v>
      </c>
      <c r="K273" s="5">
        <v>2</v>
      </c>
      <c r="L273" s="5">
        <v>0</v>
      </c>
      <c r="M273" s="5">
        <v>0</v>
      </c>
    </row>
    <row r="274" spans="1:13" hidden="1" x14ac:dyDescent="0.25">
      <c r="A274" t="s">
        <v>284</v>
      </c>
      <c r="B274" s="1">
        <v>0.26426666059134107</v>
      </c>
      <c r="C274" s="2">
        <v>7.529889642337979E-5</v>
      </c>
      <c r="D274" s="2"/>
      <c r="E274" s="2">
        <v>0.31046975336815019</v>
      </c>
      <c r="F274" s="3">
        <v>118.05591581858479</v>
      </c>
      <c r="G274" s="3">
        <v>2</v>
      </c>
      <c r="H274" s="2">
        <v>1.083775875149019E-4</v>
      </c>
      <c r="I274" s="4">
        <v>0</v>
      </c>
      <c r="J274" s="4">
        <v>0.31046975336815019</v>
      </c>
      <c r="K274" s="5">
        <v>2</v>
      </c>
      <c r="L274" s="5">
        <v>0</v>
      </c>
      <c r="M274" s="5">
        <v>0</v>
      </c>
    </row>
    <row r="275" spans="1:13" hidden="1" x14ac:dyDescent="0.25">
      <c r="A275" t="s">
        <v>285</v>
      </c>
      <c r="B275" s="1">
        <v>0.26423369469522029</v>
      </c>
      <c r="C275" s="2">
        <v>7.5289503276351925E-5</v>
      </c>
      <c r="D275" s="2"/>
      <c r="E275" s="2">
        <v>-0.2821766473836177</v>
      </c>
      <c r="F275" s="3">
        <v>64.666348133017138</v>
      </c>
      <c r="G275" s="3">
        <v>7</v>
      </c>
      <c r="H275" s="2">
        <v>3.7932155630215669E-4</v>
      </c>
      <c r="I275" s="4">
        <v>7.4346826548444656E-2</v>
      </c>
      <c r="J275" s="4">
        <v>-0.35652347393206241</v>
      </c>
      <c r="K275" s="5">
        <v>7</v>
      </c>
      <c r="L275" s="5">
        <v>0</v>
      </c>
      <c r="M275" s="5">
        <v>1</v>
      </c>
    </row>
    <row r="276" spans="1:13" hidden="1" x14ac:dyDescent="0.25">
      <c r="A276" t="s">
        <v>286</v>
      </c>
      <c r="B276" s="1">
        <v>0.26392411068741489</v>
      </c>
      <c r="C276" s="2">
        <v>7.5201291868655208E-5</v>
      </c>
      <c r="D276" s="2"/>
      <c r="E276" s="2">
        <v>0.23568348697669991</v>
      </c>
      <c r="F276" s="3">
        <v>111.31866671626609</v>
      </c>
      <c r="G276" s="3">
        <v>1</v>
      </c>
      <c r="H276" s="2">
        <v>5.4188793757450959E-5</v>
      </c>
      <c r="I276" s="4">
        <v>2.775557561562891E-17</v>
      </c>
      <c r="J276" s="4">
        <v>0.23568348697669991</v>
      </c>
      <c r="K276" s="5">
        <v>1</v>
      </c>
      <c r="L276" s="5">
        <v>0</v>
      </c>
      <c r="M276" s="5">
        <v>0</v>
      </c>
    </row>
    <row r="277" spans="1:13" hidden="1" x14ac:dyDescent="0.25">
      <c r="A277" t="s">
        <v>287</v>
      </c>
      <c r="B277" s="1">
        <v>0.26330241262374859</v>
      </c>
      <c r="C277" s="2">
        <v>7.5024148153296358E-5</v>
      </c>
      <c r="D277" s="2"/>
      <c r="E277" s="2">
        <v>-0.11669196274759951</v>
      </c>
      <c r="F277" s="3">
        <v>79.574319834342205</v>
      </c>
      <c r="G277" s="3">
        <v>1</v>
      </c>
      <c r="H277" s="2">
        <v>5.4188793757450959E-5</v>
      </c>
      <c r="I277" s="4">
        <v>-4.163336342344337E-17</v>
      </c>
      <c r="J277" s="4">
        <v>-0.11669196274759951</v>
      </c>
      <c r="K277" s="5">
        <v>1</v>
      </c>
      <c r="L277" s="5">
        <v>0</v>
      </c>
      <c r="M277" s="5">
        <v>0</v>
      </c>
    </row>
    <row r="278" spans="1:13" hidden="1" x14ac:dyDescent="0.25">
      <c r="A278" t="s">
        <v>288</v>
      </c>
      <c r="B278" s="1">
        <v>0.26049194595403369</v>
      </c>
      <c r="C278" s="2">
        <v>7.4223347029951187E-5</v>
      </c>
      <c r="D278" s="2"/>
      <c r="E278" s="2">
        <v>2.4094162895912081</v>
      </c>
      <c r="F278" s="3">
        <v>307.14311523786569</v>
      </c>
      <c r="G278" s="3">
        <v>2</v>
      </c>
      <c r="H278" s="2">
        <v>1.083775875149019E-4</v>
      </c>
      <c r="I278" s="4">
        <v>0</v>
      </c>
      <c r="J278" s="4">
        <v>2.4094162895912081</v>
      </c>
      <c r="K278" s="5">
        <v>2</v>
      </c>
      <c r="L278" s="5">
        <v>0</v>
      </c>
      <c r="M278" s="5">
        <v>2</v>
      </c>
    </row>
    <row r="279" spans="1:13" hidden="1" x14ac:dyDescent="0.25">
      <c r="A279" t="s">
        <v>289</v>
      </c>
      <c r="B279" s="1">
        <v>0.25965292326812661</v>
      </c>
      <c r="C279" s="2">
        <v>7.3984279861275351E-5</v>
      </c>
      <c r="D279" s="2"/>
      <c r="E279" s="2">
        <v>-0.25976669496080512</v>
      </c>
      <c r="F279" s="3">
        <v>66.685187140881538</v>
      </c>
      <c r="G279" s="3">
        <v>4</v>
      </c>
      <c r="H279" s="2">
        <v>2.1675517502980381E-4</v>
      </c>
      <c r="I279" s="4">
        <v>1.6653345369377351E-16</v>
      </c>
      <c r="J279" s="4">
        <v>-0.25976669496080518</v>
      </c>
      <c r="K279" s="5">
        <v>4</v>
      </c>
      <c r="L279" s="5">
        <v>0</v>
      </c>
      <c r="M279" s="5">
        <v>2</v>
      </c>
    </row>
    <row r="280" spans="1:13" hidden="1" x14ac:dyDescent="0.25">
      <c r="A280" t="s">
        <v>290</v>
      </c>
      <c r="B280" s="1">
        <v>0.25868826172860898</v>
      </c>
      <c r="C280" s="2">
        <v>7.3709413749957278E-5</v>
      </c>
      <c r="D280" s="2"/>
      <c r="E280" s="2">
        <v>0.54298195916900927</v>
      </c>
      <c r="F280" s="3">
        <v>139.00217674850671</v>
      </c>
      <c r="G280" s="3">
        <v>4</v>
      </c>
      <c r="H280" s="2">
        <v>2.1675517502980381E-4</v>
      </c>
      <c r="I280" s="4">
        <v>1.110223024625157E-16</v>
      </c>
      <c r="J280" s="4">
        <v>0.54298195916900915</v>
      </c>
      <c r="K280" s="5">
        <v>4</v>
      </c>
      <c r="L280" s="5">
        <v>0</v>
      </c>
      <c r="M280" s="5">
        <v>0</v>
      </c>
    </row>
    <row r="281" spans="1:13" hidden="1" x14ac:dyDescent="0.25">
      <c r="A281" t="s">
        <v>291</v>
      </c>
      <c r="B281" s="1">
        <v>0.25831746849187581</v>
      </c>
      <c r="C281" s="2">
        <v>7.360376167313161E-5</v>
      </c>
      <c r="D281" s="2"/>
      <c r="E281" s="2">
        <v>0.16216024793121139</v>
      </c>
      <c r="F281" s="3">
        <v>104.69519959910831</v>
      </c>
      <c r="G281" s="3">
        <v>4</v>
      </c>
      <c r="H281" s="2">
        <v>2.1675517502980381E-4</v>
      </c>
      <c r="I281" s="4">
        <v>-9.2620493969109097E-2</v>
      </c>
      <c r="J281" s="4">
        <v>0.25478074190032052</v>
      </c>
      <c r="K281" s="5">
        <v>4</v>
      </c>
      <c r="L281" s="5">
        <v>0</v>
      </c>
      <c r="M281" s="5">
        <v>2</v>
      </c>
    </row>
    <row r="282" spans="1:13" hidden="1" x14ac:dyDescent="0.25">
      <c r="A282" t="s">
        <v>292</v>
      </c>
      <c r="B282" s="1">
        <v>0.25798750855343322</v>
      </c>
      <c r="C282" s="2">
        <v>7.3509744443818375E-5</v>
      </c>
      <c r="D282" s="2"/>
      <c r="E282" s="2">
        <v>0.53975487904681474</v>
      </c>
      <c r="F282" s="3">
        <v>138.711459699703</v>
      </c>
      <c r="G282" s="3">
        <v>3</v>
      </c>
      <c r="H282" s="2">
        <v>1.6256638127235291E-4</v>
      </c>
      <c r="I282" s="4">
        <v>5.4369365904150417E-2</v>
      </c>
      <c r="J282" s="4">
        <v>0.48538551314266432</v>
      </c>
      <c r="K282" s="5">
        <v>3</v>
      </c>
      <c r="L282" s="5">
        <v>0</v>
      </c>
      <c r="M282" s="5">
        <v>3</v>
      </c>
    </row>
    <row r="283" spans="1:13" hidden="1" x14ac:dyDescent="0.25">
      <c r="A283" t="s">
        <v>293</v>
      </c>
      <c r="B283" s="1">
        <v>0.25537382984743129</v>
      </c>
      <c r="C283" s="2">
        <v>7.2765015155126271E-5</v>
      </c>
      <c r="D283" s="2"/>
      <c r="E283" s="2">
        <v>0.18958854043708229</v>
      </c>
      <c r="F283" s="3">
        <v>107.1661243822238</v>
      </c>
      <c r="G283" s="3">
        <v>2</v>
      </c>
      <c r="H283" s="2">
        <v>1.083775875149019E-4</v>
      </c>
      <c r="I283" s="4">
        <v>8.3266726846886741E-17</v>
      </c>
      <c r="J283" s="4">
        <v>0.1895885404370822</v>
      </c>
      <c r="K283" s="5">
        <v>2</v>
      </c>
      <c r="L283" s="5">
        <v>0</v>
      </c>
      <c r="M283" s="5">
        <v>0</v>
      </c>
    </row>
    <row r="284" spans="1:13" hidden="1" x14ac:dyDescent="0.25">
      <c r="A284" t="s">
        <v>294</v>
      </c>
      <c r="B284" s="1">
        <v>0.25311978487654169</v>
      </c>
      <c r="C284" s="2">
        <v>7.2122758207477785E-5</v>
      </c>
      <c r="D284" s="2"/>
      <c r="E284" s="2">
        <v>1.58101911371587</v>
      </c>
      <c r="F284" s="3">
        <v>232.5155345492345</v>
      </c>
      <c r="G284" s="3">
        <v>4</v>
      </c>
      <c r="H284" s="2">
        <v>2.1675517502980381E-4</v>
      </c>
      <c r="I284" s="4">
        <v>2.2204460492503131E-16</v>
      </c>
      <c r="J284" s="4">
        <v>1.58101911371587</v>
      </c>
      <c r="K284" s="5">
        <v>4</v>
      </c>
      <c r="L284" s="5">
        <v>0</v>
      </c>
      <c r="M284" s="5">
        <v>0</v>
      </c>
    </row>
    <row r="285" spans="1:13" hidden="1" x14ac:dyDescent="0.25">
      <c r="A285" t="s">
        <v>295</v>
      </c>
      <c r="B285" s="1">
        <v>0.25106604435247198</v>
      </c>
      <c r="C285" s="2">
        <v>7.1537575064600895E-5</v>
      </c>
      <c r="D285" s="2"/>
      <c r="E285" s="2">
        <v>0.14796653561721421</v>
      </c>
      <c r="F285" s="3">
        <v>103.41653467625309</v>
      </c>
      <c r="G285" s="3">
        <v>1</v>
      </c>
      <c r="H285" s="2">
        <v>5.4188793757450959E-5</v>
      </c>
      <c r="I285" s="4">
        <v>5.5511151231257827E-17</v>
      </c>
      <c r="J285" s="4">
        <v>0.1479665356172141</v>
      </c>
      <c r="K285" s="5">
        <v>1</v>
      </c>
      <c r="L285" s="5">
        <v>0</v>
      </c>
      <c r="M285" s="5">
        <v>0</v>
      </c>
    </row>
    <row r="286" spans="1:13" hidden="1" x14ac:dyDescent="0.25">
      <c r="A286" t="s">
        <v>296</v>
      </c>
      <c r="B286" s="1">
        <v>0.25090436237983138</v>
      </c>
      <c r="C286" s="2">
        <v>7.1491506165542081E-5</v>
      </c>
      <c r="D286" s="2"/>
      <c r="E286" s="2">
        <v>0.29487236465393152</v>
      </c>
      <c r="F286" s="3">
        <v>116.65079829923501</v>
      </c>
      <c r="G286" s="3">
        <v>1</v>
      </c>
      <c r="H286" s="2">
        <v>5.4188793757450959E-5</v>
      </c>
      <c r="I286" s="4">
        <v>-5.5511151231257827E-17</v>
      </c>
      <c r="J286" s="4">
        <v>0.29487236465393157</v>
      </c>
      <c r="K286" s="5">
        <v>1</v>
      </c>
      <c r="L286" s="5">
        <v>0</v>
      </c>
      <c r="M286" s="5">
        <v>0</v>
      </c>
    </row>
    <row r="287" spans="1:13" hidden="1" x14ac:dyDescent="0.25">
      <c r="A287" t="s">
        <v>297</v>
      </c>
      <c r="B287" s="1">
        <v>0.25062968775634598</v>
      </c>
      <c r="C287" s="2">
        <v>7.141324167323843E-5</v>
      </c>
      <c r="D287" s="2"/>
      <c r="E287" s="2">
        <v>-0.19257978710597551</v>
      </c>
      <c r="F287" s="3">
        <v>72.737834992870916</v>
      </c>
      <c r="G287" s="3">
        <v>7</v>
      </c>
      <c r="H287" s="2">
        <v>3.7932155630215669E-4</v>
      </c>
      <c r="I287" s="4">
        <v>-1.6653345369377351E-16</v>
      </c>
      <c r="J287" s="4">
        <v>-0.19257978710597529</v>
      </c>
      <c r="K287" s="5">
        <v>7</v>
      </c>
      <c r="L287" s="5">
        <v>0</v>
      </c>
      <c r="M287" s="5">
        <v>7</v>
      </c>
    </row>
    <row r="288" spans="1:13" hidden="1" x14ac:dyDescent="0.25">
      <c r="A288" t="s">
        <v>298</v>
      </c>
      <c r="B288" s="1">
        <v>0.249927468629669</v>
      </c>
      <c r="C288" s="2">
        <v>7.1213154665789789E-5</v>
      </c>
      <c r="D288" s="2"/>
      <c r="E288" s="2">
        <v>0.71490865528653558</v>
      </c>
      <c r="F288" s="3">
        <v>154.49048810529391</v>
      </c>
      <c r="G288" s="3">
        <v>1</v>
      </c>
      <c r="H288" s="2">
        <v>5.4188793757450959E-5</v>
      </c>
      <c r="I288" s="4">
        <v>1.110223024625157E-16</v>
      </c>
      <c r="J288" s="4">
        <v>0.71490865528653547</v>
      </c>
      <c r="K288" s="5">
        <v>1</v>
      </c>
      <c r="L288" s="5">
        <v>0</v>
      </c>
      <c r="M288" s="5">
        <v>0</v>
      </c>
    </row>
    <row r="289" spans="1:13" hidden="1" x14ac:dyDescent="0.25">
      <c r="A289" t="s">
        <v>299</v>
      </c>
      <c r="B289" s="1">
        <v>0.2493168030747871</v>
      </c>
      <c r="C289" s="2">
        <v>7.1039154501472863E-5</v>
      </c>
      <c r="D289" s="2"/>
      <c r="E289" s="2">
        <v>-0.1472899606658111</v>
      </c>
      <c r="F289" s="3">
        <v>76.817846701585466</v>
      </c>
      <c r="G289" s="3">
        <v>10</v>
      </c>
      <c r="H289" s="2">
        <v>5.4188793757450958E-4</v>
      </c>
      <c r="I289" s="4">
        <v>0.15382589436282151</v>
      </c>
      <c r="J289" s="4">
        <v>-0.30111585502863258</v>
      </c>
      <c r="K289" s="5">
        <v>10</v>
      </c>
      <c r="L289" s="5">
        <v>0</v>
      </c>
      <c r="M289" s="5">
        <v>0</v>
      </c>
    </row>
    <row r="290" spans="1:13" hidden="1" x14ac:dyDescent="0.25">
      <c r="A290" t="s">
        <v>300</v>
      </c>
      <c r="B290" s="1">
        <v>0.24875898680145331</v>
      </c>
      <c r="C290" s="2">
        <v>7.0880212962290244E-5</v>
      </c>
      <c r="D290" s="2"/>
      <c r="E290" s="2">
        <v>4.0970410020775772</v>
      </c>
      <c r="F290" s="3">
        <v>459.17568255091169</v>
      </c>
      <c r="G290" s="3">
        <v>2</v>
      </c>
      <c r="H290" s="2">
        <v>1.083775875149019E-4</v>
      </c>
      <c r="I290" s="4">
        <v>0</v>
      </c>
      <c r="J290" s="4">
        <v>4.0970410020775772</v>
      </c>
      <c r="K290" s="5">
        <v>2</v>
      </c>
      <c r="L290" s="5">
        <v>0</v>
      </c>
      <c r="M290" s="5">
        <v>0</v>
      </c>
    </row>
    <row r="291" spans="1:13" hidden="1" x14ac:dyDescent="0.25">
      <c r="A291" t="s">
        <v>301</v>
      </c>
      <c r="B291" s="1">
        <v>0.24796885262342261</v>
      </c>
      <c r="C291" s="2">
        <v>7.0655075854571207E-5</v>
      </c>
      <c r="D291" s="2"/>
      <c r="E291" s="2">
        <v>-0.16162271800891381</v>
      </c>
      <c r="F291" s="3">
        <v>75.526655668754245</v>
      </c>
      <c r="G291" s="3">
        <v>6</v>
      </c>
      <c r="H291" s="2">
        <v>3.2513276254470582E-4</v>
      </c>
      <c r="I291" s="4">
        <v>-8.3266726846886741E-17</v>
      </c>
      <c r="J291" s="4">
        <v>-0.1616227180089137</v>
      </c>
      <c r="K291" s="5">
        <v>6</v>
      </c>
      <c r="L291" s="5">
        <v>0</v>
      </c>
      <c r="M291" s="5">
        <v>0</v>
      </c>
    </row>
    <row r="292" spans="1:13" hidden="1" x14ac:dyDescent="0.25">
      <c r="A292" t="s">
        <v>302</v>
      </c>
      <c r="B292" s="1">
        <v>0.24749288098713301</v>
      </c>
      <c r="C292" s="2">
        <v>7.0519454740423709E-5</v>
      </c>
      <c r="D292" s="2"/>
      <c r="E292" s="2" t="s">
        <v>303</v>
      </c>
      <c r="F292" s="3" t="s">
        <v>303</v>
      </c>
      <c r="G292" s="3">
        <v>2</v>
      </c>
      <c r="H292" s="2">
        <v>1.083775875149019E-4</v>
      </c>
      <c r="I292" s="4" t="s">
        <v>303</v>
      </c>
      <c r="J292" s="4">
        <v>0</v>
      </c>
      <c r="K292" s="5">
        <v>2</v>
      </c>
      <c r="L292" s="5">
        <v>0</v>
      </c>
      <c r="M292" s="5">
        <v>0</v>
      </c>
    </row>
    <row r="293" spans="1:13" hidden="1" x14ac:dyDescent="0.25">
      <c r="A293" t="s">
        <v>304</v>
      </c>
      <c r="B293" s="1">
        <v>0.24710502827292921</v>
      </c>
      <c r="C293" s="2">
        <v>7.0408941816511885E-5</v>
      </c>
      <c r="D293" s="2"/>
      <c r="E293" s="2">
        <v>0.76666081269277564</v>
      </c>
      <c r="F293" s="3">
        <v>159.1526699850956</v>
      </c>
      <c r="G293" s="3">
        <v>1</v>
      </c>
      <c r="H293" s="2">
        <v>5.4188793757450959E-5</v>
      </c>
      <c r="I293" s="4">
        <v>0</v>
      </c>
      <c r="J293" s="4">
        <v>0.76666081269277564</v>
      </c>
      <c r="K293" s="5">
        <v>1</v>
      </c>
      <c r="L293" s="5">
        <v>0</v>
      </c>
      <c r="M293" s="5">
        <v>0</v>
      </c>
    </row>
    <row r="294" spans="1:13" hidden="1" x14ac:dyDescent="0.25">
      <c r="A294" t="s">
        <v>305</v>
      </c>
      <c r="B294" s="1">
        <v>0.24708152414768469</v>
      </c>
      <c r="C294" s="2">
        <v>7.0402244661871391E-5</v>
      </c>
      <c r="D294" s="2"/>
      <c r="E294" s="2">
        <v>0.87242638560247687</v>
      </c>
      <c r="F294" s="3">
        <v>168.68074305953331</v>
      </c>
      <c r="G294" s="3">
        <v>4</v>
      </c>
      <c r="H294" s="2">
        <v>2.1675517502980381E-4</v>
      </c>
      <c r="I294" s="4">
        <v>-4.4408920985006262E-16</v>
      </c>
      <c r="J294" s="4">
        <v>0.87242638560247743</v>
      </c>
      <c r="K294" s="5">
        <v>4</v>
      </c>
      <c r="L294" s="5">
        <v>0</v>
      </c>
      <c r="M294" s="5">
        <v>2</v>
      </c>
    </row>
    <row r="295" spans="1:13" hidden="1" x14ac:dyDescent="0.25">
      <c r="A295" t="s">
        <v>306</v>
      </c>
      <c r="B295" s="1">
        <v>0.24698023205106029</v>
      </c>
      <c r="C295" s="2">
        <v>7.037338296938564E-5</v>
      </c>
      <c r="D295" s="2"/>
      <c r="E295" s="2">
        <v>0.41345180089673828</v>
      </c>
      <c r="F295" s="3">
        <v>127.33323023397899</v>
      </c>
      <c r="G295" s="3">
        <v>2</v>
      </c>
      <c r="H295" s="2">
        <v>1.083775875149019E-4</v>
      </c>
      <c r="I295" s="4">
        <v>3.3306690738754701E-16</v>
      </c>
      <c r="J295" s="4">
        <v>0.41345180089673789</v>
      </c>
      <c r="K295" s="5">
        <v>2</v>
      </c>
      <c r="L295" s="5">
        <v>2</v>
      </c>
      <c r="M295" s="5">
        <v>2</v>
      </c>
    </row>
    <row r="296" spans="1:13" hidden="1" x14ac:dyDescent="0.25">
      <c r="A296" t="s">
        <v>307</v>
      </c>
      <c r="B296" s="1">
        <v>0.24693252444934061</v>
      </c>
      <c r="C296" s="2">
        <v>7.035978939026196E-5</v>
      </c>
      <c r="D296" s="2"/>
      <c r="E296" s="2">
        <v>-0.40943101564692352</v>
      </c>
      <c r="F296" s="3">
        <v>53.202420065522418</v>
      </c>
      <c r="G296" s="3">
        <v>3</v>
      </c>
      <c r="H296" s="2">
        <v>1.6256638127235291E-4</v>
      </c>
      <c r="I296" s="4">
        <v>1.6653345369377351E-16</v>
      </c>
      <c r="J296" s="4">
        <v>-0.40943101564692369</v>
      </c>
      <c r="K296" s="5">
        <v>3</v>
      </c>
      <c r="L296" s="5">
        <v>0</v>
      </c>
      <c r="M296" s="5">
        <v>2</v>
      </c>
    </row>
    <row r="297" spans="1:13" hidden="1" x14ac:dyDescent="0.25">
      <c r="A297" t="s">
        <v>308</v>
      </c>
      <c r="B297" s="1">
        <v>0.24647921637462561</v>
      </c>
      <c r="C297" s="2">
        <v>7.0230625924505555E-5</v>
      </c>
      <c r="D297" s="2"/>
      <c r="E297" s="2">
        <v>-0.37126805973160359</v>
      </c>
      <c r="F297" s="3">
        <v>56.640395416992959</v>
      </c>
      <c r="G297" s="3">
        <v>5</v>
      </c>
      <c r="H297" s="2">
        <v>2.7094396878725479E-4</v>
      </c>
      <c r="I297" s="4">
        <v>-3.0137746879081499E-2</v>
      </c>
      <c r="J297" s="4">
        <v>-0.3411303128525221</v>
      </c>
      <c r="K297" s="5">
        <v>5</v>
      </c>
      <c r="L297" s="5">
        <v>0</v>
      </c>
      <c r="M297" s="5">
        <v>0</v>
      </c>
    </row>
    <row r="298" spans="1:13" hidden="1" x14ac:dyDescent="0.25">
      <c r="A298" t="s">
        <v>309</v>
      </c>
      <c r="B298" s="1">
        <v>0.24533209639120471</v>
      </c>
      <c r="C298" s="2">
        <v>6.9903770964354638E-5</v>
      </c>
      <c r="D298" s="2"/>
      <c r="E298" s="2">
        <v>4.8176331039006648E-2</v>
      </c>
      <c r="F298" s="3">
        <v>94.426762908590973</v>
      </c>
      <c r="G298" s="3">
        <v>1</v>
      </c>
      <c r="H298" s="2">
        <v>5.4188793757450959E-5</v>
      </c>
      <c r="I298" s="4">
        <v>-9.0205620750793969E-17</v>
      </c>
      <c r="J298" s="4">
        <v>4.8176331039006738E-2</v>
      </c>
      <c r="K298" s="5">
        <v>1</v>
      </c>
      <c r="L298" s="5">
        <v>0</v>
      </c>
      <c r="M298" s="5">
        <v>0</v>
      </c>
    </row>
    <row r="299" spans="1:13" hidden="1" x14ac:dyDescent="0.25">
      <c r="A299" t="s">
        <v>310</v>
      </c>
      <c r="B299" s="1">
        <v>0.244203036314392</v>
      </c>
      <c r="C299" s="2">
        <v>6.9582061908851945E-5</v>
      </c>
      <c r="D299" s="2"/>
      <c r="E299" s="2">
        <v>1.893730812013334</v>
      </c>
      <c r="F299" s="3">
        <v>260.68670434144627</v>
      </c>
      <c r="G299" s="3">
        <v>1</v>
      </c>
      <c r="H299" s="2">
        <v>5.4188793757450959E-5</v>
      </c>
      <c r="I299" s="4">
        <v>-2.2204460492503131E-16</v>
      </c>
      <c r="J299" s="4">
        <v>1.893730812013334</v>
      </c>
      <c r="K299" s="5">
        <v>1</v>
      </c>
      <c r="L299" s="5">
        <v>0</v>
      </c>
      <c r="M299" s="5">
        <v>0</v>
      </c>
    </row>
    <row r="300" spans="1:13" hidden="1" x14ac:dyDescent="0.25">
      <c r="A300" t="s">
        <v>311</v>
      </c>
      <c r="B300" s="1">
        <v>0.2437970766517506</v>
      </c>
      <c r="C300" s="2">
        <v>6.9466389676414809E-5</v>
      </c>
      <c r="D300" s="2"/>
      <c r="E300" s="2">
        <v>7.1920952032317187E-2</v>
      </c>
      <c r="F300" s="3">
        <v>96.565837824227714</v>
      </c>
      <c r="G300" s="3">
        <v>4</v>
      </c>
      <c r="H300" s="2">
        <v>2.1675517502980381E-4</v>
      </c>
      <c r="I300" s="4">
        <v>-0.105899846033604</v>
      </c>
      <c r="J300" s="4">
        <v>0.17782079806592119</v>
      </c>
      <c r="K300" s="5">
        <v>4</v>
      </c>
      <c r="L300" s="5">
        <v>0</v>
      </c>
      <c r="M300" s="5">
        <v>4</v>
      </c>
    </row>
    <row r="301" spans="1:13" hidden="1" x14ac:dyDescent="0.25">
      <c r="A301" t="s">
        <v>312</v>
      </c>
      <c r="B301" s="1">
        <v>0.24355984992011701</v>
      </c>
      <c r="C301" s="2">
        <v>6.9398795409872965E-5</v>
      </c>
      <c r="D301" s="2"/>
      <c r="E301" s="2">
        <v>-0.27974086438319312</v>
      </c>
      <c r="F301" s="3">
        <v>64.885779823150685</v>
      </c>
      <c r="G301" s="3">
        <v>5</v>
      </c>
      <c r="H301" s="2">
        <v>2.7094396878725479E-4</v>
      </c>
      <c r="I301" s="4">
        <v>-4.4408920985006262E-16</v>
      </c>
      <c r="J301" s="4">
        <v>-0.27974086438319268</v>
      </c>
      <c r="K301" s="5">
        <v>5</v>
      </c>
      <c r="L301" s="5">
        <v>0</v>
      </c>
      <c r="M301" s="5">
        <v>0</v>
      </c>
    </row>
    <row r="302" spans="1:13" hidden="1" x14ac:dyDescent="0.25">
      <c r="A302" t="s">
        <v>313</v>
      </c>
      <c r="B302" s="1">
        <v>0.24144831806795039</v>
      </c>
      <c r="C302" s="2">
        <v>6.8797145478416679E-5</v>
      </c>
      <c r="D302" s="2"/>
      <c r="E302" s="2">
        <v>-0.25882784442004719</v>
      </c>
      <c r="F302" s="3">
        <v>66.769765102426305</v>
      </c>
      <c r="G302" s="3">
        <v>4</v>
      </c>
      <c r="H302" s="2">
        <v>2.1675517502980381E-4</v>
      </c>
      <c r="I302" s="4">
        <v>-0.15257880060598331</v>
      </c>
      <c r="J302" s="4">
        <v>-0.106249043814064</v>
      </c>
      <c r="K302" s="5">
        <v>4</v>
      </c>
      <c r="L302" s="5">
        <v>0</v>
      </c>
      <c r="M302" s="5">
        <v>0</v>
      </c>
    </row>
    <row r="303" spans="1:13" hidden="1" x14ac:dyDescent="0.25">
      <c r="A303" t="s">
        <v>314</v>
      </c>
      <c r="B303" s="1">
        <v>0.24130168237750241</v>
      </c>
      <c r="C303" s="2">
        <v>6.8755363796072383E-5</v>
      </c>
      <c r="D303" s="2"/>
      <c r="E303" s="2">
        <v>2.444753978951868</v>
      </c>
      <c r="F303" s="3">
        <v>310.32657160506773</v>
      </c>
      <c r="G303" s="3">
        <v>1</v>
      </c>
      <c r="H303" s="2">
        <v>5.4188793757450959E-5</v>
      </c>
      <c r="I303" s="4">
        <v>4.4408920985006262E-16</v>
      </c>
      <c r="J303" s="4">
        <v>2.444753978951868</v>
      </c>
      <c r="K303" s="5">
        <v>1</v>
      </c>
      <c r="L303" s="5">
        <v>0</v>
      </c>
      <c r="M303" s="5">
        <v>0</v>
      </c>
    </row>
    <row r="304" spans="1:13" hidden="1" x14ac:dyDescent="0.25">
      <c r="A304" t="s">
        <v>315</v>
      </c>
      <c r="B304" s="1">
        <v>0.24050985889117099</v>
      </c>
      <c r="C304" s="2">
        <v>6.8529745344810144E-5</v>
      </c>
      <c r="D304" s="2"/>
      <c r="E304" s="2">
        <v>2.089795262012379</v>
      </c>
      <c r="F304" s="3">
        <v>278.34950666451658</v>
      </c>
      <c r="G304" s="3">
        <v>2</v>
      </c>
      <c r="H304" s="2">
        <v>1.083775875149019E-4</v>
      </c>
      <c r="I304" s="4">
        <v>4.4408920985006262E-16</v>
      </c>
      <c r="J304" s="4">
        <v>2.0897952620123781</v>
      </c>
      <c r="K304" s="5">
        <v>2</v>
      </c>
      <c r="L304" s="5">
        <v>0</v>
      </c>
      <c r="M304" s="5">
        <v>0</v>
      </c>
    </row>
    <row r="305" spans="1:13" hidden="1" x14ac:dyDescent="0.25">
      <c r="A305" t="s">
        <v>316</v>
      </c>
      <c r="B305" s="1">
        <v>0.23840016739746581</v>
      </c>
      <c r="C305" s="2">
        <v>6.7928619796417739E-5</v>
      </c>
      <c r="D305" s="2"/>
      <c r="E305" s="2">
        <v>0.33273854250269252</v>
      </c>
      <c r="F305" s="3">
        <v>120.0620378894623</v>
      </c>
      <c r="G305" s="3">
        <v>4</v>
      </c>
      <c r="H305" s="2">
        <v>2.1675517502980381E-4</v>
      </c>
      <c r="I305" s="4">
        <v>-5.5511151231257827E-17</v>
      </c>
      <c r="J305" s="4">
        <v>0.33273854250269258</v>
      </c>
      <c r="K305" s="5">
        <v>4</v>
      </c>
      <c r="L305" s="5">
        <v>0</v>
      </c>
      <c r="M305" s="5">
        <v>0</v>
      </c>
    </row>
    <row r="306" spans="1:13" hidden="1" x14ac:dyDescent="0.25">
      <c r="A306" t="s">
        <v>317</v>
      </c>
      <c r="B306" s="1">
        <v>0.2368912389478505</v>
      </c>
      <c r="C306" s="2">
        <v>6.7498672837601115E-5</v>
      </c>
      <c r="D306" s="2"/>
      <c r="E306" s="2">
        <v>0.25724806384121729</v>
      </c>
      <c r="F306" s="3">
        <v>113.2613486167355</v>
      </c>
      <c r="G306" s="3">
        <v>1</v>
      </c>
      <c r="H306" s="2">
        <v>5.4188793757450959E-5</v>
      </c>
      <c r="I306" s="4">
        <v>-5.5511151231257827E-17</v>
      </c>
      <c r="J306" s="4">
        <v>0.2572480638412174</v>
      </c>
      <c r="K306" s="5">
        <v>1</v>
      </c>
      <c r="L306" s="5">
        <v>0</v>
      </c>
      <c r="M306" s="5">
        <v>0</v>
      </c>
    </row>
    <row r="307" spans="1:13" hidden="1" x14ac:dyDescent="0.25">
      <c r="A307" t="s">
        <v>318</v>
      </c>
      <c r="B307" s="1">
        <v>0.2365016297197258</v>
      </c>
      <c r="C307" s="2">
        <v>6.7387659420893524E-5</v>
      </c>
      <c r="D307" s="2"/>
      <c r="E307" s="2">
        <v>0.37277549179927472</v>
      </c>
      <c r="F307" s="3">
        <v>123.66883514948459</v>
      </c>
      <c r="G307" s="3">
        <v>3</v>
      </c>
      <c r="H307" s="2">
        <v>1.6256638127235291E-4</v>
      </c>
      <c r="I307" s="4">
        <v>-1.110223024625157E-16</v>
      </c>
      <c r="J307" s="4">
        <v>0.37277549179927483</v>
      </c>
      <c r="K307" s="5">
        <v>3</v>
      </c>
      <c r="L307" s="5">
        <v>0</v>
      </c>
      <c r="M307" s="5">
        <v>0</v>
      </c>
    </row>
    <row r="308" spans="1:13" hidden="1" x14ac:dyDescent="0.25">
      <c r="A308" t="s">
        <v>319</v>
      </c>
      <c r="B308" s="1">
        <v>0.2364697859496995</v>
      </c>
      <c r="C308" s="2">
        <v>6.7378586007184893E-5</v>
      </c>
      <c r="D308" s="2"/>
      <c r="E308" s="2">
        <v>0.27287712018739191</v>
      </c>
      <c r="F308" s="3">
        <v>114.6693189690352</v>
      </c>
      <c r="G308" s="3">
        <v>2</v>
      </c>
      <c r="H308" s="2">
        <v>1.083775875149019E-4</v>
      </c>
      <c r="I308" s="4">
        <v>-1.110223024625157E-16</v>
      </c>
      <c r="J308" s="4">
        <v>0.27287712018739202</v>
      </c>
      <c r="K308" s="5">
        <v>2</v>
      </c>
      <c r="L308" s="5">
        <v>2</v>
      </c>
      <c r="M308" s="5">
        <v>2</v>
      </c>
    </row>
    <row r="309" spans="1:13" hidden="1" x14ac:dyDescent="0.25">
      <c r="A309" t="s">
        <v>320</v>
      </c>
      <c r="B309" s="1">
        <v>0.2358800646329727</v>
      </c>
      <c r="C309" s="2">
        <v>6.7210553595349414E-5</v>
      </c>
      <c r="D309" s="2"/>
      <c r="E309" s="2">
        <v>-0.2159566964419776</v>
      </c>
      <c r="F309" s="3">
        <v>70.6318860126853</v>
      </c>
      <c r="G309" s="3">
        <v>7</v>
      </c>
      <c r="H309" s="2">
        <v>3.7932155630215669E-4</v>
      </c>
      <c r="I309" s="4">
        <v>1.3877787807814459E-16</v>
      </c>
      <c r="J309" s="4">
        <v>-0.21595669644197771</v>
      </c>
      <c r="K309" s="5">
        <v>7</v>
      </c>
      <c r="L309" s="5">
        <v>0</v>
      </c>
      <c r="M309" s="5">
        <v>7</v>
      </c>
    </row>
    <row r="310" spans="1:13" hidden="1" x14ac:dyDescent="0.25">
      <c r="A310" t="s">
        <v>321</v>
      </c>
      <c r="B310" s="1">
        <v>0.23562054843810629</v>
      </c>
      <c r="C310" s="2">
        <v>6.7136608274234342E-5</v>
      </c>
      <c r="D310" s="2"/>
      <c r="E310" s="2">
        <v>0.82536720956561571</v>
      </c>
      <c r="F310" s="3">
        <v>164.44133645711409</v>
      </c>
      <c r="G310" s="3">
        <v>1</v>
      </c>
      <c r="H310" s="2">
        <v>5.4188793757450959E-5</v>
      </c>
      <c r="I310" s="4">
        <v>0</v>
      </c>
      <c r="J310" s="4">
        <v>0.82536720956561571</v>
      </c>
      <c r="K310" s="5">
        <v>1</v>
      </c>
      <c r="L310" s="5">
        <v>0</v>
      </c>
      <c r="M310" s="5">
        <v>0</v>
      </c>
    </row>
    <row r="311" spans="1:13" hidden="1" x14ac:dyDescent="0.25">
      <c r="A311" t="s">
        <v>322</v>
      </c>
      <c r="B311" s="1">
        <v>0.2353435558663251</v>
      </c>
      <c r="C311" s="2">
        <v>6.7057683316670911E-5</v>
      </c>
      <c r="D311" s="2"/>
      <c r="E311" s="2">
        <v>-0.34541031009176132</v>
      </c>
      <c r="F311" s="3">
        <v>58.969835151785283</v>
      </c>
      <c r="G311" s="3">
        <v>3</v>
      </c>
      <c r="H311" s="2">
        <v>1.6256638127235291E-4</v>
      </c>
      <c r="I311" s="4">
        <v>-0.38393376596578938</v>
      </c>
      <c r="J311" s="4">
        <v>3.8523455874028112E-2</v>
      </c>
      <c r="K311" s="5">
        <v>3</v>
      </c>
      <c r="L311" s="5">
        <v>3</v>
      </c>
      <c r="M311" s="5">
        <v>2</v>
      </c>
    </row>
    <row r="312" spans="1:13" hidden="1" x14ac:dyDescent="0.25">
      <c r="A312" t="s">
        <v>323</v>
      </c>
      <c r="B312" s="1">
        <v>0.234600079032009</v>
      </c>
      <c r="C312" s="2">
        <v>6.6845840532510877E-5</v>
      </c>
      <c r="D312" s="2"/>
      <c r="E312" s="2">
        <v>-0.39960016554702171</v>
      </c>
      <c r="F312" s="3">
        <v>54.088049061412022</v>
      </c>
      <c r="G312" s="3">
        <v>11</v>
      </c>
      <c r="H312" s="2">
        <v>5.9607673133196056E-4</v>
      </c>
      <c r="I312" s="4">
        <v>-1.6653345369377351E-16</v>
      </c>
      <c r="J312" s="4">
        <v>-0.39960016554702149</v>
      </c>
      <c r="K312" s="5">
        <v>11</v>
      </c>
      <c r="L312" s="5">
        <v>0</v>
      </c>
      <c r="M312" s="5">
        <v>0</v>
      </c>
    </row>
    <row r="313" spans="1:13" hidden="1" x14ac:dyDescent="0.25">
      <c r="A313" t="s">
        <v>324</v>
      </c>
      <c r="B313" s="1">
        <v>0.23388592234448161</v>
      </c>
      <c r="C313" s="2">
        <v>6.6642352092751347E-5</v>
      </c>
      <c r="D313" s="2"/>
      <c r="E313" s="2">
        <v>-0.30103465912676791</v>
      </c>
      <c r="F313" s="3">
        <v>62.967491794568119</v>
      </c>
      <c r="G313" s="3">
        <v>1</v>
      </c>
      <c r="H313" s="2">
        <v>5.4188793757450959E-5</v>
      </c>
      <c r="I313" s="4">
        <v>-5.5511151231257827E-17</v>
      </c>
      <c r="J313" s="4">
        <v>-0.3010346591267678</v>
      </c>
      <c r="K313" s="5">
        <v>1</v>
      </c>
      <c r="L313" s="5">
        <v>0</v>
      </c>
      <c r="M313" s="5">
        <v>0</v>
      </c>
    </row>
    <row r="314" spans="1:13" hidden="1" x14ac:dyDescent="0.25">
      <c r="A314" t="s">
        <v>325</v>
      </c>
      <c r="B314" s="1">
        <v>0.2335158687722878</v>
      </c>
      <c r="C314" s="2">
        <v>6.6536910772452493E-5</v>
      </c>
      <c r="D314" s="2"/>
      <c r="E314" s="2">
        <v>0.103204904121384</v>
      </c>
      <c r="F314" s="3">
        <v>99.384106315207504</v>
      </c>
      <c r="G314" s="3">
        <v>4</v>
      </c>
      <c r="H314" s="2">
        <v>2.1675517502980381E-4</v>
      </c>
      <c r="I314" s="4">
        <v>2.775557561562891E-17</v>
      </c>
      <c r="J314" s="4">
        <v>0.103204904121384</v>
      </c>
      <c r="K314" s="5">
        <v>4</v>
      </c>
      <c r="L314" s="5">
        <v>0</v>
      </c>
      <c r="M314" s="5">
        <v>0</v>
      </c>
    </row>
    <row r="315" spans="1:13" hidden="1" x14ac:dyDescent="0.25">
      <c r="A315" t="s">
        <v>326</v>
      </c>
      <c r="B315" s="1">
        <v>0.23289855464648929</v>
      </c>
      <c r="C315" s="2">
        <v>6.6361016195682271E-5</v>
      </c>
      <c r="D315" s="2"/>
      <c r="E315" s="2">
        <v>0.62244638594325208</v>
      </c>
      <c r="F315" s="3">
        <v>146.160865954206</v>
      </c>
      <c r="G315" s="3">
        <v>2</v>
      </c>
      <c r="H315" s="2">
        <v>1.083775875149019E-4</v>
      </c>
      <c r="I315" s="4">
        <v>-4.4408920985006262E-16</v>
      </c>
      <c r="J315" s="4">
        <v>0.62244638594325252</v>
      </c>
      <c r="K315" s="5">
        <v>2</v>
      </c>
      <c r="L315" s="5">
        <v>0</v>
      </c>
      <c r="M315" s="5">
        <v>0</v>
      </c>
    </row>
    <row r="316" spans="1:13" hidden="1" x14ac:dyDescent="0.25">
      <c r="A316" t="s">
        <v>327</v>
      </c>
      <c r="B316" s="1">
        <v>0.23062947813730161</v>
      </c>
      <c r="C316" s="2">
        <v>6.5714476232375043E-5</v>
      </c>
      <c r="D316" s="2"/>
      <c r="E316" s="2">
        <v>0.68035380507502796</v>
      </c>
      <c r="F316" s="3">
        <v>151.3775551457893</v>
      </c>
      <c r="G316" s="3">
        <v>3</v>
      </c>
      <c r="H316" s="2">
        <v>1.6256638127235291E-4</v>
      </c>
      <c r="I316" s="4">
        <v>-8.7296862239339523E-2</v>
      </c>
      <c r="J316" s="4">
        <v>0.76765066731436749</v>
      </c>
      <c r="K316" s="5">
        <v>3</v>
      </c>
      <c r="L316" s="5">
        <v>0</v>
      </c>
      <c r="M316" s="5">
        <v>0</v>
      </c>
    </row>
    <row r="317" spans="1:13" hidden="1" x14ac:dyDescent="0.25">
      <c r="A317" t="s">
        <v>328</v>
      </c>
      <c r="B317" s="1">
        <v>0.23054206573267469</v>
      </c>
      <c r="C317" s="2">
        <v>6.5689569353893324E-5</v>
      </c>
      <c r="D317" s="2"/>
      <c r="E317" s="2">
        <v>1.468682810752979</v>
      </c>
      <c r="F317" s="3">
        <v>222.39552598599039</v>
      </c>
      <c r="G317" s="3">
        <v>1</v>
      </c>
      <c r="H317" s="2">
        <v>5.4188793757450959E-5</v>
      </c>
      <c r="I317" s="4">
        <v>4.4408920985006262E-16</v>
      </c>
      <c r="J317" s="4">
        <v>1.468682810752979</v>
      </c>
      <c r="K317" s="5">
        <v>1</v>
      </c>
      <c r="L317" s="5">
        <v>0</v>
      </c>
      <c r="M317" s="5">
        <v>0</v>
      </c>
    </row>
    <row r="318" spans="1:13" hidden="1" x14ac:dyDescent="0.25">
      <c r="A318" t="s">
        <v>329</v>
      </c>
      <c r="B318" s="1">
        <v>0.23008955627996841</v>
      </c>
      <c r="C318" s="2">
        <v>6.5560633443727121E-5</v>
      </c>
      <c r="D318" s="2"/>
      <c r="E318" s="2">
        <v>3.7576197427895197E-2</v>
      </c>
      <c r="F318" s="3">
        <v>93.471831687902522</v>
      </c>
      <c r="G318" s="3">
        <v>11</v>
      </c>
      <c r="H318" s="2">
        <v>5.9607673133196056E-4</v>
      </c>
      <c r="I318" s="4">
        <v>3.538835890992686E-16</v>
      </c>
      <c r="J318" s="4">
        <v>3.7576197427894843E-2</v>
      </c>
      <c r="K318" s="5">
        <v>11</v>
      </c>
      <c r="L318" s="5">
        <v>7</v>
      </c>
      <c r="M318" s="5">
        <v>0</v>
      </c>
    </row>
    <row r="319" spans="1:13" hidden="1" x14ac:dyDescent="0.25">
      <c r="A319" t="s">
        <v>330</v>
      </c>
      <c r="B319" s="1">
        <v>0.22940413328965739</v>
      </c>
      <c r="C319" s="2">
        <v>6.5365332248191723E-5</v>
      </c>
      <c r="D319" s="2"/>
      <c r="E319" s="2">
        <v>-0.56610354838278654</v>
      </c>
      <c r="F319" s="3">
        <v>39.088306185205028</v>
      </c>
      <c r="G319" s="3">
        <v>6</v>
      </c>
      <c r="H319" s="2">
        <v>3.2513276254470582E-4</v>
      </c>
      <c r="I319" s="4">
        <v>0</v>
      </c>
      <c r="J319" s="4">
        <v>-0.56610354838278654</v>
      </c>
      <c r="K319" s="5">
        <v>6</v>
      </c>
      <c r="L319" s="5">
        <v>0</v>
      </c>
      <c r="M319" s="5">
        <v>0</v>
      </c>
    </row>
    <row r="320" spans="1:13" hidden="1" x14ac:dyDescent="0.25">
      <c r="A320" t="s">
        <v>331</v>
      </c>
      <c r="B320" s="1">
        <v>0.22919004137163029</v>
      </c>
      <c r="C320" s="2">
        <v>6.5304329906373308E-5</v>
      </c>
      <c r="D320" s="2"/>
      <c r="E320" s="2">
        <v>0.28076270926156249</v>
      </c>
      <c r="F320" s="3">
        <v>115.3797057883628</v>
      </c>
      <c r="G320" s="3">
        <v>3</v>
      </c>
      <c r="H320" s="2">
        <v>1.6256638127235291E-4</v>
      </c>
      <c r="I320" s="4">
        <v>1.6653345369377351E-16</v>
      </c>
      <c r="J320" s="4">
        <v>0.28076270926156238</v>
      </c>
      <c r="K320" s="5">
        <v>3</v>
      </c>
      <c r="L320" s="5">
        <v>0</v>
      </c>
      <c r="M320" s="5">
        <v>0</v>
      </c>
    </row>
    <row r="321" spans="1:13" hidden="1" x14ac:dyDescent="0.25">
      <c r="A321" t="s">
        <v>332</v>
      </c>
      <c r="B321" s="1">
        <v>0.22780797128307201</v>
      </c>
      <c r="C321" s="2">
        <v>6.4910529370901539E-5</v>
      </c>
      <c r="D321" s="2"/>
      <c r="E321" s="2">
        <v>0.82716668050878872</v>
      </c>
      <c r="F321" s="3">
        <v>164.60344488398869</v>
      </c>
      <c r="G321" s="3">
        <v>4</v>
      </c>
      <c r="H321" s="2">
        <v>2.1675517502980381E-4</v>
      </c>
      <c r="I321" s="4">
        <v>3.3306690738754701E-16</v>
      </c>
      <c r="J321" s="4">
        <v>0.82716668050878839</v>
      </c>
      <c r="K321" s="5">
        <v>4</v>
      </c>
      <c r="L321" s="5">
        <v>0</v>
      </c>
      <c r="M321" s="5">
        <v>1</v>
      </c>
    </row>
    <row r="322" spans="1:13" hidden="1" x14ac:dyDescent="0.25">
      <c r="A322" t="s">
        <v>333</v>
      </c>
      <c r="B322" s="1">
        <v>0.2272509629680636</v>
      </c>
      <c r="C322" s="2">
        <v>6.4751818047555182E-5</v>
      </c>
      <c r="D322" s="2"/>
      <c r="E322" s="2">
        <v>3.862755521802308E-2</v>
      </c>
      <c r="F322" s="3">
        <v>93.56654505801086</v>
      </c>
      <c r="G322" s="3">
        <v>3</v>
      </c>
      <c r="H322" s="2">
        <v>1.6256638127235291E-4</v>
      </c>
      <c r="I322" s="4">
        <v>0.35455627670898582</v>
      </c>
      <c r="J322" s="4">
        <v>-0.31592872149096268</v>
      </c>
      <c r="K322" s="5">
        <v>3</v>
      </c>
      <c r="L322" s="5">
        <v>0</v>
      </c>
      <c r="M322" s="5">
        <v>1</v>
      </c>
    </row>
    <row r="323" spans="1:13" hidden="1" x14ac:dyDescent="0.25">
      <c r="A323" t="s">
        <v>334</v>
      </c>
      <c r="B323" s="1">
        <v>0.22719896736028161</v>
      </c>
      <c r="C323" s="2">
        <v>6.4737002664199265E-5</v>
      </c>
      <c r="D323" s="2"/>
      <c r="E323" s="2">
        <v>2.813628263090551E-2</v>
      </c>
      <c r="F323" s="3">
        <v>92.621420769417966</v>
      </c>
      <c r="G323" s="3">
        <v>4</v>
      </c>
      <c r="H323" s="2">
        <v>2.1675517502980381E-4</v>
      </c>
      <c r="I323" s="4">
        <v>1.700029006457271E-16</v>
      </c>
      <c r="J323" s="4">
        <v>2.813628263090534E-2</v>
      </c>
      <c r="K323" s="5">
        <v>3</v>
      </c>
      <c r="L323" s="5">
        <v>0</v>
      </c>
      <c r="M323" s="5">
        <v>1</v>
      </c>
    </row>
    <row r="324" spans="1:13" hidden="1" x14ac:dyDescent="0.25">
      <c r="A324" t="s">
        <v>335</v>
      </c>
      <c r="B324" s="1">
        <v>0.22520127534739631</v>
      </c>
      <c r="C324" s="2">
        <v>6.4167789719866958E-5</v>
      </c>
      <c r="D324" s="2"/>
      <c r="E324" s="2">
        <v>0.1060537612119672</v>
      </c>
      <c r="F324" s="3">
        <v>99.640750493373858</v>
      </c>
      <c r="G324" s="3">
        <v>2</v>
      </c>
      <c r="H324" s="2">
        <v>1.083775875149019E-4</v>
      </c>
      <c r="I324" s="4">
        <v>-4.163336342344337E-17</v>
      </c>
      <c r="J324" s="4">
        <v>0.1060537612119672</v>
      </c>
      <c r="K324" s="5">
        <v>2</v>
      </c>
      <c r="L324" s="5">
        <v>0</v>
      </c>
      <c r="M324" s="5">
        <v>0</v>
      </c>
    </row>
    <row r="325" spans="1:13" hidden="1" x14ac:dyDescent="0.25">
      <c r="A325" t="s">
        <v>336</v>
      </c>
      <c r="B325" s="1">
        <v>0.22512540315089269</v>
      </c>
      <c r="C325" s="2">
        <v>6.4146171053883316E-5</v>
      </c>
      <c r="D325" s="2"/>
      <c r="E325" s="2">
        <v>5.8487353715841444</v>
      </c>
      <c r="F325" s="3">
        <v>616.98007482692367</v>
      </c>
      <c r="G325" s="3">
        <v>3</v>
      </c>
      <c r="H325" s="2">
        <v>1.6256638127235291E-4</v>
      </c>
      <c r="I325" s="4">
        <v>8.8817841970012523E-16</v>
      </c>
      <c r="J325" s="4">
        <v>5.8487353715841426</v>
      </c>
      <c r="K325" s="5">
        <v>3</v>
      </c>
      <c r="L325" s="5">
        <v>0</v>
      </c>
      <c r="M325" s="5">
        <v>0</v>
      </c>
    </row>
    <row r="326" spans="1:13" hidden="1" x14ac:dyDescent="0.25">
      <c r="A326" t="s">
        <v>337</v>
      </c>
      <c r="B326" s="1">
        <v>0.22503073825573891</v>
      </c>
      <c r="C326" s="2">
        <v>6.4119197684941632E-5</v>
      </c>
      <c r="D326" s="2"/>
      <c r="E326" s="2">
        <v>-0.28132087144092682</v>
      </c>
      <c r="F326" s="3">
        <v>64.743442176882112</v>
      </c>
      <c r="G326" s="3">
        <v>6</v>
      </c>
      <c r="H326" s="2">
        <v>3.2513276254470582E-4</v>
      </c>
      <c r="I326" s="4">
        <v>0</v>
      </c>
      <c r="J326" s="4">
        <v>-0.28132087144092682</v>
      </c>
      <c r="K326" s="5">
        <v>6</v>
      </c>
      <c r="L326" s="5">
        <v>0</v>
      </c>
      <c r="M326" s="5">
        <v>2</v>
      </c>
    </row>
    <row r="327" spans="1:13" hidden="1" x14ac:dyDescent="0.25">
      <c r="A327" t="s">
        <v>338</v>
      </c>
      <c r="B327" s="1">
        <v>0.22313246975585621</v>
      </c>
      <c r="C327" s="2">
        <v>6.3578314007687033E-5</v>
      </c>
      <c r="D327" s="2"/>
      <c r="E327" s="2">
        <v>-0.30215796172707637</v>
      </c>
      <c r="F327" s="3">
        <v>62.866297152814653</v>
      </c>
      <c r="G327" s="3">
        <v>2</v>
      </c>
      <c r="H327" s="2">
        <v>1.083775875149019E-4</v>
      </c>
      <c r="I327" s="4">
        <v>5.5511151231257827E-17</v>
      </c>
      <c r="J327" s="4">
        <v>-0.30215796172707649</v>
      </c>
      <c r="K327" s="5">
        <v>2</v>
      </c>
      <c r="L327" s="5">
        <v>0</v>
      </c>
      <c r="M327" s="5">
        <v>0</v>
      </c>
    </row>
    <row r="328" spans="1:13" hidden="1" x14ac:dyDescent="0.25">
      <c r="A328" t="s">
        <v>339</v>
      </c>
      <c r="B328" s="1">
        <v>0.22147142261707839</v>
      </c>
      <c r="C328" s="2">
        <v>6.3105023066721181E-5</v>
      </c>
      <c r="D328" s="2"/>
      <c r="E328" s="2">
        <v>-0.5941328835496722</v>
      </c>
      <c r="F328" s="3">
        <v>36.563235442894552</v>
      </c>
      <c r="G328" s="3">
        <v>3</v>
      </c>
      <c r="H328" s="2">
        <v>1.6256638127235291E-4</v>
      </c>
      <c r="I328" s="4">
        <v>1.110223024625157E-16</v>
      </c>
      <c r="J328" s="4">
        <v>-0.59413288354967231</v>
      </c>
      <c r="K328" s="5">
        <v>3</v>
      </c>
      <c r="L328" s="5">
        <v>0</v>
      </c>
      <c r="M328" s="5">
        <v>0</v>
      </c>
    </row>
    <row r="329" spans="1:13" hidden="1" x14ac:dyDescent="0.25">
      <c r="A329" t="s">
        <v>340</v>
      </c>
      <c r="B329" s="1">
        <v>0.2213669478944138</v>
      </c>
      <c r="C329" s="2">
        <v>6.3075254531775541E-5</v>
      </c>
      <c r="D329" s="2"/>
      <c r="E329" s="2">
        <v>0.86233101085870745</v>
      </c>
      <c r="F329" s="3">
        <v>167.7712839073138</v>
      </c>
      <c r="G329" s="3">
        <v>1</v>
      </c>
      <c r="H329" s="2">
        <v>5.4188793757450959E-5</v>
      </c>
      <c r="I329" s="4">
        <v>0</v>
      </c>
      <c r="J329" s="4">
        <v>0.86233101085870745</v>
      </c>
      <c r="K329" s="5">
        <v>1</v>
      </c>
      <c r="L329" s="5">
        <v>0</v>
      </c>
      <c r="M329" s="5">
        <v>0</v>
      </c>
    </row>
    <row r="330" spans="1:13" hidden="1" x14ac:dyDescent="0.25">
      <c r="A330" t="s">
        <v>341</v>
      </c>
      <c r="B330" s="1">
        <v>0.22002088362714139</v>
      </c>
      <c r="C330" s="2">
        <v>6.2691713325276966E-5</v>
      </c>
      <c r="D330" s="2"/>
      <c r="E330" s="2">
        <v>2.1321165978345329</v>
      </c>
      <c r="F330" s="3">
        <v>282.16209680351761</v>
      </c>
      <c r="G330" s="3">
        <v>2</v>
      </c>
      <c r="H330" s="2">
        <v>1.083775875149019E-4</v>
      </c>
      <c r="I330" s="4">
        <v>0</v>
      </c>
      <c r="J330" s="4">
        <v>2.1321165978345329</v>
      </c>
      <c r="K330" s="5">
        <v>2</v>
      </c>
      <c r="L330" s="5">
        <v>0</v>
      </c>
      <c r="M330" s="5">
        <v>0</v>
      </c>
    </row>
    <row r="331" spans="1:13" hidden="1" x14ac:dyDescent="0.25">
      <c r="A331" t="s">
        <v>342</v>
      </c>
      <c r="B331" s="1">
        <v>0.21975537436899209</v>
      </c>
      <c r="C331" s="2">
        <v>6.2616060368963434E-5</v>
      </c>
      <c r="D331" s="2"/>
      <c r="E331" s="2">
        <v>0.89806348761063237</v>
      </c>
      <c r="F331" s="3">
        <v>170.99030537390831</v>
      </c>
      <c r="G331" s="3">
        <v>1</v>
      </c>
      <c r="H331" s="2">
        <v>5.4188793757450959E-5</v>
      </c>
      <c r="I331" s="4">
        <v>-1.110223024625157E-16</v>
      </c>
      <c r="J331" s="4">
        <v>0.89806348761063248</v>
      </c>
      <c r="K331" s="5">
        <v>1</v>
      </c>
      <c r="L331" s="5">
        <v>0</v>
      </c>
      <c r="M331" s="5">
        <v>1</v>
      </c>
    </row>
    <row r="332" spans="1:13" hidden="1" x14ac:dyDescent="0.25">
      <c r="A332" t="s">
        <v>343</v>
      </c>
      <c r="B332" s="1">
        <v>0.2182980504206711</v>
      </c>
      <c r="C332" s="2">
        <v>6.2200817353463944E-5</v>
      </c>
      <c r="D332" s="2"/>
      <c r="E332" s="2">
        <v>-0.213085780900721</v>
      </c>
      <c r="F332" s="3">
        <v>70.890517364221452</v>
      </c>
      <c r="G332" s="3">
        <v>3</v>
      </c>
      <c r="H332" s="2">
        <v>1.6256638127235291E-4</v>
      </c>
      <c r="I332" s="4">
        <v>2.4980018054066022E-16</v>
      </c>
      <c r="J332" s="4">
        <v>-0.21308578090072119</v>
      </c>
      <c r="K332" s="5">
        <v>3</v>
      </c>
      <c r="L332" s="5">
        <v>0</v>
      </c>
      <c r="M332" s="5">
        <v>0</v>
      </c>
    </row>
    <row r="333" spans="1:13" hidden="1" x14ac:dyDescent="0.25">
      <c r="A333" t="s">
        <v>344</v>
      </c>
      <c r="B333" s="1">
        <v>0.21816441579228321</v>
      </c>
      <c r="C333" s="2">
        <v>6.2162740132451494E-5</v>
      </c>
      <c r="D333" s="2"/>
      <c r="E333" s="2">
        <v>0.16479938517847101</v>
      </c>
      <c r="F333" s="3">
        <v>104.9329508054184</v>
      </c>
      <c r="G333" s="3">
        <v>5</v>
      </c>
      <c r="H333" s="2">
        <v>2.7094396878725479E-4</v>
      </c>
      <c r="I333" s="4">
        <v>1.6653345369377351E-16</v>
      </c>
      <c r="J333" s="4">
        <v>0.1647993851784709</v>
      </c>
      <c r="K333" s="5">
        <v>5</v>
      </c>
      <c r="L333" s="5">
        <v>0</v>
      </c>
      <c r="M333" s="5">
        <v>0</v>
      </c>
    </row>
    <row r="334" spans="1:13" hidden="1" x14ac:dyDescent="0.25">
      <c r="A334" t="s">
        <v>345</v>
      </c>
      <c r="B334" s="1">
        <v>0.217943538534625</v>
      </c>
      <c r="C334" s="2">
        <v>6.2099804407947048E-5</v>
      </c>
      <c r="D334" s="2"/>
      <c r="E334" s="2">
        <v>-0.1088485190716134</v>
      </c>
      <c r="F334" s="3">
        <v>80.280909913174696</v>
      </c>
      <c r="G334" s="3">
        <v>3</v>
      </c>
      <c r="H334" s="2">
        <v>1.6256638127235291E-4</v>
      </c>
      <c r="I334" s="4">
        <v>2.2204460492503131E-16</v>
      </c>
      <c r="J334" s="4">
        <v>-0.10884851907161359</v>
      </c>
      <c r="K334" s="5">
        <v>2</v>
      </c>
      <c r="L334" s="5">
        <v>0</v>
      </c>
      <c r="M334" s="5">
        <v>0</v>
      </c>
    </row>
    <row r="335" spans="1:13" hidden="1" x14ac:dyDescent="0.25">
      <c r="A335" t="s">
        <v>346</v>
      </c>
      <c r="B335" s="1">
        <v>0.21787849641177631</v>
      </c>
      <c r="C335" s="2">
        <v>6.2081271612093877E-5</v>
      </c>
      <c r="D335" s="2"/>
      <c r="E335" s="2">
        <v>-0.47376564839241098</v>
      </c>
      <c r="F335" s="3">
        <v>47.406724309782867</v>
      </c>
      <c r="G335" s="3">
        <v>5</v>
      </c>
      <c r="H335" s="2">
        <v>2.7094396878725479E-4</v>
      </c>
      <c r="I335" s="4">
        <v>0</v>
      </c>
      <c r="J335" s="4">
        <v>-0.47376564839241098</v>
      </c>
      <c r="K335" s="5">
        <v>5</v>
      </c>
      <c r="L335" s="5">
        <v>0</v>
      </c>
      <c r="M335" s="5">
        <v>0</v>
      </c>
    </row>
    <row r="336" spans="1:13" hidden="1" x14ac:dyDescent="0.25">
      <c r="A336" t="s">
        <v>347</v>
      </c>
      <c r="B336" s="1">
        <v>0.2168716762083836</v>
      </c>
      <c r="C336" s="2">
        <v>6.1794393009841927E-5</v>
      </c>
      <c r="D336" s="2"/>
      <c r="E336" s="2">
        <v>-2.5656079453524879E-2</v>
      </c>
      <c r="F336" s="3">
        <v>87.775443551248415</v>
      </c>
      <c r="G336" s="3">
        <v>3</v>
      </c>
      <c r="H336" s="2">
        <v>1.6256638127235291E-4</v>
      </c>
      <c r="I336" s="4">
        <v>2.4286128663675299E-17</v>
      </c>
      <c r="J336" s="4">
        <v>-2.565607945352491E-2</v>
      </c>
      <c r="K336" s="5">
        <v>3</v>
      </c>
      <c r="L336" s="5">
        <v>0</v>
      </c>
      <c r="M336" s="5">
        <v>2</v>
      </c>
    </row>
    <row r="337" spans="1:13" hidden="1" x14ac:dyDescent="0.25">
      <c r="A337" t="s">
        <v>348</v>
      </c>
      <c r="B337" s="1">
        <v>0.2155417042562415</v>
      </c>
      <c r="C337" s="2">
        <v>6.141543707175175E-5</v>
      </c>
      <c r="D337" s="2"/>
      <c r="E337" s="2">
        <v>0.69720152761090104</v>
      </c>
      <c r="F337" s="3">
        <v>152.89531113238709</v>
      </c>
      <c r="G337" s="3">
        <v>3</v>
      </c>
      <c r="H337" s="2">
        <v>1.6256638127235291E-4</v>
      </c>
      <c r="I337" s="4">
        <v>-0.11298596068316739</v>
      </c>
      <c r="J337" s="4">
        <v>0.81018748829406839</v>
      </c>
      <c r="K337" s="5">
        <v>3</v>
      </c>
      <c r="L337" s="5">
        <v>0</v>
      </c>
      <c r="M337" s="5">
        <v>3</v>
      </c>
    </row>
    <row r="338" spans="1:13" hidden="1" x14ac:dyDescent="0.25">
      <c r="A338" t="s">
        <v>349</v>
      </c>
      <c r="B338" s="1">
        <v>0.21497335703468529</v>
      </c>
      <c r="C338" s="2">
        <v>6.1253494893829237E-5</v>
      </c>
      <c r="D338" s="2"/>
      <c r="E338" s="2">
        <v>-0.22287327881874811</v>
      </c>
      <c r="F338" s="3">
        <v>70.008793824005892</v>
      </c>
      <c r="G338" s="3">
        <v>2</v>
      </c>
      <c r="H338" s="2">
        <v>1.083775875149019E-4</v>
      </c>
      <c r="I338" s="4">
        <v>1.6653345369377351E-16</v>
      </c>
      <c r="J338" s="4">
        <v>-0.22287327881874819</v>
      </c>
      <c r="K338" s="5">
        <v>2</v>
      </c>
      <c r="L338" s="5">
        <v>0</v>
      </c>
      <c r="M338" s="5">
        <v>0</v>
      </c>
    </row>
    <row r="339" spans="1:13" hidden="1" x14ac:dyDescent="0.25">
      <c r="A339" t="s">
        <v>350</v>
      </c>
      <c r="B339" s="1">
        <v>0.21495911405998211</v>
      </c>
      <c r="C339" s="2">
        <v>6.1249436567763652E-5</v>
      </c>
      <c r="D339" s="2"/>
      <c r="E339" s="2">
        <v>0.1239832026894532</v>
      </c>
      <c r="F339" s="3">
        <v>101.2559549864956</v>
      </c>
      <c r="G339" s="3">
        <v>4</v>
      </c>
      <c r="H339" s="2">
        <v>2.1675517502980381E-4</v>
      </c>
      <c r="I339" s="4">
        <v>4.8922924161267992E-2</v>
      </c>
      <c r="J339" s="4">
        <v>7.5060278528185184E-2</v>
      </c>
      <c r="K339" s="5">
        <v>4</v>
      </c>
      <c r="L339" s="5">
        <v>0</v>
      </c>
      <c r="M339" s="5">
        <v>4</v>
      </c>
    </row>
    <row r="340" spans="1:13" hidden="1" x14ac:dyDescent="0.25">
      <c r="A340" t="s">
        <v>351</v>
      </c>
      <c r="B340" s="1">
        <v>0.21483629281930411</v>
      </c>
      <c r="C340" s="2">
        <v>6.1214440462467173E-5</v>
      </c>
      <c r="D340" s="2"/>
      <c r="E340" s="2">
        <v>0.55065192404568308</v>
      </c>
      <c r="F340" s="3">
        <v>139.6931386921035</v>
      </c>
      <c r="G340" s="3">
        <v>1</v>
      </c>
      <c r="H340" s="2">
        <v>5.4188793757450959E-5</v>
      </c>
      <c r="I340" s="4">
        <v>1.110223024625157E-16</v>
      </c>
      <c r="J340" s="4">
        <v>0.55065192404568297</v>
      </c>
      <c r="K340" s="5">
        <v>1</v>
      </c>
      <c r="L340" s="5">
        <v>0</v>
      </c>
      <c r="M340" s="5">
        <v>0</v>
      </c>
    </row>
    <row r="341" spans="1:13" hidden="1" x14ac:dyDescent="0.25">
      <c r="A341" t="s">
        <v>352</v>
      </c>
      <c r="B341" s="1">
        <v>0.2148263302341914</v>
      </c>
      <c r="C341" s="2">
        <v>6.121160177043228E-5</v>
      </c>
      <c r="D341" s="2"/>
      <c r="E341" s="2">
        <v>0.77628559076672321</v>
      </c>
      <c r="F341" s="3">
        <v>160.01973462901441</v>
      </c>
      <c r="G341" s="3">
        <v>2</v>
      </c>
      <c r="H341" s="2">
        <v>1.083775875149019E-4</v>
      </c>
      <c r="I341" s="4">
        <v>-0.67663636607221411</v>
      </c>
      <c r="J341" s="4">
        <v>1.4529219568389371</v>
      </c>
      <c r="K341" s="5">
        <v>2</v>
      </c>
      <c r="L341" s="5">
        <v>0</v>
      </c>
      <c r="M341" s="5">
        <v>2</v>
      </c>
    </row>
    <row r="342" spans="1:13" hidden="1" x14ac:dyDescent="0.25">
      <c r="A342" t="s">
        <v>353</v>
      </c>
      <c r="B342" s="1">
        <v>0.2147868780430611</v>
      </c>
      <c r="C342" s="2">
        <v>6.120036044908304E-5</v>
      </c>
      <c r="D342" s="2"/>
      <c r="E342" s="2">
        <v>1.8135209909493331</v>
      </c>
      <c r="F342" s="3">
        <v>253.46086501244409</v>
      </c>
      <c r="G342" s="3">
        <v>3</v>
      </c>
      <c r="H342" s="2">
        <v>1.6256638127235291E-4</v>
      </c>
      <c r="I342" s="4">
        <v>-2.2204460492503131E-16</v>
      </c>
      <c r="J342" s="4">
        <v>1.8135209909493331</v>
      </c>
      <c r="K342" s="5">
        <v>3</v>
      </c>
      <c r="L342" s="5">
        <v>0</v>
      </c>
      <c r="M342" s="5">
        <v>1</v>
      </c>
    </row>
    <row r="343" spans="1:13" hidden="1" x14ac:dyDescent="0.25">
      <c r="A343" t="s">
        <v>354</v>
      </c>
      <c r="B343" s="1">
        <v>0.2138433640032544</v>
      </c>
      <c r="C343" s="2">
        <v>6.0931520006635892E-5</v>
      </c>
      <c r="D343" s="2"/>
      <c r="E343" s="2">
        <v>3.235310101328877</v>
      </c>
      <c r="F343" s="3">
        <v>381.54517607368052</v>
      </c>
      <c r="G343" s="3">
        <v>3</v>
      </c>
      <c r="H343" s="2">
        <v>1.6256638127235291E-4</v>
      </c>
      <c r="I343" s="4">
        <v>-8.8817841970012523E-16</v>
      </c>
      <c r="J343" s="4">
        <v>3.2353101013288779</v>
      </c>
      <c r="K343" s="5">
        <v>3</v>
      </c>
      <c r="L343" s="5">
        <v>0</v>
      </c>
      <c r="M343" s="5">
        <v>0</v>
      </c>
    </row>
    <row r="344" spans="1:13" hidden="1" x14ac:dyDescent="0.25">
      <c r="A344" t="s">
        <v>355</v>
      </c>
      <c r="B344" s="1">
        <v>0.21379385981801341</v>
      </c>
      <c r="C344" s="2">
        <v>6.0917414517473392E-5</v>
      </c>
      <c r="D344" s="2"/>
      <c r="E344" s="2">
        <v>-0.30598094752566041</v>
      </c>
      <c r="F344" s="3">
        <v>62.521896918888388</v>
      </c>
      <c r="G344" s="3">
        <v>1</v>
      </c>
      <c r="H344" s="2">
        <v>5.4188793757450959E-5</v>
      </c>
      <c r="I344" s="4">
        <v>0</v>
      </c>
      <c r="J344" s="4">
        <v>-0.30598094752566041</v>
      </c>
      <c r="K344" s="5">
        <v>1</v>
      </c>
      <c r="L344" s="5">
        <v>0</v>
      </c>
      <c r="M344" s="5">
        <v>1</v>
      </c>
    </row>
    <row r="345" spans="1:13" hidden="1" x14ac:dyDescent="0.25">
      <c r="A345" t="s">
        <v>356</v>
      </c>
      <c r="B345" s="1">
        <v>0.21350333729768789</v>
      </c>
      <c r="C345" s="2">
        <v>6.0834634400156648E-5</v>
      </c>
      <c r="D345" s="2"/>
      <c r="E345" s="2">
        <v>1.596344573401808</v>
      </c>
      <c r="F345" s="3">
        <v>233.89615487558251</v>
      </c>
      <c r="G345" s="3">
        <v>1</v>
      </c>
      <c r="H345" s="2">
        <v>5.4188793757450959E-5</v>
      </c>
      <c r="I345" s="4">
        <v>-2.2204460492503131E-16</v>
      </c>
      <c r="J345" s="4">
        <v>1.5963445734018089</v>
      </c>
      <c r="K345" s="5">
        <v>1</v>
      </c>
      <c r="L345" s="5">
        <v>0</v>
      </c>
      <c r="M345" s="5">
        <v>0</v>
      </c>
    </row>
    <row r="346" spans="1:13" hidden="1" x14ac:dyDescent="0.25">
      <c r="A346" t="s">
        <v>357</v>
      </c>
      <c r="B346" s="1">
        <v>0.2131628130499772</v>
      </c>
      <c r="C346" s="2">
        <v>6.0737607026364428E-5</v>
      </c>
      <c r="D346" s="2"/>
      <c r="E346" s="2">
        <v>2.6222860625387212</v>
      </c>
      <c r="F346" s="3">
        <v>326.31985390796677</v>
      </c>
      <c r="G346" s="3">
        <v>1</v>
      </c>
      <c r="H346" s="2">
        <v>5.4188793757450959E-5</v>
      </c>
      <c r="I346" s="4">
        <v>-4.4408920985006262E-16</v>
      </c>
      <c r="J346" s="4">
        <v>2.6222860625387212</v>
      </c>
      <c r="K346" s="5">
        <v>1</v>
      </c>
      <c r="L346" s="5">
        <v>0</v>
      </c>
      <c r="M346" s="5">
        <v>0</v>
      </c>
    </row>
    <row r="347" spans="1:13" hidden="1" x14ac:dyDescent="0.25">
      <c r="A347" t="s">
        <v>358</v>
      </c>
      <c r="B347" s="1">
        <v>0.21312821774395951</v>
      </c>
      <c r="C347" s="2">
        <v>6.0727749602962123E-5</v>
      </c>
      <c r="D347" s="2"/>
      <c r="E347" s="2">
        <v>0.26473916139730358</v>
      </c>
      <c r="F347" s="3">
        <v>113.9361969909136</v>
      </c>
      <c r="G347" s="3">
        <v>3</v>
      </c>
      <c r="H347" s="2">
        <v>1.6256638127235291E-4</v>
      </c>
      <c r="I347" s="4">
        <v>-0.35087837759295881</v>
      </c>
      <c r="J347" s="4">
        <v>0.61561753899026239</v>
      </c>
      <c r="K347" s="5">
        <v>3</v>
      </c>
      <c r="L347" s="5">
        <v>0</v>
      </c>
      <c r="M347" s="5">
        <v>3</v>
      </c>
    </row>
    <row r="348" spans="1:13" hidden="1" x14ac:dyDescent="0.25">
      <c r="A348" t="s">
        <v>359</v>
      </c>
      <c r="B348" s="1">
        <v>0.21181361394296819</v>
      </c>
      <c r="C348" s="2">
        <v>6.0353172593410033E-5</v>
      </c>
      <c r="D348" s="2"/>
      <c r="E348" s="2">
        <v>-3.9564502527665302E-2</v>
      </c>
      <c r="F348" s="3">
        <v>86.522479398974156</v>
      </c>
      <c r="G348" s="3">
        <v>5</v>
      </c>
      <c r="H348" s="2">
        <v>2.7094396878725479E-4</v>
      </c>
      <c r="I348" s="4">
        <v>-1.040834085586084E-16</v>
      </c>
      <c r="J348" s="4">
        <v>-3.9564502527665198E-2</v>
      </c>
      <c r="K348" s="5">
        <v>5</v>
      </c>
      <c r="L348" s="5">
        <v>0</v>
      </c>
      <c r="M348" s="5">
        <v>0</v>
      </c>
    </row>
    <row r="349" spans="1:13" hidden="1" x14ac:dyDescent="0.25">
      <c r="A349" t="s">
        <v>360</v>
      </c>
      <c r="B349" s="1">
        <v>0.21165135965237639</v>
      </c>
      <c r="C349" s="2">
        <v>6.0306940620772307E-5</v>
      </c>
      <c r="D349" s="2"/>
      <c r="E349" s="2">
        <v>0.58149156485266507</v>
      </c>
      <c r="F349" s="3">
        <v>142.47138063902889</v>
      </c>
      <c r="G349" s="3">
        <v>2</v>
      </c>
      <c r="H349" s="2">
        <v>1.083775875149019E-4</v>
      </c>
      <c r="I349" s="4">
        <v>2.2204460492503131E-16</v>
      </c>
      <c r="J349" s="4">
        <v>0.58149156485266484</v>
      </c>
      <c r="K349" s="5">
        <v>2</v>
      </c>
      <c r="L349" s="5">
        <v>0</v>
      </c>
      <c r="M349" s="5">
        <v>2</v>
      </c>
    </row>
    <row r="350" spans="1:13" hidden="1" x14ac:dyDescent="0.25">
      <c r="A350" t="s">
        <v>361</v>
      </c>
      <c r="B350" s="1">
        <v>0.21153832543325429</v>
      </c>
      <c r="C350" s="2">
        <v>6.0274733183258517E-5</v>
      </c>
      <c r="D350" s="2"/>
      <c r="E350" s="2">
        <v>2.8735822158494791E-2</v>
      </c>
      <c r="F350" s="3">
        <v>92.675431316259733</v>
      </c>
      <c r="G350" s="3">
        <v>4</v>
      </c>
      <c r="H350" s="2">
        <v>2.1675517502980381E-4</v>
      </c>
      <c r="I350" s="4">
        <v>-1.387778780781446E-17</v>
      </c>
      <c r="J350" s="4">
        <v>2.8735822158494809E-2</v>
      </c>
      <c r="K350" s="5">
        <v>4</v>
      </c>
      <c r="L350" s="5">
        <v>0</v>
      </c>
      <c r="M350" s="5">
        <v>0</v>
      </c>
    </row>
    <row r="351" spans="1:13" hidden="1" x14ac:dyDescent="0.25">
      <c r="A351" t="s">
        <v>362</v>
      </c>
      <c r="B351" s="1">
        <v>0.21075941808284951</v>
      </c>
      <c r="C351" s="2">
        <v>6.0052794994875981E-5</v>
      </c>
      <c r="D351" s="2"/>
      <c r="E351" s="2">
        <v>2.052089163290538</v>
      </c>
      <c r="F351" s="3">
        <v>274.95268807705071</v>
      </c>
      <c r="G351" s="3">
        <v>1</v>
      </c>
      <c r="H351" s="2">
        <v>5.4188793757450959E-5</v>
      </c>
      <c r="I351" s="4">
        <v>0</v>
      </c>
      <c r="J351" s="4">
        <v>2.052089163290538</v>
      </c>
      <c r="K351" s="5">
        <v>1</v>
      </c>
      <c r="L351" s="5">
        <v>0</v>
      </c>
      <c r="M351" s="5">
        <v>0</v>
      </c>
    </row>
    <row r="352" spans="1:13" hidden="1" x14ac:dyDescent="0.25">
      <c r="A352" t="s">
        <v>363</v>
      </c>
      <c r="B352" s="1">
        <v>0.20883020918229361</v>
      </c>
      <c r="C352" s="2">
        <v>5.9503095305717483E-5</v>
      </c>
      <c r="D352" s="2"/>
      <c r="E352" s="2">
        <v>2.3985154548047678</v>
      </c>
      <c r="F352" s="3">
        <v>306.16109483595062</v>
      </c>
      <c r="G352" s="3">
        <v>1</v>
      </c>
      <c r="H352" s="2">
        <v>5.4188793757450959E-5</v>
      </c>
      <c r="I352" s="4">
        <v>-4.4408920985006262E-16</v>
      </c>
      <c r="J352" s="4">
        <v>2.3985154548047678</v>
      </c>
      <c r="K352" s="5">
        <v>1</v>
      </c>
      <c r="L352" s="5">
        <v>0</v>
      </c>
      <c r="M352" s="5">
        <v>0</v>
      </c>
    </row>
    <row r="353" spans="1:13" hidden="1" x14ac:dyDescent="0.25">
      <c r="A353" t="s">
        <v>364</v>
      </c>
      <c r="B353" s="1">
        <v>0.20872613810250021</v>
      </c>
      <c r="C353" s="2">
        <v>5.9473441782868627E-5</v>
      </c>
      <c r="D353" s="2"/>
      <c r="E353" s="2">
        <v>-0.2217569030924631</v>
      </c>
      <c r="F353" s="3">
        <v>70.109364446430007</v>
      </c>
      <c r="G353" s="3">
        <v>1</v>
      </c>
      <c r="H353" s="2">
        <v>5.4188793757450959E-5</v>
      </c>
      <c r="I353" s="4">
        <v>2.775557561562891E-17</v>
      </c>
      <c r="J353" s="4">
        <v>-0.2217569030924631</v>
      </c>
      <c r="K353" s="5">
        <v>1</v>
      </c>
      <c r="L353" s="5">
        <v>0</v>
      </c>
      <c r="M353" s="5">
        <v>0</v>
      </c>
    </row>
    <row r="354" spans="1:13" hidden="1" x14ac:dyDescent="0.25">
      <c r="A354" t="s">
        <v>365</v>
      </c>
      <c r="B354" s="1">
        <v>0.20779001050452811</v>
      </c>
      <c r="C354" s="2">
        <v>5.9206705998335573E-5</v>
      </c>
      <c r="D354" s="2"/>
      <c r="E354" s="2">
        <v>1.33710070689832E-2</v>
      </c>
      <c r="F354" s="3">
        <v>91.291265590867425</v>
      </c>
      <c r="G354" s="3">
        <v>2</v>
      </c>
      <c r="H354" s="2">
        <v>1.083775875149019E-4</v>
      </c>
      <c r="I354" s="4">
        <v>4.5102810375396978E-17</v>
      </c>
      <c r="J354" s="4">
        <v>1.337100706898315E-2</v>
      </c>
      <c r="K354" s="5">
        <v>2</v>
      </c>
      <c r="L354" s="5">
        <v>0</v>
      </c>
      <c r="M354" s="5">
        <v>0</v>
      </c>
    </row>
    <row r="355" spans="1:13" hidden="1" x14ac:dyDescent="0.25">
      <c r="A355" t="s">
        <v>366</v>
      </c>
      <c r="B355" s="1">
        <v>0.20716149825025501</v>
      </c>
      <c r="C355" s="2">
        <v>5.9027620679629698E-5</v>
      </c>
      <c r="D355" s="2"/>
      <c r="E355" s="2">
        <v>2.2634089749158819</v>
      </c>
      <c r="F355" s="3">
        <v>293.98979582251451</v>
      </c>
      <c r="G355" s="3">
        <v>3</v>
      </c>
      <c r="H355" s="2">
        <v>1.6256638127235291E-4</v>
      </c>
      <c r="I355" s="4">
        <v>4.4408920985006262E-16</v>
      </c>
      <c r="J355" s="4">
        <v>2.2634089749158819</v>
      </c>
      <c r="K355" s="5">
        <v>3</v>
      </c>
      <c r="L355" s="5">
        <v>0</v>
      </c>
      <c r="M355" s="5">
        <v>0</v>
      </c>
    </row>
    <row r="356" spans="1:13" hidden="1" x14ac:dyDescent="0.25">
      <c r="A356" t="s">
        <v>367</v>
      </c>
      <c r="B356" s="1">
        <v>0.20644799843698039</v>
      </c>
      <c r="C356" s="2">
        <v>5.8824319406523018E-5</v>
      </c>
      <c r="D356" s="2"/>
      <c r="E356" s="2">
        <v>0.28887721623936469</v>
      </c>
      <c r="F356" s="3">
        <v>116.11071506974351</v>
      </c>
      <c r="G356" s="3">
        <v>1</v>
      </c>
      <c r="H356" s="2">
        <v>5.4188793757450959E-5</v>
      </c>
      <c r="I356" s="4">
        <v>-1.110223024625157E-16</v>
      </c>
      <c r="J356" s="4">
        <v>0.2888772162393648</v>
      </c>
      <c r="K356" s="5">
        <v>1</v>
      </c>
      <c r="L356" s="5">
        <v>0</v>
      </c>
      <c r="M356" s="5">
        <v>0</v>
      </c>
    </row>
    <row r="357" spans="1:13" hidden="1" x14ac:dyDescent="0.25">
      <c r="A357" t="s">
        <v>368</v>
      </c>
      <c r="B357" s="1">
        <v>0.20643211283806909</v>
      </c>
      <c r="C357" s="2">
        <v>5.8819793038859523E-5</v>
      </c>
      <c r="D357" s="2"/>
      <c r="E357" s="2">
        <v>0.40264690281267218</v>
      </c>
      <c r="F357" s="3">
        <v>126.3598524544748</v>
      </c>
      <c r="G357" s="3">
        <v>1</v>
      </c>
      <c r="H357" s="2">
        <v>5.4188793757450959E-5</v>
      </c>
      <c r="I357" s="4">
        <v>0</v>
      </c>
      <c r="J357" s="4">
        <v>0.40264690281267218</v>
      </c>
      <c r="K357" s="5">
        <v>1</v>
      </c>
      <c r="L357" s="5">
        <v>0</v>
      </c>
      <c r="M357" s="5">
        <v>0</v>
      </c>
    </row>
    <row r="358" spans="1:13" hidden="1" x14ac:dyDescent="0.25">
      <c r="A358" t="s">
        <v>369</v>
      </c>
      <c r="B358" s="1">
        <v>0.20561363588476089</v>
      </c>
      <c r="C358" s="2">
        <v>5.8586580074370649E-5</v>
      </c>
      <c r="D358" s="2"/>
      <c r="E358" s="2" t="s">
        <v>303</v>
      </c>
      <c r="F358" s="3" t="s">
        <v>303</v>
      </c>
      <c r="G358" s="3">
        <v>3</v>
      </c>
      <c r="H358" s="2">
        <v>1.6256638127235291E-4</v>
      </c>
      <c r="I358" s="4" t="s">
        <v>303</v>
      </c>
      <c r="J358" s="4">
        <v>0</v>
      </c>
      <c r="K358" s="5">
        <v>3</v>
      </c>
      <c r="L358" s="5">
        <v>0</v>
      </c>
      <c r="M358" s="5">
        <v>3</v>
      </c>
    </row>
    <row r="359" spans="1:13" hidden="1" x14ac:dyDescent="0.25">
      <c r="A359" t="s">
        <v>370</v>
      </c>
      <c r="B359" s="1">
        <v>0.20539745486270949</v>
      </c>
      <c r="C359" s="2">
        <v>5.8524982473100329E-5</v>
      </c>
      <c r="D359" s="2"/>
      <c r="E359" s="2">
        <v>0.33589033547079977</v>
      </c>
      <c r="F359" s="3">
        <v>120.34597256583631</v>
      </c>
      <c r="G359" s="3">
        <v>1</v>
      </c>
      <c r="H359" s="2">
        <v>5.4188793757450959E-5</v>
      </c>
      <c r="I359" s="4">
        <v>1.110223024625157E-16</v>
      </c>
      <c r="J359" s="4">
        <v>0.33589033547079972</v>
      </c>
      <c r="K359" s="5">
        <v>1</v>
      </c>
      <c r="L359" s="5">
        <v>0</v>
      </c>
      <c r="M359" s="5">
        <v>0</v>
      </c>
    </row>
    <row r="360" spans="1:13" hidden="1" x14ac:dyDescent="0.25">
      <c r="A360" t="s">
        <v>371</v>
      </c>
      <c r="B360" s="1">
        <v>0.20357763863019951</v>
      </c>
      <c r="C360" s="2">
        <v>5.8006452615059479E-5</v>
      </c>
      <c r="D360" s="2"/>
      <c r="E360" s="2">
        <v>1.7269443860954261</v>
      </c>
      <c r="F360" s="3">
        <v>245.66146304362931</v>
      </c>
      <c r="G360" s="3">
        <v>1</v>
      </c>
      <c r="H360" s="2">
        <v>5.4188793757450959E-5</v>
      </c>
      <c r="I360" s="4">
        <v>-2.2204460492503131E-16</v>
      </c>
      <c r="J360" s="4">
        <v>1.7269443860954261</v>
      </c>
      <c r="K360" s="5">
        <v>1</v>
      </c>
      <c r="L360" s="5">
        <v>0</v>
      </c>
      <c r="M360" s="5">
        <v>0</v>
      </c>
    </row>
    <row r="361" spans="1:13" hidden="1" x14ac:dyDescent="0.25">
      <c r="A361" t="s">
        <v>372</v>
      </c>
      <c r="B361" s="1">
        <v>0.20274911722872349</v>
      </c>
      <c r="C361" s="2">
        <v>5.7770377632862742E-5</v>
      </c>
      <c r="D361" s="2"/>
      <c r="E361" s="2">
        <v>4.1667112211593116</v>
      </c>
      <c r="F361" s="3">
        <v>465.45204375485099</v>
      </c>
      <c r="G361" s="3">
        <v>1</v>
      </c>
      <c r="H361" s="2">
        <v>5.4188793757450959E-5</v>
      </c>
      <c r="I361" s="4">
        <v>8.8817841970012523E-16</v>
      </c>
      <c r="J361" s="4">
        <v>4.1667112211593116</v>
      </c>
      <c r="K361" s="5">
        <v>1</v>
      </c>
      <c r="L361" s="5">
        <v>0</v>
      </c>
      <c r="M361" s="5">
        <v>0</v>
      </c>
    </row>
    <row r="362" spans="1:13" hidden="1" x14ac:dyDescent="0.25">
      <c r="A362" t="s">
        <v>373</v>
      </c>
      <c r="B362" s="1">
        <v>0.20263679669277229</v>
      </c>
      <c r="C362" s="2">
        <v>5.773837354886712E-5</v>
      </c>
      <c r="D362" s="2"/>
      <c r="E362" s="2">
        <v>0.51621256730874276</v>
      </c>
      <c r="F362" s="3">
        <v>136.5906101603822</v>
      </c>
      <c r="G362" s="3">
        <v>3</v>
      </c>
      <c r="H362" s="2">
        <v>1.6256638127235291E-4</v>
      </c>
      <c r="I362" s="4">
        <v>1.110223024625157E-16</v>
      </c>
      <c r="J362" s="4">
        <v>0.51621256730874265</v>
      </c>
      <c r="K362" s="5">
        <v>3</v>
      </c>
      <c r="L362" s="5">
        <v>0</v>
      </c>
      <c r="M362" s="5">
        <v>0</v>
      </c>
    </row>
    <row r="363" spans="1:13" hidden="1" x14ac:dyDescent="0.25">
      <c r="A363" t="s">
        <v>374</v>
      </c>
      <c r="B363" s="1">
        <v>0.2025717360447111</v>
      </c>
      <c r="C363" s="2">
        <v>5.7719835474527222E-5</v>
      </c>
      <c r="D363" s="2"/>
      <c r="E363" s="2">
        <v>0.18449568294140239</v>
      </c>
      <c r="F363" s="3">
        <v>106.7073255780234</v>
      </c>
      <c r="G363" s="3">
        <v>2</v>
      </c>
      <c r="H363" s="2">
        <v>1.083775875149019E-4</v>
      </c>
      <c r="I363" s="4">
        <v>1.110223024625157E-16</v>
      </c>
      <c r="J363" s="4">
        <v>0.18449568294140231</v>
      </c>
      <c r="K363" s="5">
        <v>2</v>
      </c>
      <c r="L363" s="5">
        <v>0</v>
      </c>
      <c r="M363" s="5">
        <v>0</v>
      </c>
    </row>
    <row r="364" spans="1:13" hidden="1" x14ac:dyDescent="0.25">
      <c r="A364" t="s">
        <v>375</v>
      </c>
      <c r="B364" s="1">
        <v>0.20220242999033469</v>
      </c>
      <c r="C364" s="2">
        <v>5.7614607148431189E-5</v>
      </c>
      <c r="D364" s="2"/>
      <c r="E364" s="2">
        <v>0.66584112794324235</v>
      </c>
      <c r="F364" s="3">
        <v>150.0701557301455</v>
      </c>
      <c r="G364" s="3">
        <v>2</v>
      </c>
      <c r="H364" s="2">
        <v>1.083775875149019E-4</v>
      </c>
      <c r="I364" s="4">
        <v>0</v>
      </c>
      <c r="J364" s="4">
        <v>0.66584112794324235</v>
      </c>
      <c r="K364" s="5">
        <v>2</v>
      </c>
      <c r="L364" s="5">
        <v>0</v>
      </c>
      <c r="M364" s="5">
        <v>0</v>
      </c>
    </row>
    <row r="365" spans="1:13" hidden="1" x14ac:dyDescent="0.25">
      <c r="A365" t="s">
        <v>376</v>
      </c>
      <c r="B365" s="1">
        <v>0.2014564494166057</v>
      </c>
      <c r="C365" s="2">
        <v>5.7402050960566303E-5</v>
      </c>
      <c r="D365" s="2"/>
      <c r="E365" s="2">
        <v>0.68932583047098417</v>
      </c>
      <c r="F365" s="3">
        <v>152.18581544492619</v>
      </c>
      <c r="G365" s="3">
        <v>4</v>
      </c>
      <c r="H365" s="2">
        <v>2.1675517502980381E-4</v>
      </c>
      <c r="I365" s="4">
        <v>0</v>
      </c>
      <c r="J365" s="4">
        <v>0.68932583047098417</v>
      </c>
      <c r="K365" s="5">
        <v>4</v>
      </c>
      <c r="L365" s="5">
        <v>0</v>
      </c>
      <c r="M365" s="5">
        <v>0</v>
      </c>
    </row>
    <row r="366" spans="1:13" hidden="1" x14ac:dyDescent="0.25">
      <c r="A366" t="s">
        <v>377</v>
      </c>
      <c r="B366" s="1">
        <v>0.2013966704241911</v>
      </c>
      <c r="C366" s="2">
        <v>5.7385017816286803E-5</v>
      </c>
      <c r="D366" s="2"/>
      <c r="E366" s="2">
        <v>-0.30774741200909761</v>
      </c>
      <c r="F366" s="3">
        <v>62.362761935561089</v>
      </c>
      <c r="G366" s="3">
        <v>5</v>
      </c>
      <c r="H366" s="2">
        <v>2.7094396878725479E-4</v>
      </c>
      <c r="I366" s="4">
        <v>-2.2204460492503131E-16</v>
      </c>
      <c r="J366" s="4">
        <v>-0.30774741200909739</v>
      </c>
      <c r="K366" s="5">
        <v>5</v>
      </c>
      <c r="L366" s="5">
        <v>0</v>
      </c>
      <c r="M366" s="5">
        <v>0</v>
      </c>
    </row>
    <row r="367" spans="1:13" hidden="1" x14ac:dyDescent="0.25">
      <c r="A367" t="s">
        <v>378</v>
      </c>
      <c r="B367" s="1">
        <v>0.1995671605976054</v>
      </c>
      <c r="C367" s="2">
        <v>5.686372591124902E-5</v>
      </c>
      <c r="D367" s="2"/>
      <c r="E367" s="2">
        <v>1.0971047886899019</v>
      </c>
      <c r="F367" s="3">
        <v>188.92128243327301</v>
      </c>
      <c r="G367" s="3">
        <v>2</v>
      </c>
      <c r="H367" s="2">
        <v>1.083775875149019E-4</v>
      </c>
      <c r="I367" s="4">
        <v>2.2204460492503131E-16</v>
      </c>
      <c r="J367" s="4">
        <v>1.097104788689901</v>
      </c>
      <c r="K367" s="5">
        <v>2</v>
      </c>
      <c r="L367" s="5">
        <v>0</v>
      </c>
      <c r="M367" s="5">
        <v>1</v>
      </c>
    </row>
    <row r="368" spans="1:13" hidden="1" x14ac:dyDescent="0.25">
      <c r="A368" t="s">
        <v>379</v>
      </c>
      <c r="B368" s="1">
        <v>0.19777804341394251</v>
      </c>
      <c r="C368" s="2">
        <v>5.6353943295460603E-5</v>
      </c>
      <c r="D368" s="2"/>
      <c r="E368" s="2">
        <v>-0.1856125846681336</v>
      </c>
      <c r="F368" s="3">
        <v>73.365487376589698</v>
      </c>
      <c r="G368" s="3">
        <v>5</v>
      </c>
      <c r="H368" s="2">
        <v>2.7094396878725479E-4</v>
      </c>
      <c r="I368" s="4">
        <v>2.4980018054066022E-16</v>
      </c>
      <c r="J368" s="4">
        <v>-0.1856125846681338</v>
      </c>
      <c r="K368" s="5">
        <v>5</v>
      </c>
      <c r="L368" s="5">
        <v>0</v>
      </c>
      <c r="M368" s="5">
        <v>2</v>
      </c>
    </row>
    <row r="369" spans="1:13" hidden="1" x14ac:dyDescent="0.25">
      <c r="A369" t="s">
        <v>380</v>
      </c>
      <c r="B369" s="1">
        <v>0.19743767988686789</v>
      </c>
      <c r="C369" s="2">
        <v>5.6256961716648732E-5</v>
      </c>
      <c r="D369" s="2"/>
      <c r="E369" s="2">
        <v>-0.47773006620910469</v>
      </c>
      <c r="F369" s="3">
        <v>47.049582929881218</v>
      </c>
      <c r="G369" s="3">
        <v>6</v>
      </c>
      <c r="H369" s="2">
        <v>3.2513276254470582E-4</v>
      </c>
      <c r="I369" s="4">
        <v>-0.19576038982357949</v>
      </c>
      <c r="J369" s="4">
        <v>-0.28196967638552523</v>
      </c>
      <c r="K369" s="5">
        <v>6</v>
      </c>
      <c r="L369" s="5">
        <v>0</v>
      </c>
      <c r="M369" s="5">
        <v>6</v>
      </c>
    </row>
    <row r="370" spans="1:13" hidden="1" x14ac:dyDescent="0.25">
      <c r="A370" t="s">
        <v>381</v>
      </c>
      <c r="B370" s="1">
        <v>0.1970303231110701</v>
      </c>
      <c r="C370" s="2">
        <v>5.6140891397375307E-5</v>
      </c>
      <c r="D370" s="2"/>
      <c r="E370" s="2">
        <v>-0.75759141095120841</v>
      </c>
      <c r="F370" s="3">
        <v>21.837793591872749</v>
      </c>
      <c r="G370" s="3">
        <v>7</v>
      </c>
      <c r="H370" s="2">
        <v>3.7932155630215669E-4</v>
      </c>
      <c r="I370" s="4">
        <v>-4.7534290045065819E-2</v>
      </c>
      <c r="J370" s="4">
        <v>-0.71005712090614259</v>
      </c>
      <c r="K370" s="5">
        <v>4</v>
      </c>
      <c r="L370" s="5">
        <v>0</v>
      </c>
      <c r="M370" s="5">
        <v>0</v>
      </c>
    </row>
    <row r="371" spans="1:13" hidden="1" x14ac:dyDescent="0.25">
      <c r="A371" t="s">
        <v>382</v>
      </c>
      <c r="B371" s="1">
        <v>0.19692435940831321</v>
      </c>
      <c r="C371" s="2">
        <v>5.611069859946175E-5</v>
      </c>
      <c r="D371" s="2"/>
      <c r="E371" s="2">
        <v>0.27249004616796091</v>
      </c>
      <c r="F371" s="3">
        <v>114.6344487419765</v>
      </c>
      <c r="G371" s="3">
        <v>5</v>
      </c>
      <c r="H371" s="2">
        <v>2.7094396878725479E-4</v>
      </c>
      <c r="I371" s="4">
        <v>-3.3279657832499809E-2</v>
      </c>
      <c r="J371" s="4">
        <v>0.30576970400046072</v>
      </c>
      <c r="K371" s="5">
        <v>4</v>
      </c>
      <c r="L371" s="5">
        <v>0</v>
      </c>
      <c r="M371" s="5">
        <v>0</v>
      </c>
    </row>
    <row r="372" spans="1:13" hidden="1" x14ac:dyDescent="0.25">
      <c r="A372" t="s">
        <v>383</v>
      </c>
      <c r="B372" s="1">
        <v>0.1965099537934995</v>
      </c>
      <c r="C372" s="2">
        <v>5.5992619817229817E-5</v>
      </c>
      <c r="D372" s="2"/>
      <c r="E372" s="2">
        <v>1.791340933098081</v>
      </c>
      <c r="F372" s="3">
        <v>251.46273645143859</v>
      </c>
      <c r="G372" s="3">
        <v>1</v>
      </c>
      <c r="H372" s="2">
        <v>5.4188793757450959E-5</v>
      </c>
      <c r="I372" s="4">
        <v>-2.2204460492503131E-16</v>
      </c>
      <c r="J372" s="4">
        <v>1.7913409330980821</v>
      </c>
      <c r="K372" s="5">
        <v>1</v>
      </c>
      <c r="L372" s="5">
        <v>0</v>
      </c>
      <c r="M372" s="5">
        <v>0</v>
      </c>
    </row>
    <row r="373" spans="1:13" hidden="1" x14ac:dyDescent="0.25">
      <c r="A373" t="s">
        <v>384</v>
      </c>
      <c r="B373" s="1">
        <v>0.19597130834686391</v>
      </c>
      <c r="C373" s="2">
        <v>5.5839140723028613E-5</v>
      </c>
      <c r="D373" s="2"/>
      <c r="E373" s="2">
        <v>-0.31522685228274983</v>
      </c>
      <c r="F373" s="3">
        <v>61.688963727668877</v>
      </c>
      <c r="G373" s="3">
        <v>2</v>
      </c>
      <c r="H373" s="2">
        <v>1.083775875149019E-4</v>
      </c>
      <c r="I373" s="4">
        <v>0</v>
      </c>
      <c r="J373" s="4">
        <v>-0.31522685228274983</v>
      </c>
      <c r="K373" s="5">
        <v>2</v>
      </c>
      <c r="L373" s="5">
        <v>0</v>
      </c>
      <c r="M373" s="5">
        <v>0</v>
      </c>
    </row>
    <row r="374" spans="1:13" hidden="1" x14ac:dyDescent="0.25">
      <c r="A374" t="s">
        <v>385</v>
      </c>
      <c r="B374" s="1">
        <v>0.19512603368005221</v>
      </c>
      <c r="C374" s="2">
        <v>5.5598292144387849E-5</v>
      </c>
      <c r="D374" s="2"/>
      <c r="E374" s="2">
        <v>0.1124410441183101</v>
      </c>
      <c r="F374" s="3">
        <v>100.21615983125641</v>
      </c>
      <c r="G374" s="3">
        <v>2</v>
      </c>
      <c r="H374" s="2">
        <v>1.083775875149019E-4</v>
      </c>
      <c r="I374" s="4">
        <v>-3.7470027081099028E-16</v>
      </c>
      <c r="J374" s="4">
        <v>0.1124410441183105</v>
      </c>
      <c r="K374" s="5">
        <v>2</v>
      </c>
      <c r="L374" s="5">
        <v>2</v>
      </c>
      <c r="M374" s="5">
        <v>0</v>
      </c>
    </row>
    <row r="375" spans="1:13" hidden="1" x14ac:dyDescent="0.25">
      <c r="A375" t="s">
        <v>386</v>
      </c>
      <c r="B375" s="1">
        <v>0.1949702108103048</v>
      </c>
      <c r="C375" s="2">
        <v>5.5553892710485559E-5</v>
      </c>
      <c r="D375" s="2"/>
      <c r="E375" s="2">
        <v>6.6368905704914036</v>
      </c>
      <c r="F375" s="3">
        <v>687.98238798602483</v>
      </c>
      <c r="G375" s="3">
        <v>1</v>
      </c>
      <c r="H375" s="2">
        <v>5.4188793757450959E-5</v>
      </c>
      <c r="I375" s="4">
        <v>-8.8817841970012523E-16</v>
      </c>
      <c r="J375" s="4">
        <v>6.6368905704914054</v>
      </c>
      <c r="K375" s="5">
        <v>1</v>
      </c>
      <c r="L375" s="5">
        <v>0</v>
      </c>
      <c r="M375" s="5">
        <v>0</v>
      </c>
    </row>
    <row r="376" spans="1:13" hidden="1" x14ac:dyDescent="0.25">
      <c r="A376" t="s">
        <v>387</v>
      </c>
      <c r="B376" s="1">
        <v>0.1945278939304424</v>
      </c>
      <c r="C376" s="2">
        <v>5.5427861023974127E-5</v>
      </c>
      <c r="D376" s="2"/>
      <c r="E376" s="2">
        <v>0.23843886922249319</v>
      </c>
      <c r="F376" s="3">
        <v>111.5668900526853</v>
      </c>
      <c r="G376" s="3">
        <v>2</v>
      </c>
      <c r="H376" s="2">
        <v>1.083775875149019E-4</v>
      </c>
      <c r="I376" s="4">
        <v>5.5511151231257827E-17</v>
      </c>
      <c r="J376" s="4">
        <v>0.23843886922249319</v>
      </c>
      <c r="K376" s="5">
        <v>2</v>
      </c>
      <c r="L376" s="5">
        <v>0</v>
      </c>
      <c r="M376" s="5">
        <v>0</v>
      </c>
    </row>
    <row r="377" spans="1:13" hidden="1" x14ac:dyDescent="0.25">
      <c r="A377" t="s">
        <v>388</v>
      </c>
      <c r="B377" s="1">
        <v>0.19392154028010039</v>
      </c>
      <c r="C377" s="2">
        <v>5.5255089473408993E-5</v>
      </c>
      <c r="D377" s="2"/>
      <c r="E377" s="2">
        <v>2.0513761730365281</v>
      </c>
      <c r="F377" s="3">
        <v>274.8884571268967</v>
      </c>
      <c r="G377" s="3">
        <v>1</v>
      </c>
      <c r="H377" s="2">
        <v>5.4188793757450959E-5</v>
      </c>
      <c r="I377" s="4">
        <v>-4.4408920985006262E-16</v>
      </c>
      <c r="J377" s="4">
        <v>2.051376173036529</v>
      </c>
      <c r="K377" s="5">
        <v>1</v>
      </c>
      <c r="L377" s="5">
        <v>0</v>
      </c>
      <c r="M377" s="5">
        <v>0</v>
      </c>
    </row>
    <row r="378" spans="1:13" hidden="1" x14ac:dyDescent="0.25">
      <c r="A378" t="s">
        <v>389</v>
      </c>
      <c r="B378" s="1">
        <v>0.19295930196743691</v>
      </c>
      <c r="C378" s="2">
        <v>5.4980913824926759E-5</v>
      </c>
      <c r="D378" s="2"/>
      <c r="E378" s="2">
        <v>2.763782193867844</v>
      </c>
      <c r="F378" s="3">
        <v>339.06677563272461</v>
      </c>
      <c r="G378" s="3">
        <v>1</v>
      </c>
      <c r="H378" s="2">
        <v>5.4188793757450959E-5</v>
      </c>
      <c r="I378" s="4">
        <v>0</v>
      </c>
      <c r="J378" s="4">
        <v>2.763782193867844</v>
      </c>
      <c r="K378" s="5">
        <v>1</v>
      </c>
      <c r="L378" s="5">
        <v>0</v>
      </c>
      <c r="M378" s="5">
        <v>0</v>
      </c>
    </row>
    <row r="379" spans="1:13" hidden="1" x14ac:dyDescent="0.25">
      <c r="A379" t="s">
        <v>390</v>
      </c>
      <c r="B379" s="1">
        <v>0.19185034386413199</v>
      </c>
      <c r="C379" s="2">
        <v>5.4664932530987641E-5</v>
      </c>
      <c r="D379" s="2"/>
      <c r="E379" s="2">
        <v>6.1052560889730909</v>
      </c>
      <c r="F379" s="3">
        <v>640.08918370941217</v>
      </c>
      <c r="G379" s="3">
        <v>2</v>
      </c>
      <c r="H379" s="2">
        <v>1.083775875149019E-4</v>
      </c>
      <c r="I379" s="4">
        <v>8.8817841970012523E-16</v>
      </c>
      <c r="J379" s="4">
        <v>6.1052560889730909</v>
      </c>
      <c r="K379" s="5">
        <v>2</v>
      </c>
      <c r="L379" s="5">
        <v>0</v>
      </c>
      <c r="M379" s="5">
        <v>0</v>
      </c>
    </row>
    <row r="380" spans="1:13" hidden="1" x14ac:dyDescent="0.25">
      <c r="A380" t="s">
        <v>391</v>
      </c>
      <c r="B380" s="1">
        <v>0.1913785826054161</v>
      </c>
      <c r="C380" s="2">
        <v>5.4530511101976803E-5</v>
      </c>
      <c r="D380" s="2"/>
      <c r="E380" s="2">
        <v>-0.51468533937617833</v>
      </c>
      <c r="F380" s="3">
        <v>43.720403750543667</v>
      </c>
      <c r="G380" s="3">
        <v>3</v>
      </c>
      <c r="H380" s="2">
        <v>1.6256638127235291E-4</v>
      </c>
      <c r="I380" s="4">
        <v>0</v>
      </c>
      <c r="J380" s="4">
        <v>-0.51468533937617833</v>
      </c>
      <c r="K380" s="5">
        <v>2</v>
      </c>
      <c r="L380" s="5">
        <v>0</v>
      </c>
      <c r="M380" s="5">
        <v>0</v>
      </c>
    </row>
    <row r="381" spans="1:13" hidden="1" x14ac:dyDescent="0.25">
      <c r="A381" t="s">
        <v>392</v>
      </c>
      <c r="B381" s="1">
        <v>0.1900594549212927</v>
      </c>
      <c r="C381" s="2">
        <v>5.41546450784922E-5</v>
      </c>
      <c r="D381" s="2"/>
      <c r="E381" s="2">
        <v>-0.51137287163096179</v>
      </c>
      <c r="F381" s="3">
        <v>44.01881308984813</v>
      </c>
      <c r="G381" s="3">
        <v>3</v>
      </c>
      <c r="H381" s="2">
        <v>1.6256638127235291E-4</v>
      </c>
      <c r="I381" s="4">
        <v>0</v>
      </c>
      <c r="J381" s="4">
        <v>-0.51137287163096179</v>
      </c>
      <c r="K381" s="5">
        <v>3</v>
      </c>
      <c r="L381" s="5">
        <v>0</v>
      </c>
      <c r="M381" s="5">
        <v>0</v>
      </c>
    </row>
    <row r="382" spans="1:13" hidden="1" x14ac:dyDescent="0.25">
      <c r="A382" t="s">
        <v>393</v>
      </c>
      <c r="B382" s="1">
        <v>0.18848735426390231</v>
      </c>
      <c r="C382" s="2">
        <v>5.3706698128608041E-5</v>
      </c>
      <c r="D382" s="2"/>
      <c r="E382" s="2">
        <v>3.1484509472135689</v>
      </c>
      <c r="F382" s="3">
        <v>373.72032016994461</v>
      </c>
      <c r="G382" s="3">
        <v>1</v>
      </c>
      <c r="H382" s="2">
        <v>5.4188793757450959E-5</v>
      </c>
      <c r="I382" s="4">
        <v>-4.4408920985006262E-16</v>
      </c>
      <c r="J382" s="4">
        <v>3.1484509472135702</v>
      </c>
      <c r="K382" s="5">
        <v>1</v>
      </c>
      <c r="L382" s="5">
        <v>0</v>
      </c>
      <c r="M382" s="5">
        <v>0</v>
      </c>
    </row>
    <row r="383" spans="1:13" hidden="1" x14ac:dyDescent="0.25">
      <c r="A383" t="s">
        <v>394</v>
      </c>
      <c r="B383" s="1">
        <v>0.187111296715328</v>
      </c>
      <c r="C383" s="2">
        <v>5.33146107779341E-5</v>
      </c>
      <c r="D383" s="2"/>
      <c r="E383" s="2">
        <v>-1.2806419507176431E-2</v>
      </c>
      <c r="F383" s="3">
        <v>88.933027210867138</v>
      </c>
      <c r="G383" s="3">
        <v>1</v>
      </c>
      <c r="H383" s="2">
        <v>5.4188793757450959E-5</v>
      </c>
      <c r="I383" s="4">
        <v>1.717376241217039E-16</v>
      </c>
      <c r="J383" s="4">
        <v>-1.2806419507176601E-2</v>
      </c>
      <c r="K383" s="5">
        <v>1</v>
      </c>
      <c r="L383" s="5">
        <v>0</v>
      </c>
      <c r="M383" s="5">
        <v>1</v>
      </c>
    </row>
    <row r="384" spans="1:13" hidden="1" x14ac:dyDescent="0.25">
      <c r="A384" t="s">
        <v>395</v>
      </c>
      <c r="B384" s="1">
        <v>0.18674902695584769</v>
      </c>
      <c r="C384" s="2">
        <v>5.3211387340534222E-5</v>
      </c>
      <c r="D384" s="2"/>
      <c r="E384" s="2">
        <v>1.869355908921992</v>
      </c>
      <c r="F384" s="3">
        <v>258.49084938177128</v>
      </c>
      <c r="G384" s="3">
        <v>3</v>
      </c>
      <c r="H384" s="2">
        <v>1.6256638127235291E-4</v>
      </c>
      <c r="I384" s="4">
        <v>0</v>
      </c>
      <c r="J384" s="4">
        <v>1.869355908921992</v>
      </c>
      <c r="K384" s="5">
        <v>3</v>
      </c>
      <c r="L384" s="5">
        <v>0</v>
      </c>
      <c r="M384" s="5">
        <v>0</v>
      </c>
    </row>
    <row r="385" spans="1:13" hidden="1" x14ac:dyDescent="0.25">
      <c r="A385" t="s">
        <v>396</v>
      </c>
      <c r="B385" s="1">
        <v>0.186267580246677</v>
      </c>
      <c r="C385" s="2">
        <v>5.3074206184931393E-5</v>
      </c>
      <c r="D385" s="2"/>
      <c r="E385" s="2">
        <v>-0.26886105675327387</v>
      </c>
      <c r="F385" s="3">
        <v>65.865905957598983</v>
      </c>
      <c r="G385" s="3">
        <v>1</v>
      </c>
      <c r="H385" s="2">
        <v>5.4188793757450959E-5</v>
      </c>
      <c r="I385" s="4">
        <v>5.5511151231257827E-17</v>
      </c>
      <c r="J385" s="4">
        <v>-0.26886105675327387</v>
      </c>
      <c r="K385" s="5">
        <v>1</v>
      </c>
      <c r="L385" s="5">
        <v>0</v>
      </c>
      <c r="M385" s="5">
        <v>0</v>
      </c>
    </row>
    <row r="386" spans="1:13" hidden="1" x14ac:dyDescent="0.25">
      <c r="A386" t="s">
        <v>397</v>
      </c>
      <c r="B386" s="1">
        <v>0.18513094522259979</v>
      </c>
      <c r="C386" s="2">
        <v>5.2750338759666092E-5</v>
      </c>
      <c r="D386" s="2"/>
      <c r="E386" s="2">
        <v>4.466731020142034E-2</v>
      </c>
      <c r="F386" s="3">
        <v>94.110646746777206</v>
      </c>
      <c r="G386" s="3">
        <v>3</v>
      </c>
      <c r="H386" s="2">
        <v>1.6256638127235291E-4</v>
      </c>
      <c r="I386" s="4">
        <v>1.9428902930940239E-16</v>
      </c>
      <c r="J386" s="4">
        <v>4.4667310201420153E-2</v>
      </c>
      <c r="K386" s="5">
        <v>3</v>
      </c>
      <c r="L386" s="5">
        <v>0</v>
      </c>
      <c r="M386" s="5">
        <v>2</v>
      </c>
    </row>
    <row r="387" spans="1:13" hidden="1" x14ac:dyDescent="0.25">
      <c r="A387" t="s">
        <v>398</v>
      </c>
      <c r="B387" s="1">
        <v>0.18490096303933151</v>
      </c>
      <c r="C387" s="2">
        <v>5.2684808720582091E-5</v>
      </c>
      <c r="D387" s="2"/>
      <c r="E387" s="2">
        <v>5.7930228718445962</v>
      </c>
      <c r="F387" s="3">
        <v>611.96111871413245</v>
      </c>
      <c r="G387" s="3">
        <v>1</v>
      </c>
      <c r="H387" s="2">
        <v>5.4188793757450959E-5</v>
      </c>
      <c r="I387" s="4">
        <v>8.8817841970012523E-16</v>
      </c>
      <c r="J387" s="4">
        <v>5.7930228718445953</v>
      </c>
      <c r="K387" s="5">
        <v>1</v>
      </c>
      <c r="L387" s="5">
        <v>0</v>
      </c>
      <c r="M387" s="5">
        <v>0</v>
      </c>
    </row>
    <row r="388" spans="1:13" hidden="1" x14ac:dyDescent="0.25">
      <c r="A388" t="s">
        <v>399</v>
      </c>
      <c r="B388" s="1">
        <v>0.1848183873436024</v>
      </c>
      <c r="C388" s="2">
        <v>5.2661279991131777E-5</v>
      </c>
      <c r="D388" s="2"/>
      <c r="E388" s="2">
        <v>-0.44331169591374209</v>
      </c>
      <c r="F388" s="3">
        <v>50.150220862011132</v>
      </c>
      <c r="G388" s="3">
        <v>4</v>
      </c>
      <c r="H388" s="2">
        <v>2.1675517502980381E-4</v>
      </c>
      <c r="I388" s="4">
        <v>-2.2204460492503131E-16</v>
      </c>
      <c r="J388" s="4">
        <v>-0.44331169591374192</v>
      </c>
      <c r="K388" s="5">
        <v>4</v>
      </c>
      <c r="L388" s="5">
        <v>0</v>
      </c>
      <c r="M388" s="5">
        <v>0</v>
      </c>
    </row>
    <row r="389" spans="1:13" hidden="1" x14ac:dyDescent="0.25">
      <c r="A389" t="s">
        <v>400</v>
      </c>
      <c r="B389" s="1">
        <v>0.18479962580110501</v>
      </c>
      <c r="C389" s="2">
        <v>5.2655934165661062E-5</v>
      </c>
      <c r="D389" s="2"/>
      <c r="E389" s="2">
        <v>0.22648606004373659</v>
      </c>
      <c r="F389" s="3">
        <v>110.4901007329958</v>
      </c>
      <c r="G389" s="3">
        <v>3</v>
      </c>
      <c r="H389" s="2">
        <v>1.6256638127235291E-4</v>
      </c>
      <c r="I389" s="4">
        <v>3.3306690738754701E-16</v>
      </c>
      <c r="J389" s="4">
        <v>0.22648606004373631</v>
      </c>
      <c r="K389" s="5">
        <v>3</v>
      </c>
      <c r="L389" s="5">
        <v>0</v>
      </c>
      <c r="M389" s="5">
        <v>0</v>
      </c>
    </row>
    <row r="390" spans="1:13" hidden="1" x14ac:dyDescent="0.25">
      <c r="A390" t="s">
        <v>401</v>
      </c>
      <c r="B390" s="1">
        <v>0.18447248623417081</v>
      </c>
      <c r="C390" s="2">
        <v>5.2562720559709233E-5</v>
      </c>
      <c r="D390" s="2"/>
      <c r="E390" s="2">
        <v>0.137974916236177</v>
      </c>
      <c r="F390" s="3">
        <v>102.5164225038758</v>
      </c>
      <c r="G390" s="3">
        <v>7</v>
      </c>
      <c r="H390" s="2">
        <v>3.7932155630215669E-4</v>
      </c>
      <c r="I390" s="4">
        <v>1.3877787807814459E-16</v>
      </c>
      <c r="J390" s="4">
        <v>0.1379749162361768</v>
      </c>
      <c r="K390" s="5">
        <v>7</v>
      </c>
      <c r="L390" s="5">
        <v>0</v>
      </c>
      <c r="M390" s="5">
        <v>0</v>
      </c>
    </row>
    <row r="391" spans="1:13" hidden="1" x14ac:dyDescent="0.25">
      <c r="A391" t="s">
        <v>402</v>
      </c>
      <c r="B391" s="1">
        <v>0.18384110218646749</v>
      </c>
      <c r="C391" s="2">
        <v>5.2382816965722002E-5</v>
      </c>
      <c r="D391" s="2"/>
      <c r="E391" s="2">
        <v>1.3024357972757321</v>
      </c>
      <c r="F391" s="3">
        <v>207.41887858324239</v>
      </c>
      <c r="G391" s="3">
        <v>1</v>
      </c>
      <c r="H391" s="2">
        <v>5.4188793757450959E-5</v>
      </c>
      <c r="I391" s="4">
        <v>-0.36639534826721087</v>
      </c>
      <c r="J391" s="4">
        <v>1.668831145542943</v>
      </c>
      <c r="K391" s="5">
        <v>1</v>
      </c>
      <c r="L391" s="5">
        <v>0</v>
      </c>
      <c r="M391" s="5">
        <v>0</v>
      </c>
    </row>
    <row r="392" spans="1:13" hidden="1" x14ac:dyDescent="0.25">
      <c r="A392" t="s">
        <v>403</v>
      </c>
      <c r="B392" s="1">
        <v>0.1835129821836104</v>
      </c>
      <c r="C392" s="2">
        <v>5.2289323998980409E-5</v>
      </c>
      <c r="D392" s="2"/>
      <c r="E392" s="2">
        <v>0.84490525126733007</v>
      </c>
      <c r="F392" s="3">
        <v>166.2014544609591</v>
      </c>
      <c r="G392" s="3">
        <v>1</v>
      </c>
      <c r="H392" s="2">
        <v>5.4188793757450959E-5</v>
      </c>
      <c r="I392" s="4">
        <v>0</v>
      </c>
      <c r="J392" s="4">
        <v>0.84490525126733007</v>
      </c>
      <c r="K392" s="5">
        <v>1</v>
      </c>
      <c r="L392" s="5">
        <v>0</v>
      </c>
      <c r="M392" s="5">
        <v>0</v>
      </c>
    </row>
    <row r="393" spans="1:13" hidden="1" x14ac:dyDescent="0.25">
      <c r="A393" t="s">
        <v>404</v>
      </c>
      <c r="B393" s="1">
        <v>0.1833202608152763</v>
      </c>
      <c r="C393" s="2">
        <v>5.2234410880843267E-5</v>
      </c>
      <c r="D393" s="2"/>
      <c r="E393" s="2">
        <v>0.37158272188030628</v>
      </c>
      <c r="F393" s="3">
        <v>123.56138242515971</v>
      </c>
      <c r="G393" s="3">
        <v>3</v>
      </c>
      <c r="H393" s="2">
        <v>1.6256638127235291E-4</v>
      </c>
      <c r="I393" s="4">
        <v>1.110223024625157E-16</v>
      </c>
      <c r="J393" s="4">
        <v>0.37158272188030622</v>
      </c>
      <c r="K393" s="5">
        <v>3</v>
      </c>
      <c r="L393" s="5">
        <v>0</v>
      </c>
      <c r="M393" s="5">
        <v>0</v>
      </c>
    </row>
    <row r="394" spans="1:13" hidden="1" x14ac:dyDescent="0.25">
      <c r="A394" t="s">
        <v>405</v>
      </c>
      <c r="B394" s="1">
        <v>0.18217318306441529</v>
      </c>
      <c r="C394" s="2">
        <v>5.1907567954238872E-5</v>
      </c>
      <c r="D394" s="2"/>
      <c r="E394" s="2">
        <v>-0.2563707940863954</v>
      </c>
      <c r="F394" s="3">
        <v>66.991112696757341</v>
      </c>
      <c r="G394" s="3">
        <v>4</v>
      </c>
      <c r="H394" s="2">
        <v>2.1675517502980381E-4</v>
      </c>
      <c r="I394" s="4">
        <v>-0.1771060529365471</v>
      </c>
      <c r="J394" s="4">
        <v>-7.9264741149848272E-2</v>
      </c>
      <c r="K394" s="5">
        <v>4</v>
      </c>
      <c r="L394" s="5">
        <v>0</v>
      </c>
      <c r="M394" s="5">
        <v>0</v>
      </c>
    </row>
    <row r="395" spans="1:13" hidden="1" x14ac:dyDescent="0.25">
      <c r="A395" t="s">
        <v>406</v>
      </c>
      <c r="B395" s="1">
        <v>0.18210829480035659</v>
      </c>
      <c r="C395" s="2">
        <v>5.1889078998183948E-5</v>
      </c>
      <c r="D395" s="2"/>
      <c r="E395" s="2">
        <v>-0.4413130939284754</v>
      </c>
      <c r="F395" s="3">
        <v>50.330268350418287</v>
      </c>
      <c r="G395" s="3">
        <v>4</v>
      </c>
      <c r="H395" s="2">
        <v>2.1675517502980381E-4</v>
      </c>
      <c r="I395" s="4">
        <v>2.2204460492503131E-16</v>
      </c>
      <c r="J395" s="4">
        <v>-0.44131309392847567</v>
      </c>
      <c r="K395" s="5">
        <v>4</v>
      </c>
      <c r="L395" s="5">
        <v>0</v>
      </c>
      <c r="M395" s="5">
        <v>4</v>
      </c>
    </row>
    <row r="396" spans="1:13" hidden="1" x14ac:dyDescent="0.25">
      <c r="A396" t="s">
        <v>407</v>
      </c>
      <c r="B396" s="1">
        <v>0.18173908349526871</v>
      </c>
      <c r="C396" s="2">
        <v>5.1783877669503523E-5</v>
      </c>
      <c r="D396" s="2"/>
      <c r="E396" s="2">
        <v>0.89440812906384126</v>
      </c>
      <c r="F396" s="3">
        <v>170.66100612852119</v>
      </c>
      <c r="G396" s="3">
        <v>2</v>
      </c>
      <c r="H396" s="2">
        <v>1.083775875149019E-4</v>
      </c>
      <c r="I396" s="4">
        <v>1.110223024625157E-16</v>
      </c>
      <c r="J396" s="4">
        <v>0.89440812906384115</v>
      </c>
      <c r="K396" s="5">
        <v>2</v>
      </c>
      <c r="L396" s="5">
        <v>0</v>
      </c>
      <c r="M396" s="5">
        <v>0</v>
      </c>
    </row>
    <row r="397" spans="1:13" hidden="1" x14ac:dyDescent="0.25">
      <c r="A397" t="s">
        <v>408</v>
      </c>
      <c r="B397" s="1">
        <v>0.18170543938538281</v>
      </c>
      <c r="C397" s="2">
        <v>5.1774291275442733E-5</v>
      </c>
      <c r="D397" s="2"/>
      <c r="E397" s="2">
        <v>0.53465341598033023</v>
      </c>
      <c r="F397" s="3">
        <v>138.251885647894</v>
      </c>
      <c r="G397" s="3">
        <v>1</v>
      </c>
      <c r="H397" s="2">
        <v>5.4188793757450959E-5</v>
      </c>
      <c r="I397" s="4">
        <v>0</v>
      </c>
      <c r="J397" s="4">
        <v>0.53465341598033023</v>
      </c>
      <c r="K397" s="5">
        <v>1</v>
      </c>
      <c r="L397" s="5">
        <v>0</v>
      </c>
      <c r="M397" s="5">
        <v>0</v>
      </c>
    </row>
    <row r="398" spans="1:13" hidden="1" x14ac:dyDescent="0.25">
      <c r="A398" t="s">
        <v>409</v>
      </c>
      <c r="B398" s="1">
        <v>0.18146524413006621</v>
      </c>
      <c r="C398" s="2">
        <v>5.1705851171757291E-5</v>
      </c>
      <c r="D398" s="2"/>
      <c r="E398" s="2">
        <v>0.30543809717854548</v>
      </c>
      <c r="F398" s="3">
        <v>117.6026304390319</v>
      </c>
      <c r="G398" s="3">
        <v>4</v>
      </c>
      <c r="H398" s="2">
        <v>2.1675517502980381E-4</v>
      </c>
      <c r="I398" s="4">
        <v>2.7755575615628909E-16</v>
      </c>
      <c r="J398" s="4">
        <v>0.30543809717854531</v>
      </c>
      <c r="K398" s="5">
        <v>4</v>
      </c>
      <c r="L398" s="5">
        <v>0</v>
      </c>
      <c r="M398" s="5">
        <v>0</v>
      </c>
    </row>
    <row r="399" spans="1:13" hidden="1" x14ac:dyDescent="0.25">
      <c r="A399" t="s">
        <v>410</v>
      </c>
      <c r="B399" s="1">
        <v>0.18081888760365011</v>
      </c>
      <c r="C399" s="2">
        <v>5.1521681390271142E-5</v>
      </c>
      <c r="D399" s="2"/>
      <c r="E399" s="2">
        <v>0.50556874007653341</v>
      </c>
      <c r="F399" s="3">
        <v>135.63174272488149</v>
      </c>
      <c r="G399" s="3">
        <v>2</v>
      </c>
      <c r="H399" s="2">
        <v>1.083775875149019E-4</v>
      </c>
      <c r="I399" s="4">
        <v>-2.6174194860543839E-2</v>
      </c>
      <c r="J399" s="4">
        <v>0.53174293493707725</v>
      </c>
      <c r="K399" s="5">
        <v>2</v>
      </c>
      <c r="L399" s="5">
        <v>0</v>
      </c>
      <c r="M399" s="5">
        <v>0</v>
      </c>
    </row>
    <row r="400" spans="1:13" hidden="1" x14ac:dyDescent="0.25">
      <c r="A400" t="s">
        <v>411</v>
      </c>
      <c r="B400" s="1">
        <v>0.18077307167760179</v>
      </c>
      <c r="C400" s="2">
        <v>5.1508626816295282E-5</v>
      </c>
      <c r="D400" s="2"/>
      <c r="E400" s="2">
        <v>0.68595606881487381</v>
      </c>
      <c r="F400" s="3">
        <v>151.88224468537231</v>
      </c>
      <c r="G400" s="3">
        <v>1</v>
      </c>
      <c r="H400" s="2">
        <v>5.4188793757450959E-5</v>
      </c>
      <c r="I400" s="4">
        <v>0</v>
      </c>
      <c r="J400" s="4">
        <v>0.68595606881487381</v>
      </c>
      <c r="K400" s="5">
        <v>1</v>
      </c>
      <c r="L400" s="5">
        <v>0</v>
      </c>
      <c r="M400" s="5">
        <v>0</v>
      </c>
    </row>
    <row r="401" spans="1:13" hidden="1" x14ac:dyDescent="0.25">
      <c r="A401" t="s">
        <v>412</v>
      </c>
      <c r="B401" s="1">
        <v>0.17990914704845429</v>
      </c>
      <c r="C401" s="2">
        <v>5.1262464205309003E-5</v>
      </c>
      <c r="D401" s="2"/>
      <c r="E401" s="2">
        <v>3.4196677573496308E-2</v>
      </c>
      <c r="F401" s="3">
        <v>93.167381844315727</v>
      </c>
      <c r="G401" s="3">
        <v>4</v>
      </c>
      <c r="H401" s="2">
        <v>2.1675517502980381E-4</v>
      </c>
      <c r="I401" s="4">
        <v>3.4694469519536142E-17</v>
      </c>
      <c r="J401" s="4">
        <v>3.419667757349628E-2</v>
      </c>
      <c r="K401" s="5">
        <v>4</v>
      </c>
      <c r="L401" s="5">
        <v>0</v>
      </c>
      <c r="M401" s="5">
        <v>0</v>
      </c>
    </row>
    <row r="402" spans="1:13" hidden="1" x14ac:dyDescent="0.25">
      <c r="A402" t="s">
        <v>413</v>
      </c>
      <c r="B402" s="1">
        <v>0.17987396276491399</v>
      </c>
      <c r="C402" s="2">
        <v>5.1252438961428062E-5</v>
      </c>
      <c r="D402" s="2"/>
      <c r="E402" s="2">
        <v>0.40550183628373948</v>
      </c>
      <c r="F402" s="3">
        <v>126.61704403380109</v>
      </c>
      <c r="G402" s="3">
        <v>3</v>
      </c>
      <c r="H402" s="2">
        <v>1.6256638127235291E-4</v>
      </c>
      <c r="I402" s="4">
        <v>-3.3306690738754701E-16</v>
      </c>
      <c r="J402" s="4">
        <v>0.40550183628373981</v>
      </c>
      <c r="K402" s="5">
        <v>3</v>
      </c>
      <c r="L402" s="5">
        <v>0</v>
      </c>
      <c r="M402" s="5">
        <v>0</v>
      </c>
    </row>
    <row r="403" spans="1:13" hidden="1" x14ac:dyDescent="0.25">
      <c r="A403" t="s">
        <v>414</v>
      </c>
      <c r="B403" s="1">
        <v>0.1797273302325508</v>
      </c>
      <c r="C403" s="2">
        <v>5.1210658178933548E-5</v>
      </c>
      <c r="D403" s="2"/>
      <c r="E403" s="2">
        <v>-0.1645073663915857</v>
      </c>
      <c r="F403" s="3">
        <v>75.266787170640754</v>
      </c>
      <c r="G403" s="3">
        <v>1</v>
      </c>
      <c r="H403" s="2">
        <v>5.4188793757450959E-5</v>
      </c>
      <c r="I403" s="4">
        <v>-2.775557561562891E-17</v>
      </c>
      <c r="J403" s="4">
        <v>-0.1645073663915857</v>
      </c>
      <c r="K403" s="5">
        <v>1</v>
      </c>
      <c r="L403" s="5">
        <v>0</v>
      </c>
      <c r="M403" s="5">
        <v>0</v>
      </c>
    </row>
    <row r="404" spans="1:13" hidden="1" x14ac:dyDescent="0.25">
      <c r="A404" t="s">
        <v>415</v>
      </c>
      <c r="B404" s="1">
        <v>0.17958135220469551</v>
      </c>
      <c r="C404" s="2">
        <v>5.1169063887867962E-5</v>
      </c>
      <c r="D404" s="2"/>
      <c r="E404" s="2">
        <v>1.9868548893062949</v>
      </c>
      <c r="F404" s="3">
        <v>269.0759465970001</v>
      </c>
      <c r="G404" s="3">
        <v>1</v>
      </c>
      <c r="H404" s="2">
        <v>5.4188793757450959E-5</v>
      </c>
      <c r="I404" s="4">
        <v>0</v>
      </c>
      <c r="J404" s="4">
        <v>1.9868548893062949</v>
      </c>
      <c r="K404" s="5">
        <v>1</v>
      </c>
      <c r="L404" s="5">
        <v>0</v>
      </c>
      <c r="M404" s="5">
        <v>0</v>
      </c>
    </row>
    <row r="405" spans="1:13" hidden="1" x14ac:dyDescent="0.25">
      <c r="A405" t="s">
        <v>416</v>
      </c>
      <c r="B405" s="1">
        <v>0.1787225033525382</v>
      </c>
      <c r="C405" s="2">
        <v>5.092434754484831E-5</v>
      </c>
      <c r="D405" s="2"/>
      <c r="E405" s="2">
        <v>0.23237686510769581</v>
      </c>
      <c r="F405" s="3">
        <v>111.02078401274871</v>
      </c>
      <c r="G405" s="3">
        <v>2</v>
      </c>
      <c r="H405" s="2">
        <v>1.083775875149019E-4</v>
      </c>
      <c r="I405" s="4">
        <v>1.9428902930940239E-16</v>
      </c>
      <c r="J405" s="4">
        <v>0.23237686510769559</v>
      </c>
      <c r="K405" s="5">
        <v>2</v>
      </c>
      <c r="L405" s="5">
        <v>0</v>
      </c>
      <c r="M405" s="5">
        <v>0</v>
      </c>
    </row>
    <row r="406" spans="1:13" hidden="1" x14ac:dyDescent="0.25">
      <c r="A406" t="s">
        <v>417</v>
      </c>
      <c r="B406" s="1">
        <v>0.17824812070055329</v>
      </c>
      <c r="C406" s="2">
        <v>5.0789179188397577E-5</v>
      </c>
      <c r="D406" s="2"/>
      <c r="E406" s="2">
        <v>0.16609457850457071</v>
      </c>
      <c r="F406" s="3">
        <v>105.04963051808009</v>
      </c>
      <c r="G406" s="3">
        <v>1</v>
      </c>
      <c r="H406" s="2">
        <v>5.4188793757450959E-5</v>
      </c>
      <c r="I406" s="4">
        <v>8.3266726846886741E-17</v>
      </c>
      <c r="J406" s="4">
        <v>0.1660945785045706</v>
      </c>
      <c r="K406" s="5">
        <v>1</v>
      </c>
      <c r="L406" s="5">
        <v>0</v>
      </c>
      <c r="M406" s="5">
        <v>1</v>
      </c>
    </row>
    <row r="407" spans="1:13" hidden="1" x14ac:dyDescent="0.25">
      <c r="A407" t="s">
        <v>418</v>
      </c>
      <c r="B407" s="1">
        <v>0.17770017676958999</v>
      </c>
      <c r="C407" s="2">
        <v>5.063305062790832E-5</v>
      </c>
      <c r="D407" s="2"/>
      <c r="E407" s="2">
        <v>7.9889603786603924E-2</v>
      </c>
      <c r="F407" s="3">
        <v>97.283707487586057</v>
      </c>
      <c r="G407" s="3">
        <v>2</v>
      </c>
      <c r="H407" s="2">
        <v>1.083775875149019E-4</v>
      </c>
      <c r="I407" s="4">
        <v>-2.775557561562891E-17</v>
      </c>
      <c r="J407" s="4">
        <v>7.9889603786603952E-2</v>
      </c>
      <c r="K407" s="5">
        <v>2</v>
      </c>
      <c r="L407" s="5">
        <v>0</v>
      </c>
      <c r="M407" s="5">
        <v>0</v>
      </c>
    </row>
    <row r="408" spans="1:13" hidden="1" x14ac:dyDescent="0.25">
      <c r="A408" t="s">
        <v>419</v>
      </c>
      <c r="B408" s="1">
        <v>0.17769872492408029</v>
      </c>
      <c r="C408" s="2">
        <v>5.0632636945893312E-5</v>
      </c>
      <c r="D408" s="2"/>
      <c r="E408" s="2">
        <v>0.27348634479268008</v>
      </c>
      <c r="F408" s="3">
        <v>114.72420201271601</v>
      </c>
      <c r="G408" s="3">
        <v>3</v>
      </c>
      <c r="H408" s="2">
        <v>1.6256638127235291E-4</v>
      </c>
      <c r="I408" s="4">
        <v>-2.7755575615628909E-16</v>
      </c>
      <c r="J408" s="4">
        <v>0.27348634479268041</v>
      </c>
      <c r="K408" s="5">
        <v>3</v>
      </c>
      <c r="L408" s="5">
        <v>0</v>
      </c>
      <c r="M408" s="5">
        <v>0</v>
      </c>
    </row>
    <row r="409" spans="1:13" hidden="1" x14ac:dyDescent="0.25">
      <c r="A409" t="s">
        <v>420</v>
      </c>
      <c r="B409" s="1">
        <v>0.17764465792929479</v>
      </c>
      <c r="C409" s="2">
        <v>5.0617231351289858E-5</v>
      </c>
      <c r="D409" s="2"/>
      <c r="E409" s="2">
        <v>0.65074138584842034</v>
      </c>
      <c r="F409" s="3">
        <v>148.70986956020761</v>
      </c>
      <c r="G409" s="3">
        <v>4</v>
      </c>
      <c r="H409" s="2">
        <v>2.1675517502980381E-4</v>
      </c>
      <c r="I409" s="4">
        <v>-2.2204460492503131E-16</v>
      </c>
      <c r="J409" s="4">
        <v>0.65074138584842056</v>
      </c>
      <c r="K409" s="5">
        <v>4</v>
      </c>
      <c r="L409" s="5">
        <v>0</v>
      </c>
      <c r="M409" s="5">
        <v>0</v>
      </c>
    </row>
    <row r="410" spans="1:13" hidden="1" x14ac:dyDescent="0.25">
      <c r="A410" t="s">
        <v>421</v>
      </c>
      <c r="B410" s="1">
        <v>0.1773540091097344</v>
      </c>
      <c r="C410" s="2">
        <v>5.0534415246864557E-5</v>
      </c>
      <c r="D410" s="2"/>
      <c r="E410" s="2">
        <v>-0.38344290672669279</v>
      </c>
      <c r="F410" s="3">
        <v>55.543603439717458</v>
      </c>
      <c r="G410" s="3">
        <v>3</v>
      </c>
      <c r="H410" s="2">
        <v>1.6256638127235291E-4</v>
      </c>
      <c r="I410" s="4">
        <v>-3.3306690738754701E-16</v>
      </c>
      <c r="J410" s="4">
        <v>-0.38344290672669251</v>
      </c>
      <c r="K410" s="5">
        <v>3</v>
      </c>
      <c r="L410" s="5">
        <v>0</v>
      </c>
      <c r="M410" s="5">
        <v>2</v>
      </c>
    </row>
    <row r="411" spans="1:13" hidden="1" x14ac:dyDescent="0.25">
      <c r="A411" t="s">
        <v>422</v>
      </c>
      <c r="B411" s="1">
        <v>0.1771612303415995</v>
      </c>
      <c r="C411" s="2">
        <v>5.047948577349878E-5</v>
      </c>
      <c r="D411" s="2"/>
      <c r="E411" s="2">
        <v>1.189436987668026</v>
      </c>
      <c r="F411" s="3">
        <v>197.2391869723823</v>
      </c>
      <c r="G411" s="3">
        <v>2</v>
      </c>
      <c r="H411" s="2">
        <v>1.083775875149019E-4</v>
      </c>
      <c r="I411" s="4">
        <v>1.6402677673732671</v>
      </c>
      <c r="J411" s="4">
        <v>-0.45083077970524071</v>
      </c>
      <c r="K411" s="5">
        <v>2</v>
      </c>
      <c r="L411" s="5">
        <v>0</v>
      </c>
      <c r="M411" s="5">
        <v>1</v>
      </c>
    </row>
    <row r="412" spans="1:13" hidden="1" x14ac:dyDescent="0.25">
      <c r="A412" t="s">
        <v>423</v>
      </c>
      <c r="B412" s="1">
        <v>0.17562881701516789</v>
      </c>
      <c r="C412" s="2">
        <v>5.0042847144598028E-5</v>
      </c>
      <c r="D412" s="2"/>
      <c r="E412" s="2">
        <v>3.3255585930328491</v>
      </c>
      <c r="F412" s="3">
        <v>389.67536626843679</v>
      </c>
      <c r="G412" s="3">
        <v>3</v>
      </c>
      <c r="H412" s="2">
        <v>1.6256638127235291E-4</v>
      </c>
      <c r="I412" s="4">
        <v>4.4408920985006262E-16</v>
      </c>
      <c r="J412" s="4">
        <v>3.3255585930328482</v>
      </c>
      <c r="K412" s="5">
        <v>3</v>
      </c>
      <c r="L412" s="5">
        <v>1</v>
      </c>
      <c r="M412" s="5">
        <v>0</v>
      </c>
    </row>
    <row r="413" spans="1:13" hidden="1" x14ac:dyDescent="0.25">
      <c r="A413" t="s">
        <v>424</v>
      </c>
      <c r="B413" s="1">
        <v>0.17538267880703109</v>
      </c>
      <c r="C413" s="2">
        <v>4.9972713683953178E-5</v>
      </c>
      <c r="D413" s="2"/>
      <c r="E413" s="2">
        <v>-0.7641016692217566</v>
      </c>
      <c r="F413" s="3">
        <v>21.25130580734379</v>
      </c>
      <c r="G413" s="3">
        <v>1</v>
      </c>
      <c r="H413" s="2">
        <v>5.4188793757450959E-5</v>
      </c>
      <c r="I413" s="4">
        <v>1.110223024625157E-16</v>
      </c>
      <c r="J413" s="4">
        <v>-0.76410166922175671</v>
      </c>
      <c r="K413" s="5">
        <v>1</v>
      </c>
      <c r="L413" s="5">
        <v>1</v>
      </c>
      <c r="M413" s="5">
        <v>0</v>
      </c>
    </row>
    <row r="414" spans="1:13" hidden="1" x14ac:dyDescent="0.25">
      <c r="A414" t="s">
        <v>425</v>
      </c>
      <c r="B414" s="1">
        <v>0.17529899574498189</v>
      </c>
      <c r="C414" s="2">
        <v>4.9948869426764107E-5</v>
      </c>
      <c r="D414" s="2"/>
      <c r="E414" s="2">
        <v>-0.13593588493272399</v>
      </c>
      <c r="F414" s="3">
        <v>77.840698091705747</v>
      </c>
      <c r="G414" s="3">
        <v>6</v>
      </c>
      <c r="H414" s="2">
        <v>3.2513276254470582E-4</v>
      </c>
      <c r="I414" s="4">
        <v>0</v>
      </c>
      <c r="J414" s="4">
        <v>-0.13593588493272399</v>
      </c>
      <c r="K414" s="5">
        <v>6</v>
      </c>
      <c r="L414" s="5">
        <v>3</v>
      </c>
      <c r="M414" s="5">
        <v>0</v>
      </c>
    </row>
    <row r="415" spans="1:13" hidden="1" x14ac:dyDescent="0.25">
      <c r="A415" t="s">
        <v>426</v>
      </c>
      <c r="B415" s="1">
        <v>0.1749609834382081</v>
      </c>
      <c r="C415" s="2">
        <v>4.9852557793580303E-5</v>
      </c>
      <c r="D415" s="2"/>
      <c r="E415" s="2">
        <v>0.61038741506622962</v>
      </c>
      <c r="F415" s="3">
        <v>145.07451287580989</v>
      </c>
      <c r="G415" s="3">
        <v>1</v>
      </c>
      <c r="H415" s="2">
        <v>5.4188793757450959E-5</v>
      </c>
      <c r="I415" s="4">
        <v>0</v>
      </c>
      <c r="J415" s="4">
        <v>0.61038741506622962</v>
      </c>
      <c r="K415" s="5">
        <v>1</v>
      </c>
      <c r="L415" s="5">
        <v>0</v>
      </c>
      <c r="M415" s="5">
        <v>0</v>
      </c>
    </row>
    <row r="416" spans="1:13" hidden="1" x14ac:dyDescent="0.25">
      <c r="A416" t="s">
        <v>427</v>
      </c>
      <c r="B416" s="1">
        <v>0.1746357168746018</v>
      </c>
      <c r="C416" s="2">
        <v>4.9759877872366728E-5</v>
      </c>
      <c r="D416" s="2"/>
      <c r="E416" s="2">
        <v>4.765100475224437</v>
      </c>
      <c r="F416" s="3">
        <v>519.35896623291001</v>
      </c>
      <c r="G416" s="3">
        <v>2</v>
      </c>
      <c r="H416" s="2">
        <v>1.083775875149019E-4</v>
      </c>
      <c r="I416" s="4">
        <v>8.8817841970012523E-16</v>
      </c>
      <c r="J416" s="4">
        <v>4.7651004752244361</v>
      </c>
      <c r="K416" s="5">
        <v>2</v>
      </c>
      <c r="L416" s="5">
        <v>0</v>
      </c>
      <c r="M416" s="5">
        <v>2</v>
      </c>
    </row>
    <row r="417" spans="1:13" hidden="1" x14ac:dyDescent="0.25">
      <c r="A417" t="s">
        <v>428</v>
      </c>
      <c r="B417" s="1">
        <v>0.17447345019926269</v>
      </c>
      <c r="C417" s="2">
        <v>4.9713642370877482E-5</v>
      </c>
      <c r="D417" s="2"/>
      <c r="E417" s="2">
        <v>0.1892121549589012</v>
      </c>
      <c r="F417" s="3">
        <v>107.1322170507396</v>
      </c>
      <c r="G417" s="3">
        <v>1</v>
      </c>
      <c r="H417" s="2">
        <v>5.4188793757450959E-5</v>
      </c>
      <c r="I417" s="4">
        <v>0</v>
      </c>
      <c r="J417" s="4">
        <v>0.1892121549589012</v>
      </c>
      <c r="K417" s="5">
        <v>1</v>
      </c>
      <c r="L417" s="5">
        <v>0</v>
      </c>
      <c r="M417" s="5">
        <v>0</v>
      </c>
    </row>
    <row r="418" spans="1:13" hidden="1" x14ac:dyDescent="0.25">
      <c r="A418" t="s">
        <v>429</v>
      </c>
      <c r="B418" s="1">
        <v>0.17332405642326171</v>
      </c>
      <c r="C418" s="2">
        <v>4.9386139526988248E-5</v>
      </c>
      <c r="D418" s="2"/>
      <c r="E418" s="2">
        <v>-7.36705050124149E-2</v>
      </c>
      <c r="F418" s="3">
        <v>83.449981656924479</v>
      </c>
      <c r="G418" s="3">
        <v>3</v>
      </c>
      <c r="H418" s="2">
        <v>1.6256638127235291E-4</v>
      </c>
      <c r="I418" s="4">
        <v>-0.16162227225240619</v>
      </c>
      <c r="J418" s="4">
        <v>8.7951767239991263E-2</v>
      </c>
      <c r="K418" s="5">
        <v>3</v>
      </c>
      <c r="L418" s="5">
        <v>0</v>
      </c>
      <c r="M418" s="5">
        <v>3</v>
      </c>
    </row>
    <row r="419" spans="1:13" hidden="1" x14ac:dyDescent="0.25">
      <c r="A419" t="s">
        <v>430</v>
      </c>
      <c r="B419" s="1">
        <v>0.17283015749338571</v>
      </c>
      <c r="C419" s="2">
        <v>4.9245410294321772E-5</v>
      </c>
      <c r="D419" s="2"/>
      <c r="E419" s="2">
        <v>0.86986777461759002</v>
      </c>
      <c r="F419" s="3">
        <v>168.45024619971039</v>
      </c>
      <c r="G419" s="3">
        <v>1</v>
      </c>
      <c r="H419" s="2">
        <v>5.4188793757450959E-5</v>
      </c>
      <c r="I419" s="4">
        <v>0</v>
      </c>
      <c r="J419" s="4">
        <v>0.86986777461759002</v>
      </c>
      <c r="K419" s="5">
        <v>1</v>
      </c>
      <c r="L419" s="5">
        <v>0</v>
      </c>
      <c r="M419" s="5">
        <v>0</v>
      </c>
    </row>
    <row r="420" spans="1:13" hidden="1" x14ac:dyDescent="0.25">
      <c r="A420" t="s">
        <v>431</v>
      </c>
      <c r="B420" s="1">
        <v>0.17278162156077639</v>
      </c>
      <c r="C420" s="2">
        <v>4.9231580694499447E-5</v>
      </c>
      <c r="D420" s="2"/>
      <c r="E420" s="2">
        <v>-0.44695773929410582</v>
      </c>
      <c r="F420" s="3">
        <v>49.821760789371673</v>
      </c>
      <c r="G420" s="3">
        <v>3</v>
      </c>
      <c r="H420" s="2">
        <v>1.6256638127235291E-4</v>
      </c>
      <c r="I420" s="4">
        <v>-0.30046751260206161</v>
      </c>
      <c r="J420" s="4">
        <v>-0.14649022669204409</v>
      </c>
      <c r="K420" s="5">
        <v>3</v>
      </c>
      <c r="L420" s="5">
        <v>0</v>
      </c>
      <c r="M420" s="5">
        <v>0</v>
      </c>
    </row>
    <row r="421" spans="1:13" hidden="1" x14ac:dyDescent="0.25">
      <c r="A421" t="s">
        <v>432</v>
      </c>
      <c r="B421" s="1">
        <v>0.17241918947904711</v>
      </c>
      <c r="C421" s="2">
        <v>4.9128311005763163E-5</v>
      </c>
      <c r="D421" s="2"/>
      <c r="E421" s="2">
        <v>0.75132306050457309</v>
      </c>
      <c r="F421" s="3">
        <v>157.77094226759371</v>
      </c>
      <c r="G421" s="3">
        <v>3</v>
      </c>
      <c r="H421" s="2">
        <v>1.6256638127235291E-4</v>
      </c>
      <c r="I421" s="4">
        <v>1.016171361581016</v>
      </c>
      <c r="J421" s="4">
        <v>-0.26484830107644319</v>
      </c>
      <c r="K421" s="5">
        <v>3</v>
      </c>
      <c r="L421" s="5">
        <v>0</v>
      </c>
      <c r="M421" s="5">
        <v>2</v>
      </c>
    </row>
    <row r="422" spans="1:13" hidden="1" x14ac:dyDescent="0.25">
      <c r="A422" t="s">
        <v>433</v>
      </c>
      <c r="B422" s="1">
        <v>0.17155864442760169</v>
      </c>
      <c r="C422" s="2">
        <v>4.8883111355714837E-5</v>
      </c>
      <c r="D422" s="2"/>
      <c r="E422" s="2">
        <v>1.862393975144442</v>
      </c>
      <c r="F422" s="3">
        <v>257.86367163435318</v>
      </c>
      <c r="G422" s="3">
        <v>2</v>
      </c>
      <c r="H422" s="2">
        <v>1.083775875149019E-4</v>
      </c>
      <c r="I422" s="4">
        <v>0</v>
      </c>
      <c r="J422" s="4">
        <v>1.862393975144442</v>
      </c>
      <c r="K422" s="5">
        <v>2</v>
      </c>
      <c r="L422" s="5">
        <v>0</v>
      </c>
      <c r="M422" s="5">
        <v>1</v>
      </c>
    </row>
    <row r="423" spans="1:13" hidden="1" x14ac:dyDescent="0.25">
      <c r="A423" t="s">
        <v>434</v>
      </c>
      <c r="B423" s="1">
        <v>0.1711443457048791</v>
      </c>
      <c r="C423" s="2">
        <v>4.876506303081143E-5</v>
      </c>
      <c r="D423" s="2"/>
      <c r="E423" s="2">
        <v>0.54848836295074754</v>
      </c>
      <c r="F423" s="3">
        <v>139.49823057931749</v>
      </c>
      <c r="G423" s="3">
        <v>2</v>
      </c>
      <c r="H423" s="2">
        <v>1.083775875149019E-4</v>
      </c>
      <c r="I423" s="4">
        <v>3.3306690738754701E-16</v>
      </c>
      <c r="J423" s="4">
        <v>0.54848836295074721</v>
      </c>
      <c r="K423" s="5">
        <v>2</v>
      </c>
      <c r="L423" s="5">
        <v>0</v>
      </c>
      <c r="M423" s="5">
        <v>0</v>
      </c>
    </row>
    <row r="424" spans="1:13" hidden="1" x14ac:dyDescent="0.25">
      <c r="A424" t="s">
        <v>435</v>
      </c>
      <c r="B424" s="1">
        <v>0.1710611401753965</v>
      </c>
      <c r="C424" s="2">
        <v>4.874135483950063E-5</v>
      </c>
      <c r="D424" s="2"/>
      <c r="E424" s="2">
        <v>0.53253688327627136</v>
      </c>
      <c r="F424" s="3">
        <v>138.06121416837649</v>
      </c>
      <c r="G424" s="3">
        <v>2</v>
      </c>
      <c r="H424" s="2">
        <v>1.083775875149019E-4</v>
      </c>
      <c r="I424" s="4">
        <v>0</v>
      </c>
      <c r="J424" s="4">
        <v>0.53253688327627136</v>
      </c>
      <c r="K424" s="5">
        <v>2</v>
      </c>
      <c r="L424" s="5">
        <v>1</v>
      </c>
      <c r="M424" s="5">
        <v>1</v>
      </c>
    </row>
    <row r="425" spans="1:13" hidden="1" x14ac:dyDescent="0.25">
      <c r="A425" t="s">
        <v>436</v>
      </c>
      <c r="B425" s="1">
        <v>0.17091037814093041</v>
      </c>
      <c r="C425" s="2">
        <v>4.8698397416144847E-5</v>
      </c>
      <c r="D425" s="2"/>
      <c r="E425" s="2">
        <v>2.4732360947085339</v>
      </c>
      <c r="F425" s="3">
        <v>312.8924318635452</v>
      </c>
      <c r="G425" s="3">
        <v>1</v>
      </c>
      <c r="H425" s="2">
        <v>5.4188793757450959E-5</v>
      </c>
      <c r="I425" s="4">
        <v>0</v>
      </c>
      <c r="J425" s="4">
        <v>2.4732360947085339</v>
      </c>
      <c r="K425" s="5">
        <v>1</v>
      </c>
      <c r="L425" s="5">
        <v>0</v>
      </c>
      <c r="M425" s="5">
        <v>0</v>
      </c>
    </row>
    <row r="426" spans="1:13" hidden="1" x14ac:dyDescent="0.25">
      <c r="A426" t="s">
        <v>437</v>
      </c>
      <c r="B426" s="1">
        <v>0.17077771790003071</v>
      </c>
      <c r="C426" s="2">
        <v>4.8660597832509698E-5</v>
      </c>
      <c r="D426" s="2"/>
      <c r="E426" s="2">
        <v>0.49770359739313069</v>
      </c>
      <c r="F426" s="3">
        <v>134.9231978537417</v>
      </c>
      <c r="G426" s="3">
        <v>2</v>
      </c>
      <c r="H426" s="2">
        <v>1.083775875149019E-4</v>
      </c>
      <c r="I426" s="4">
        <v>1.6653345369377351E-16</v>
      </c>
      <c r="J426" s="4">
        <v>0.49770359739313058</v>
      </c>
      <c r="K426" s="5">
        <v>2</v>
      </c>
      <c r="L426" s="5">
        <v>0</v>
      </c>
      <c r="M426" s="5">
        <v>0</v>
      </c>
    </row>
    <row r="427" spans="1:13" hidden="1" x14ac:dyDescent="0.25">
      <c r="A427" t="s">
        <v>438</v>
      </c>
      <c r="B427" s="1">
        <v>0.16972456106265429</v>
      </c>
      <c r="C427" s="2">
        <v>4.8360516288217532E-5</v>
      </c>
      <c r="D427" s="2"/>
      <c r="E427" s="2">
        <v>-0.29577154879574441</v>
      </c>
      <c r="F427" s="3">
        <v>63.441628117505942</v>
      </c>
      <c r="G427" s="3">
        <v>2</v>
      </c>
      <c r="H427" s="2">
        <v>1.083775875149019E-4</v>
      </c>
      <c r="I427" s="4">
        <v>0.28767132548909269</v>
      </c>
      <c r="J427" s="4">
        <v>-0.5834428742848371</v>
      </c>
      <c r="K427" s="5">
        <v>1</v>
      </c>
      <c r="L427" s="5">
        <v>0</v>
      </c>
      <c r="M427" s="5">
        <v>1</v>
      </c>
    </row>
    <row r="428" spans="1:13" hidden="1" x14ac:dyDescent="0.25">
      <c r="A428" t="s">
        <v>439</v>
      </c>
      <c r="B428" s="1">
        <v>0.1694656930086883</v>
      </c>
      <c r="C428" s="2">
        <v>4.8286755645315049E-5</v>
      </c>
      <c r="D428" s="2"/>
      <c r="E428" s="2">
        <v>-0.50161449757721011</v>
      </c>
      <c r="F428" s="3">
        <v>44.897912956789007</v>
      </c>
      <c r="G428" s="3">
        <v>4</v>
      </c>
      <c r="H428" s="2">
        <v>2.1675517502980381E-4</v>
      </c>
      <c r="I428" s="4">
        <v>9.8819693475837855E-3</v>
      </c>
      <c r="J428" s="4">
        <v>-0.51149646692479389</v>
      </c>
      <c r="K428" s="5">
        <v>4</v>
      </c>
      <c r="L428" s="5">
        <v>0</v>
      </c>
      <c r="M428" s="5">
        <v>2</v>
      </c>
    </row>
    <row r="429" spans="1:13" hidden="1" x14ac:dyDescent="0.25">
      <c r="A429" t="s">
        <v>440</v>
      </c>
      <c r="B429" s="1">
        <v>0.16934068649217629</v>
      </c>
      <c r="C429" s="2">
        <v>4.8251136877824602E-5</v>
      </c>
      <c r="D429" s="2"/>
      <c r="E429" s="2">
        <v>0.41080059137733121</v>
      </c>
      <c r="F429" s="3">
        <v>127.0943914763228</v>
      </c>
      <c r="G429" s="3">
        <v>4</v>
      </c>
      <c r="H429" s="2">
        <v>2.1675517502980381E-4</v>
      </c>
      <c r="I429" s="4">
        <v>0.48353833980114369</v>
      </c>
      <c r="J429" s="4">
        <v>-7.2737748423812601E-2</v>
      </c>
      <c r="K429" s="5">
        <v>4</v>
      </c>
      <c r="L429" s="5">
        <v>0</v>
      </c>
      <c r="M429" s="5">
        <v>3</v>
      </c>
    </row>
    <row r="430" spans="1:13" hidden="1" x14ac:dyDescent="0.25">
      <c r="A430" t="s">
        <v>441</v>
      </c>
      <c r="B430" s="1">
        <v>0.1691660211488322</v>
      </c>
      <c r="C430" s="2">
        <v>4.8201368558325692E-5</v>
      </c>
      <c r="D430" s="2"/>
      <c r="E430" s="2">
        <v>0.69530432408526877</v>
      </c>
      <c r="F430" s="3">
        <v>152.72439829816329</v>
      </c>
      <c r="G430" s="3">
        <v>1</v>
      </c>
      <c r="H430" s="2">
        <v>5.4188793757450959E-5</v>
      </c>
      <c r="I430" s="4">
        <v>0</v>
      </c>
      <c r="J430" s="4">
        <v>0.69530432408526877</v>
      </c>
      <c r="K430" s="5">
        <v>1</v>
      </c>
      <c r="L430" s="5">
        <v>0</v>
      </c>
      <c r="M430" s="5">
        <v>0</v>
      </c>
    </row>
    <row r="431" spans="1:13" hidden="1" x14ac:dyDescent="0.25">
      <c r="A431" t="s">
        <v>442</v>
      </c>
      <c r="B431" s="1">
        <v>0.16905556164781849</v>
      </c>
      <c r="C431" s="2">
        <v>4.8169894748851581E-5</v>
      </c>
      <c r="D431" s="2"/>
      <c r="E431" s="2">
        <v>0.30737030012476318</v>
      </c>
      <c r="F431" s="3">
        <v>117.7766962561</v>
      </c>
      <c r="G431" s="3">
        <v>1</v>
      </c>
      <c r="H431" s="2">
        <v>5.4188793757450959E-5</v>
      </c>
      <c r="I431" s="4">
        <v>-1.6653345369377351E-16</v>
      </c>
      <c r="J431" s="4">
        <v>0.30737030012476341</v>
      </c>
      <c r="K431" s="5">
        <v>1</v>
      </c>
      <c r="L431" s="5">
        <v>0</v>
      </c>
      <c r="M431" s="5">
        <v>0</v>
      </c>
    </row>
    <row r="432" spans="1:13" hidden="1" x14ac:dyDescent="0.25">
      <c r="A432" t="s">
        <v>443</v>
      </c>
      <c r="B432" s="1">
        <v>0.1689631122290268</v>
      </c>
      <c r="C432" s="2">
        <v>4.8143552647299983E-5</v>
      </c>
      <c r="D432" s="2"/>
      <c r="E432" s="2">
        <v>-8.8517487286716268E-2</v>
      </c>
      <c r="F432" s="3">
        <v>82.11246578902292</v>
      </c>
      <c r="G432" s="3">
        <v>2</v>
      </c>
      <c r="H432" s="2">
        <v>1.083775875149019E-4</v>
      </c>
      <c r="I432" s="4">
        <v>9.7144514654701197E-17</v>
      </c>
      <c r="J432" s="4">
        <v>-8.8517487286716365E-2</v>
      </c>
      <c r="K432" s="5">
        <v>2</v>
      </c>
      <c r="L432" s="5">
        <v>0</v>
      </c>
      <c r="M432" s="5">
        <v>1</v>
      </c>
    </row>
    <row r="433" spans="1:13" hidden="1" x14ac:dyDescent="0.25">
      <c r="A433" t="s">
        <v>444</v>
      </c>
      <c r="B433" s="1">
        <v>0.16887598033097229</v>
      </c>
      <c r="C433" s="2">
        <v>4.8118725695038603E-5</v>
      </c>
      <c r="D433" s="2"/>
      <c r="E433" s="2">
        <v>0.89530744786535355</v>
      </c>
      <c r="F433" s="3">
        <v>170.74202280552001</v>
      </c>
      <c r="G433" s="3">
        <v>1</v>
      </c>
      <c r="H433" s="2">
        <v>5.4188793757450959E-5</v>
      </c>
      <c r="I433" s="4">
        <v>1.110223024625157E-16</v>
      </c>
      <c r="J433" s="4">
        <v>0.89530744786535343</v>
      </c>
      <c r="K433" s="5">
        <v>1</v>
      </c>
      <c r="L433" s="5">
        <v>0</v>
      </c>
      <c r="M433" s="5">
        <v>0</v>
      </c>
    </row>
    <row r="434" spans="1:13" hidden="1" x14ac:dyDescent="0.25">
      <c r="A434" t="s">
        <v>445</v>
      </c>
      <c r="B434" s="1">
        <v>0.16864721469085639</v>
      </c>
      <c r="C434" s="2">
        <v>4.8053542292025273E-5</v>
      </c>
      <c r="D434" s="2"/>
      <c r="E434" s="2">
        <v>0.26898276070510868</v>
      </c>
      <c r="F434" s="3">
        <v>114.31848891437269</v>
      </c>
      <c r="G434" s="3">
        <v>2</v>
      </c>
      <c r="H434" s="2">
        <v>1.083775875149019E-4</v>
      </c>
      <c r="I434" s="4">
        <v>2.2204460492503131E-16</v>
      </c>
      <c r="J434" s="4">
        <v>0.26898276070510851</v>
      </c>
      <c r="K434" s="5">
        <v>2</v>
      </c>
      <c r="L434" s="5">
        <v>0</v>
      </c>
      <c r="M434" s="5">
        <v>2</v>
      </c>
    </row>
    <row r="435" spans="1:13" hidden="1" x14ac:dyDescent="0.25">
      <c r="A435" t="s">
        <v>446</v>
      </c>
      <c r="B435" s="1">
        <v>0.16858192606359829</v>
      </c>
      <c r="C435" s="2">
        <v>4.8034939258367759E-5</v>
      </c>
      <c r="D435" s="2"/>
      <c r="E435" s="2">
        <v>5.7315605530374292E-2</v>
      </c>
      <c r="F435" s="3">
        <v>95.250090129400718</v>
      </c>
      <c r="G435" s="3">
        <v>3</v>
      </c>
      <c r="H435" s="2">
        <v>1.6256638127235291E-4</v>
      </c>
      <c r="I435" s="4">
        <v>-2.012279232133096E-16</v>
      </c>
      <c r="J435" s="4">
        <v>5.7315605530374493E-2</v>
      </c>
      <c r="K435" s="5">
        <v>3</v>
      </c>
      <c r="L435" s="5">
        <v>0</v>
      </c>
      <c r="M435" s="5">
        <v>1</v>
      </c>
    </row>
    <row r="436" spans="1:13" hidden="1" x14ac:dyDescent="0.25">
      <c r="A436" t="s">
        <v>447</v>
      </c>
      <c r="B436" s="1">
        <v>0.1684947159938335</v>
      </c>
      <c r="C436" s="2">
        <v>4.801009003222777E-5</v>
      </c>
      <c r="D436" s="2"/>
      <c r="E436" s="2">
        <v>0.62043806185449935</v>
      </c>
      <c r="F436" s="3">
        <v>145.97994263342821</v>
      </c>
      <c r="G436" s="3">
        <v>1</v>
      </c>
      <c r="H436" s="2">
        <v>5.4188793757450959E-5</v>
      </c>
      <c r="I436" s="4">
        <v>-1.110223024625157E-16</v>
      </c>
      <c r="J436" s="4">
        <v>0.62043806185449946</v>
      </c>
      <c r="K436" s="5">
        <v>1</v>
      </c>
      <c r="L436" s="5">
        <v>0</v>
      </c>
      <c r="M436" s="5">
        <v>0</v>
      </c>
    </row>
    <row r="437" spans="1:13" hidden="1" x14ac:dyDescent="0.25">
      <c r="A437" t="s">
        <v>448</v>
      </c>
      <c r="B437" s="1">
        <v>0.16772687121765981</v>
      </c>
      <c r="C437" s="2">
        <v>4.7791303961593807E-5</v>
      </c>
      <c r="D437" s="2"/>
      <c r="E437" s="2">
        <v>0.51000311327263126</v>
      </c>
      <c r="F437" s="3">
        <v>136.03122084133651</v>
      </c>
      <c r="G437" s="3">
        <v>4</v>
      </c>
      <c r="H437" s="2">
        <v>2.1675517502980381E-4</v>
      </c>
      <c r="I437" s="4">
        <v>-3.3306690738754701E-16</v>
      </c>
      <c r="J437" s="4">
        <v>0.51000311327263159</v>
      </c>
      <c r="K437" s="5">
        <v>4</v>
      </c>
      <c r="L437" s="5">
        <v>0</v>
      </c>
      <c r="M437" s="5">
        <v>0</v>
      </c>
    </row>
    <row r="438" spans="1:13" hidden="1" x14ac:dyDescent="0.25">
      <c r="A438" t="s">
        <v>449</v>
      </c>
      <c r="B438" s="1">
        <v>0.16754570253886289</v>
      </c>
      <c r="C438" s="2">
        <v>4.7739682612349991E-5</v>
      </c>
      <c r="D438" s="2"/>
      <c r="E438" s="2">
        <v>-0.19055410021491781</v>
      </c>
      <c r="F438" s="3">
        <v>72.920322471479921</v>
      </c>
      <c r="G438" s="3">
        <v>2</v>
      </c>
      <c r="H438" s="2">
        <v>1.083775875149019E-4</v>
      </c>
      <c r="I438" s="4">
        <v>-0.20501969950940599</v>
      </c>
      <c r="J438" s="4">
        <v>1.446559929448819E-2</v>
      </c>
      <c r="K438" s="5">
        <v>2</v>
      </c>
      <c r="L438" s="5">
        <v>0</v>
      </c>
      <c r="M438" s="5">
        <v>2</v>
      </c>
    </row>
    <row r="439" spans="1:13" hidden="1" x14ac:dyDescent="0.25">
      <c r="A439" t="s">
        <v>450</v>
      </c>
      <c r="B439" s="1">
        <v>0.16746148482510589</v>
      </c>
      <c r="C439" s="2">
        <v>4.7715686014023833E-5</v>
      </c>
      <c r="D439" s="2"/>
      <c r="E439" s="2">
        <v>-0.27034213424000658</v>
      </c>
      <c r="F439" s="3">
        <v>65.73248055144586</v>
      </c>
      <c r="G439" s="3">
        <v>4</v>
      </c>
      <c r="H439" s="2">
        <v>2.1675517502980381E-4</v>
      </c>
      <c r="I439" s="4">
        <v>-0.1712388875208542</v>
      </c>
      <c r="J439" s="4">
        <v>-9.9103246719152438E-2</v>
      </c>
      <c r="K439" s="5">
        <v>4</v>
      </c>
      <c r="L439" s="5">
        <v>0</v>
      </c>
      <c r="M439" s="5">
        <v>0</v>
      </c>
    </row>
    <row r="440" spans="1:13" hidden="1" x14ac:dyDescent="0.25">
      <c r="A440" t="s">
        <v>451</v>
      </c>
      <c r="B440" s="1">
        <v>0.1672654097570957</v>
      </c>
      <c r="C440" s="2">
        <v>4.765981730851149E-5</v>
      </c>
      <c r="D440" s="2"/>
      <c r="E440" s="2">
        <v>-0.27577418038246859</v>
      </c>
      <c r="F440" s="3">
        <v>65.24312535612836</v>
      </c>
      <c r="G440" s="3">
        <v>2</v>
      </c>
      <c r="H440" s="2">
        <v>1.083775875149019E-4</v>
      </c>
      <c r="I440" s="4">
        <v>1.6653345369377351E-16</v>
      </c>
      <c r="J440" s="4">
        <v>-0.27577418038246881</v>
      </c>
      <c r="K440" s="5">
        <v>2</v>
      </c>
      <c r="L440" s="5">
        <v>0</v>
      </c>
      <c r="M440" s="5">
        <v>2</v>
      </c>
    </row>
    <row r="441" spans="1:13" hidden="1" x14ac:dyDescent="0.25">
      <c r="A441" t="s">
        <v>452</v>
      </c>
      <c r="B441" s="1">
        <v>0.16718305354987761</v>
      </c>
      <c r="C441" s="2">
        <v>4.7636351119082759E-5</v>
      </c>
      <c r="D441" s="2"/>
      <c r="E441" s="2">
        <v>0.91470992826570252</v>
      </c>
      <c r="F441" s="3">
        <v>172.48992853697871</v>
      </c>
      <c r="G441" s="3">
        <v>2</v>
      </c>
      <c r="H441" s="2">
        <v>1.083775875149019E-4</v>
      </c>
      <c r="I441" s="4">
        <v>-8.8809273812843204E-2</v>
      </c>
      <c r="J441" s="4">
        <v>1.0035192020785459</v>
      </c>
      <c r="K441" s="5">
        <v>2</v>
      </c>
      <c r="L441" s="5">
        <v>0</v>
      </c>
      <c r="M441" s="5">
        <v>0</v>
      </c>
    </row>
    <row r="442" spans="1:13" hidden="1" x14ac:dyDescent="0.25">
      <c r="A442" t="s">
        <v>453</v>
      </c>
      <c r="B442" s="1">
        <v>0.1671574185353906</v>
      </c>
      <c r="C442" s="2">
        <v>4.7629046798907239E-5</v>
      </c>
      <c r="D442" s="2"/>
      <c r="E442" s="2">
        <v>0.48853760384192069</v>
      </c>
      <c r="F442" s="3">
        <v>134.09746360058989</v>
      </c>
      <c r="G442" s="3">
        <v>1</v>
      </c>
      <c r="H442" s="2">
        <v>5.4188793757450959E-5</v>
      </c>
      <c r="I442" s="4">
        <v>5.5511151231257827E-17</v>
      </c>
      <c r="J442" s="4">
        <v>0.48853760384192058</v>
      </c>
      <c r="K442" s="5">
        <v>1</v>
      </c>
      <c r="L442" s="5">
        <v>0</v>
      </c>
      <c r="M442" s="5">
        <v>1</v>
      </c>
    </row>
    <row r="443" spans="1:13" hidden="1" x14ac:dyDescent="0.25">
      <c r="A443" t="s">
        <v>454</v>
      </c>
      <c r="B443" s="1">
        <v>0.1662809570419275</v>
      </c>
      <c r="C443" s="2">
        <v>4.7379311992906053E-5</v>
      </c>
      <c r="D443" s="2"/>
      <c r="E443" s="2">
        <v>5.3343423689847818</v>
      </c>
      <c r="F443" s="3">
        <v>570.64009875616023</v>
      </c>
      <c r="G443" s="3">
        <v>2</v>
      </c>
      <c r="H443" s="2">
        <v>1.083775875149019E-4</v>
      </c>
      <c r="I443" s="4">
        <v>0</v>
      </c>
      <c r="J443" s="4">
        <v>5.3343423689847818</v>
      </c>
      <c r="K443" s="5">
        <v>2</v>
      </c>
      <c r="L443" s="5">
        <v>0</v>
      </c>
      <c r="M443" s="5">
        <v>2</v>
      </c>
    </row>
    <row r="444" spans="1:13" hidden="1" x14ac:dyDescent="0.25">
      <c r="A444" t="s">
        <v>455</v>
      </c>
      <c r="B444" s="1">
        <v>0.16625589819113851</v>
      </c>
      <c r="C444" s="2">
        <v>4.7372171842098432E-5</v>
      </c>
      <c r="D444" s="2"/>
      <c r="E444" s="2">
        <v>0.1167946027391342</v>
      </c>
      <c r="F444" s="3">
        <v>100.608357628062</v>
      </c>
      <c r="G444" s="3">
        <v>3</v>
      </c>
      <c r="H444" s="2">
        <v>1.6256638127235291E-4</v>
      </c>
      <c r="I444" s="4">
        <v>-1.3877787807814459E-16</v>
      </c>
      <c r="J444" s="4">
        <v>0.1167946027391344</v>
      </c>
      <c r="K444" s="5">
        <v>3</v>
      </c>
      <c r="L444" s="5">
        <v>0</v>
      </c>
      <c r="M444" s="5">
        <v>3</v>
      </c>
    </row>
    <row r="445" spans="1:13" hidden="1" x14ac:dyDescent="0.25">
      <c r="A445" t="s">
        <v>456</v>
      </c>
      <c r="B445" s="1">
        <v>0.16614875569494181</v>
      </c>
      <c r="C445" s="2">
        <v>4.7341643164339373E-5</v>
      </c>
      <c r="D445" s="2"/>
      <c r="E445" s="2">
        <v>-0.49540244085972662</v>
      </c>
      <c r="F445" s="3">
        <v>45.457536742850913</v>
      </c>
      <c r="G445" s="3">
        <v>1</v>
      </c>
      <c r="H445" s="2">
        <v>5.4188793757450959E-5</v>
      </c>
      <c r="I445" s="4">
        <v>5.5511151231257827E-17</v>
      </c>
      <c r="J445" s="4">
        <v>-0.49540244085972668</v>
      </c>
      <c r="K445" s="5">
        <v>1</v>
      </c>
      <c r="L445" s="5">
        <v>0</v>
      </c>
      <c r="M445" s="5">
        <v>0</v>
      </c>
    </row>
    <row r="446" spans="1:13" hidden="1" x14ac:dyDescent="0.25">
      <c r="A446" t="s">
        <v>457</v>
      </c>
      <c r="B446" s="1">
        <v>0.16582827851539009</v>
      </c>
      <c r="C446" s="2">
        <v>4.7250327907639501E-5</v>
      </c>
      <c r="D446" s="2"/>
      <c r="E446" s="2">
        <v>1.7592785604174781</v>
      </c>
      <c r="F446" s="3">
        <v>248.5743426061043</v>
      </c>
      <c r="G446" s="3">
        <v>2</v>
      </c>
      <c r="H446" s="2">
        <v>1.083775875149019E-4</v>
      </c>
      <c r="I446" s="4">
        <v>6.6613381477509392E-16</v>
      </c>
      <c r="J446" s="4">
        <v>1.7592785604174781</v>
      </c>
      <c r="K446" s="5">
        <v>2</v>
      </c>
      <c r="L446" s="5">
        <v>0</v>
      </c>
      <c r="M446" s="5">
        <v>0</v>
      </c>
    </row>
    <row r="447" spans="1:13" hidden="1" x14ac:dyDescent="0.25">
      <c r="A447" t="s">
        <v>458</v>
      </c>
      <c r="B447" s="1">
        <v>0.1651809952554584</v>
      </c>
      <c r="C447" s="2">
        <v>4.706589406707436E-5</v>
      </c>
      <c r="D447" s="2"/>
      <c r="E447" s="2">
        <v>-0.38795808465055148</v>
      </c>
      <c r="F447" s="3">
        <v>55.136845890743153</v>
      </c>
      <c r="G447" s="3">
        <v>3</v>
      </c>
      <c r="H447" s="2">
        <v>1.6256638127235291E-4</v>
      </c>
      <c r="I447" s="4">
        <v>5.5511151231257827E-17</v>
      </c>
      <c r="J447" s="4">
        <v>-0.38795808465055148</v>
      </c>
      <c r="K447" s="5">
        <v>3</v>
      </c>
      <c r="L447" s="5">
        <v>0</v>
      </c>
      <c r="M447" s="5">
        <v>0</v>
      </c>
    </row>
    <row r="448" spans="1:13" hidden="1" x14ac:dyDescent="0.25">
      <c r="A448" t="s">
        <v>459</v>
      </c>
      <c r="B448" s="1">
        <v>0.1651347216497023</v>
      </c>
      <c r="C448" s="2">
        <v>4.7052709084000192E-5</v>
      </c>
      <c r="D448" s="2"/>
      <c r="E448" s="2">
        <v>0.48928822987129061</v>
      </c>
      <c r="F448" s="3">
        <v>134.1650850341307</v>
      </c>
      <c r="G448" s="3">
        <v>2</v>
      </c>
      <c r="H448" s="2">
        <v>1.083775875149019E-4</v>
      </c>
      <c r="I448" s="4">
        <v>-5.5511151231257827E-17</v>
      </c>
      <c r="J448" s="4">
        <v>0.48928822987129073</v>
      </c>
      <c r="K448" s="5">
        <v>2</v>
      </c>
      <c r="L448" s="5">
        <v>0</v>
      </c>
      <c r="M448" s="5">
        <v>2</v>
      </c>
    </row>
    <row r="449" spans="1:13" hidden="1" x14ac:dyDescent="0.25">
      <c r="A449" t="s">
        <v>460</v>
      </c>
      <c r="B449" s="1">
        <v>0.1650121991570615</v>
      </c>
      <c r="C449" s="2">
        <v>4.7017798102561023E-5</v>
      </c>
      <c r="D449" s="2"/>
      <c r="E449" s="2">
        <v>1.308577798182792</v>
      </c>
      <c r="F449" s="3">
        <v>207.97219127144271</v>
      </c>
      <c r="G449" s="3">
        <v>1</v>
      </c>
      <c r="H449" s="2">
        <v>5.4188793757450959E-5</v>
      </c>
      <c r="I449" s="4">
        <v>0</v>
      </c>
      <c r="J449" s="4">
        <v>1.308577798182792</v>
      </c>
      <c r="K449" s="5">
        <v>1</v>
      </c>
      <c r="L449" s="5">
        <v>0</v>
      </c>
      <c r="M449" s="5">
        <v>1</v>
      </c>
    </row>
    <row r="450" spans="1:13" hidden="1" x14ac:dyDescent="0.25">
      <c r="A450" t="s">
        <v>461</v>
      </c>
      <c r="B450" s="1">
        <v>0.16482603327239939</v>
      </c>
      <c r="C450" s="2">
        <v>4.6964752873036523E-5</v>
      </c>
      <c r="D450" s="2"/>
      <c r="E450" s="2">
        <v>-0.58407988923678977</v>
      </c>
      <c r="F450" s="3">
        <v>37.468876681294773</v>
      </c>
      <c r="G450" s="3">
        <v>3</v>
      </c>
      <c r="H450" s="2">
        <v>1.6256638127235291E-4</v>
      </c>
      <c r="I450" s="4">
        <v>0</v>
      </c>
      <c r="J450" s="4">
        <v>-0.58407988923678977</v>
      </c>
      <c r="K450" s="5">
        <v>2</v>
      </c>
      <c r="L450" s="5">
        <v>0</v>
      </c>
      <c r="M450" s="5">
        <v>1</v>
      </c>
    </row>
    <row r="451" spans="1:13" hidden="1" x14ac:dyDescent="0.25">
      <c r="A451" t="s">
        <v>462</v>
      </c>
      <c r="B451" s="1">
        <v>0.16429346985674709</v>
      </c>
      <c r="C451" s="2">
        <v>4.6813006764070878E-5</v>
      </c>
      <c r="D451" s="2"/>
      <c r="E451" s="2">
        <v>-0.18097022422451511</v>
      </c>
      <c r="F451" s="3">
        <v>73.783702381035795</v>
      </c>
      <c r="G451" s="3">
        <v>5</v>
      </c>
      <c r="H451" s="2">
        <v>2.7094396878725479E-4</v>
      </c>
      <c r="I451" s="4">
        <v>2.775557561562891E-17</v>
      </c>
      <c r="J451" s="4">
        <v>-0.1809702242245152</v>
      </c>
      <c r="K451" s="5">
        <v>5</v>
      </c>
      <c r="L451" s="5">
        <v>0</v>
      </c>
      <c r="M451" s="5">
        <v>0</v>
      </c>
    </row>
    <row r="452" spans="1:13" hidden="1" x14ac:dyDescent="0.25">
      <c r="A452" t="s">
        <v>463</v>
      </c>
      <c r="B452" s="1">
        <v>0.16377052231277289</v>
      </c>
      <c r="C452" s="2">
        <v>4.6664000556248602E-5</v>
      </c>
      <c r="D452" s="2"/>
      <c r="E452" s="2">
        <v>-3.4653190362000208E-2</v>
      </c>
      <c r="F452" s="3">
        <v>86.964923380682492</v>
      </c>
      <c r="G452" s="3">
        <v>1</v>
      </c>
      <c r="H452" s="2">
        <v>5.4188793757450959E-5</v>
      </c>
      <c r="I452" s="4">
        <v>-1.387778780781446E-17</v>
      </c>
      <c r="J452" s="4">
        <v>-3.4653190362000187E-2</v>
      </c>
      <c r="K452" s="5">
        <v>1</v>
      </c>
      <c r="L452" s="5">
        <v>0</v>
      </c>
      <c r="M452" s="5">
        <v>0</v>
      </c>
    </row>
    <row r="453" spans="1:13" hidden="1" x14ac:dyDescent="0.25">
      <c r="A453" t="s">
        <v>464</v>
      </c>
      <c r="B453" s="1">
        <v>0.16367691049249761</v>
      </c>
      <c r="C453" s="2">
        <v>4.6637327245498217E-5</v>
      </c>
      <c r="D453" s="2"/>
      <c r="E453" s="2">
        <v>1.625482323801648</v>
      </c>
      <c r="F453" s="3">
        <v>236.52107910561929</v>
      </c>
      <c r="G453" s="3">
        <v>1</v>
      </c>
      <c r="H453" s="2">
        <v>5.4188793757450959E-5</v>
      </c>
      <c r="I453" s="4">
        <v>0</v>
      </c>
      <c r="J453" s="4">
        <v>1.625482323801648</v>
      </c>
      <c r="K453" s="5">
        <v>1</v>
      </c>
      <c r="L453" s="5">
        <v>0</v>
      </c>
      <c r="M453" s="5">
        <v>1</v>
      </c>
    </row>
    <row r="454" spans="1:13" hidden="1" x14ac:dyDescent="0.25">
      <c r="A454" t="s">
        <v>465</v>
      </c>
      <c r="B454" s="1">
        <v>0.1630515331262383</v>
      </c>
      <c r="C454" s="2">
        <v>4.6459135167004058E-5</v>
      </c>
      <c r="D454" s="2"/>
      <c r="E454" s="2">
        <v>0.61909069754411128</v>
      </c>
      <c r="F454" s="3">
        <v>145.85856300814859</v>
      </c>
      <c r="G454" s="3">
        <v>2</v>
      </c>
      <c r="H454" s="2">
        <v>1.083775875149019E-4</v>
      </c>
      <c r="I454" s="4">
        <v>2.2204460492503131E-16</v>
      </c>
      <c r="J454" s="4">
        <v>0.61909069754411106</v>
      </c>
      <c r="K454" s="5">
        <v>2</v>
      </c>
      <c r="L454" s="5">
        <v>0</v>
      </c>
      <c r="M454" s="5">
        <v>0</v>
      </c>
    </row>
    <row r="455" spans="1:13" hidden="1" x14ac:dyDescent="0.25">
      <c r="A455" t="s">
        <v>466</v>
      </c>
      <c r="B455" s="1">
        <v>0.1627679129985142</v>
      </c>
      <c r="C455" s="2">
        <v>4.6378321784894888E-5</v>
      </c>
      <c r="D455" s="2"/>
      <c r="E455" s="2">
        <v>2.1301811001513582</v>
      </c>
      <c r="F455" s="3">
        <v>281.98773417441862</v>
      </c>
      <c r="G455" s="3">
        <v>2</v>
      </c>
      <c r="H455" s="2">
        <v>1.083775875149019E-4</v>
      </c>
      <c r="I455" s="4">
        <v>0</v>
      </c>
      <c r="J455" s="4">
        <v>2.1301811001513582</v>
      </c>
      <c r="K455" s="5">
        <v>2</v>
      </c>
      <c r="L455" s="5">
        <v>0</v>
      </c>
      <c r="M455" s="5">
        <v>0</v>
      </c>
    </row>
    <row r="456" spans="1:13" hidden="1" x14ac:dyDescent="0.25">
      <c r="A456" t="s">
        <v>467</v>
      </c>
      <c r="B456" s="1">
        <v>0.16203539588669619</v>
      </c>
      <c r="C456" s="2">
        <v>4.6169601812395482E-5</v>
      </c>
      <c r="D456" s="2"/>
      <c r="E456" s="2">
        <v>0.35601572028412609</v>
      </c>
      <c r="F456" s="3">
        <v>122.159002381467</v>
      </c>
      <c r="G456" s="3">
        <v>1</v>
      </c>
      <c r="H456" s="2">
        <v>5.4188793757450959E-5</v>
      </c>
      <c r="I456" s="4">
        <v>-5.5511151231257827E-17</v>
      </c>
      <c r="J456" s="4">
        <v>0.35601572028412609</v>
      </c>
      <c r="K456" s="5">
        <v>1</v>
      </c>
      <c r="L456" s="5">
        <v>0</v>
      </c>
      <c r="M456" s="5">
        <v>0</v>
      </c>
    </row>
    <row r="457" spans="1:13" hidden="1" x14ac:dyDescent="0.25">
      <c r="A457" t="s">
        <v>468</v>
      </c>
      <c r="B457" s="1">
        <v>0.16156766032279779</v>
      </c>
      <c r="C457" s="2">
        <v>4.6036327445887392E-5</v>
      </c>
      <c r="D457" s="2"/>
      <c r="E457" s="2">
        <v>-8.8736932976789862E-2</v>
      </c>
      <c r="F457" s="3">
        <v>82.09269664757764</v>
      </c>
      <c r="G457" s="3">
        <v>3</v>
      </c>
      <c r="H457" s="2">
        <v>1.6256638127235291E-4</v>
      </c>
      <c r="I457" s="4">
        <v>-0.2460990700018367</v>
      </c>
      <c r="J457" s="4">
        <v>0.15736213702504681</v>
      </c>
      <c r="K457" s="5">
        <v>3</v>
      </c>
      <c r="L457" s="5">
        <v>0</v>
      </c>
      <c r="M457" s="5">
        <v>0</v>
      </c>
    </row>
    <row r="458" spans="1:13" hidden="1" x14ac:dyDescent="0.25">
      <c r="A458" t="s">
        <v>469</v>
      </c>
      <c r="B458" s="1">
        <v>0.16143235238449591</v>
      </c>
      <c r="C458" s="2">
        <v>4.5997773439836611E-5</v>
      </c>
      <c r="D458" s="2"/>
      <c r="E458" s="2">
        <v>0.78328444022512911</v>
      </c>
      <c r="F458" s="3">
        <v>160.6502379888706</v>
      </c>
      <c r="G458" s="3">
        <v>1</v>
      </c>
      <c r="H458" s="2">
        <v>5.4188793757450959E-5</v>
      </c>
      <c r="I458" s="4">
        <v>0</v>
      </c>
      <c r="J458" s="4">
        <v>0.78328444022512911</v>
      </c>
      <c r="K458" s="5">
        <v>1</v>
      </c>
      <c r="L458" s="5">
        <v>0</v>
      </c>
      <c r="M458" s="5">
        <v>0</v>
      </c>
    </row>
    <row r="459" spans="1:13" hidden="1" x14ac:dyDescent="0.25">
      <c r="A459" t="s">
        <v>470</v>
      </c>
      <c r="B459" s="1">
        <v>0.1607461828394168</v>
      </c>
      <c r="C459" s="2">
        <v>4.580225952450513E-5</v>
      </c>
      <c r="D459" s="2"/>
      <c r="E459" s="2">
        <v>4.5531571008519789</v>
      </c>
      <c r="F459" s="3">
        <v>500.26568376766232</v>
      </c>
      <c r="G459" s="3">
        <v>1</v>
      </c>
      <c r="H459" s="2">
        <v>5.4188793757450959E-5</v>
      </c>
      <c r="I459" s="4">
        <v>-4.0316260332410543E-2</v>
      </c>
      <c r="J459" s="4">
        <v>4.5934733611843894</v>
      </c>
      <c r="K459" s="5">
        <v>1</v>
      </c>
      <c r="L459" s="5">
        <v>0</v>
      </c>
      <c r="M459" s="5">
        <v>0</v>
      </c>
    </row>
    <row r="460" spans="1:13" hidden="1" x14ac:dyDescent="0.25">
      <c r="A460" t="s">
        <v>471</v>
      </c>
      <c r="B460" s="1">
        <v>0.1606217598562</v>
      </c>
      <c r="C460" s="2">
        <v>4.5766807026240833E-5</v>
      </c>
      <c r="D460" s="2"/>
      <c r="E460" s="2">
        <v>-8.9364536690178298E-2</v>
      </c>
      <c r="F460" s="3">
        <v>82.0361578904146</v>
      </c>
      <c r="G460" s="3">
        <v>1</v>
      </c>
      <c r="H460" s="2">
        <v>5.4188793757450959E-5</v>
      </c>
      <c r="I460" s="4">
        <v>-4.163336342344337E-17</v>
      </c>
      <c r="J460" s="4">
        <v>-8.9364536690178256E-2</v>
      </c>
      <c r="K460" s="5">
        <v>1</v>
      </c>
      <c r="L460" s="5">
        <v>0</v>
      </c>
      <c r="M460" s="5">
        <v>0</v>
      </c>
    </row>
    <row r="461" spans="1:13" hidden="1" x14ac:dyDescent="0.25">
      <c r="A461" t="s">
        <v>472</v>
      </c>
      <c r="B461" s="1">
        <v>0.16036912381646631</v>
      </c>
      <c r="C461" s="2">
        <v>4.5694822104093792E-5</v>
      </c>
      <c r="D461" s="2"/>
      <c r="E461" s="2">
        <v>0.10863763914582041</v>
      </c>
      <c r="F461" s="3">
        <v>99.873523569639417</v>
      </c>
      <c r="G461" s="3">
        <v>1</v>
      </c>
      <c r="H461" s="2">
        <v>5.4188793757450959E-5</v>
      </c>
      <c r="I461" s="4">
        <v>1.387778780781446E-17</v>
      </c>
      <c r="J461" s="4">
        <v>0.10863763914582029</v>
      </c>
      <c r="K461" s="5">
        <v>1</v>
      </c>
      <c r="L461" s="5">
        <v>0</v>
      </c>
      <c r="M461" s="5">
        <v>0</v>
      </c>
    </row>
    <row r="462" spans="1:13" hidden="1" x14ac:dyDescent="0.25">
      <c r="A462" t="s">
        <v>473</v>
      </c>
      <c r="B462" s="1">
        <v>0.16017733568342529</v>
      </c>
      <c r="C462" s="2">
        <v>4.5640174897621468E-5</v>
      </c>
      <c r="D462" s="2"/>
      <c r="E462" s="2">
        <v>0.4401210403636342</v>
      </c>
      <c r="F462" s="3">
        <v>129.73577442193709</v>
      </c>
      <c r="G462" s="3">
        <v>3</v>
      </c>
      <c r="H462" s="2">
        <v>1.6256638127235291E-4</v>
      </c>
      <c r="I462" s="4">
        <v>-1.6653345369377351E-16</v>
      </c>
      <c r="J462" s="4">
        <v>0.44012104036363442</v>
      </c>
      <c r="K462" s="5">
        <v>3</v>
      </c>
      <c r="L462" s="5">
        <v>0</v>
      </c>
      <c r="M462" s="5">
        <v>0</v>
      </c>
    </row>
    <row r="463" spans="1:13" hidden="1" x14ac:dyDescent="0.25">
      <c r="A463" t="s">
        <v>474</v>
      </c>
      <c r="B463" s="1">
        <v>0.15979062378027051</v>
      </c>
      <c r="C463" s="2">
        <v>4.5529987031031781E-5</v>
      </c>
      <c r="D463" s="2"/>
      <c r="E463" s="2">
        <v>3.10084904725956</v>
      </c>
      <c r="F463" s="3">
        <v>369.4320213524162</v>
      </c>
      <c r="G463" s="3">
        <v>2</v>
      </c>
      <c r="H463" s="2">
        <v>1.083775875149019E-4</v>
      </c>
      <c r="I463" s="4">
        <v>0.75643172495259625</v>
      </c>
      <c r="J463" s="4">
        <v>2.3444173223069642</v>
      </c>
      <c r="K463" s="5">
        <v>2</v>
      </c>
      <c r="L463" s="5">
        <v>0</v>
      </c>
      <c r="M463" s="5">
        <v>1</v>
      </c>
    </row>
    <row r="464" spans="1:13" hidden="1" x14ac:dyDescent="0.25">
      <c r="A464" t="s">
        <v>475</v>
      </c>
      <c r="B464" s="1">
        <v>0.1596964236536568</v>
      </c>
      <c r="C464" s="2">
        <v>4.5503146091046827E-5</v>
      </c>
      <c r="D464" s="2"/>
      <c r="E464" s="2">
        <v>-0.24703485127911709</v>
      </c>
      <c r="F464" s="3">
        <v>67.832157120186707</v>
      </c>
      <c r="G464" s="3">
        <v>4</v>
      </c>
      <c r="H464" s="2">
        <v>2.1675517502980381E-4</v>
      </c>
      <c r="I464" s="4">
        <v>-6.0225758459547557E-2</v>
      </c>
      <c r="J464" s="4">
        <v>-0.18680909281956951</v>
      </c>
      <c r="K464" s="5">
        <v>4</v>
      </c>
      <c r="L464" s="5">
        <v>0</v>
      </c>
      <c r="M464" s="5">
        <v>0</v>
      </c>
    </row>
    <row r="465" spans="1:13" hidden="1" x14ac:dyDescent="0.25">
      <c r="A465" t="s">
        <v>476</v>
      </c>
      <c r="B465" s="1">
        <v>0.1594617043953587</v>
      </c>
      <c r="C465" s="2">
        <v>4.5436266292136091E-5</v>
      </c>
      <c r="D465" s="2"/>
      <c r="E465" s="2">
        <v>0.66476552472264516</v>
      </c>
      <c r="F465" s="3">
        <v>149.9732581688408</v>
      </c>
      <c r="G465" s="3">
        <v>3</v>
      </c>
      <c r="H465" s="2">
        <v>1.6256638127235291E-4</v>
      </c>
      <c r="I465" s="4">
        <v>0</v>
      </c>
      <c r="J465" s="4">
        <v>0.66476552472264516</v>
      </c>
      <c r="K465" s="5">
        <v>3</v>
      </c>
      <c r="L465" s="5">
        <v>0</v>
      </c>
      <c r="M465" s="5">
        <v>0</v>
      </c>
    </row>
    <row r="466" spans="1:13" hidden="1" x14ac:dyDescent="0.25">
      <c r="A466" t="s">
        <v>477</v>
      </c>
      <c r="B466" s="1">
        <v>0.1593722949591381</v>
      </c>
      <c r="C466" s="2">
        <v>4.541079038888678E-5</v>
      </c>
      <c r="D466" s="2"/>
      <c r="E466" s="2">
        <v>-0.50037808022092922</v>
      </c>
      <c r="F466" s="3">
        <v>45.009297735380471</v>
      </c>
      <c r="G466" s="3">
        <v>1</v>
      </c>
      <c r="H466" s="2">
        <v>5.4188793757450959E-5</v>
      </c>
      <c r="I466" s="4">
        <v>0</v>
      </c>
      <c r="J466" s="4">
        <v>-0.50037808022092922</v>
      </c>
      <c r="K466" s="5">
        <v>1</v>
      </c>
      <c r="L466" s="5">
        <v>0</v>
      </c>
      <c r="M466" s="5">
        <v>0</v>
      </c>
    </row>
    <row r="467" spans="1:13" hidden="1" x14ac:dyDescent="0.25">
      <c r="A467" t="s">
        <v>478</v>
      </c>
      <c r="B467" s="1">
        <v>0.1587901421150954</v>
      </c>
      <c r="C467" s="2">
        <v>4.5244914501977457E-5</v>
      </c>
      <c r="D467" s="2"/>
      <c r="E467" s="2">
        <v>3.605099944471875</v>
      </c>
      <c r="F467" s="3">
        <v>414.85832846079489</v>
      </c>
      <c r="G467" s="3">
        <v>1</v>
      </c>
      <c r="H467" s="2">
        <v>5.4188793757450959E-5</v>
      </c>
      <c r="I467" s="4">
        <v>4.4408920985006262E-16</v>
      </c>
      <c r="J467" s="4">
        <v>3.605099944471875</v>
      </c>
      <c r="K467" s="5">
        <v>1</v>
      </c>
      <c r="L467" s="5">
        <v>0</v>
      </c>
      <c r="M467" s="5">
        <v>0</v>
      </c>
    </row>
    <row r="468" spans="1:13" hidden="1" x14ac:dyDescent="0.25">
      <c r="A468" t="s">
        <v>479</v>
      </c>
      <c r="B468" s="1">
        <v>0.1585920093732793</v>
      </c>
      <c r="C468" s="2">
        <v>4.5188459492591479E-5</v>
      </c>
      <c r="D468" s="2"/>
      <c r="E468" s="2">
        <v>0.39935891466753071</v>
      </c>
      <c r="F468" s="3">
        <v>126.0636484019374</v>
      </c>
      <c r="G468" s="3">
        <v>1</v>
      </c>
      <c r="H468" s="2">
        <v>5.4188793757450959E-5</v>
      </c>
      <c r="I468" s="4">
        <v>-1.110223024625157E-16</v>
      </c>
      <c r="J468" s="4">
        <v>0.39935891466753082</v>
      </c>
      <c r="K468" s="5">
        <v>1</v>
      </c>
      <c r="L468" s="5">
        <v>0</v>
      </c>
      <c r="M468" s="5">
        <v>0</v>
      </c>
    </row>
    <row r="469" spans="1:13" hidden="1" x14ac:dyDescent="0.25">
      <c r="A469" t="s">
        <v>480</v>
      </c>
      <c r="B469" s="1">
        <v>0.15847019694252401</v>
      </c>
      <c r="C469" s="2">
        <v>4.5153750832838489E-5</v>
      </c>
      <c r="D469" s="2"/>
      <c r="E469" s="2">
        <v>0.381210022048313</v>
      </c>
      <c r="F469" s="3">
        <v>124.4286742762485</v>
      </c>
      <c r="G469" s="3">
        <v>2</v>
      </c>
      <c r="H469" s="2">
        <v>1.083775875149019E-4</v>
      </c>
      <c r="I469" s="4">
        <v>-5.5511151231257827E-17</v>
      </c>
      <c r="J469" s="4">
        <v>0.38121002204831311</v>
      </c>
      <c r="K469" s="5">
        <v>2</v>
      </c>
      <c r="L469" s="5">
        <v>0</v>
      </c>
      <c r="M469" s="5">
        <v>0</v>
      </c>
    </row>
    <row r="470" spans="1:13" hidden="1" x14ac:dyDescent="0.25">
      <c r="A470" t="s">
        <v>481</v>
      </c>
      <c r="B470" s="1">
        <v>0.15840795240307251</v>
      </c>
      <c r="C470" s="2">
        <v>4.5136015167209722E-5</v>
      </c>
      <c r="D470" s="2"/>
      <c r="E470" s="2">
        <v>-4.7558737931354227E-2</v>
      </c>
      <c r="F470" s="3">
        <v>85.802304988671139</v>
      </c>
      <c r="G470" s="3">
        <v>6</v>
      </c>
      <c r="H470" s="2">
        <v>3.2513276254470582E-4</v>
      </c>
      <c r="I470" s="4">
        <v>-2.151057110211241E-16</v>
      </c>
      <c r="J470" s="4">
        <v>-4.7558737931354018E-2</v>
      </c>
      <c r="K470" s="5">
        <v>6</v>
      </c>
      <c r="L470" s="5">
        <v>0</v>
      </c>
      <c r="M470" s="5">
        <v>0</v>
      </c>
    </row>
    <row r="471" spans="1:13" hidden="1" x14ac:dyDescent="0.25">
      <c r="A471" t="s">
        <v>482</v>
      </c>
      <c r="B471" s="1">
        <v>0.15781426388511749</v>
      </c>
      <c r="C471" s="2">
        <v>4.496685235975905E-5</v>
      </c>
      <c r="D471" s="2"/>
      <c r="E471" s="2">
        <v>0.26147390303645518</v>
      </c>
      <c r="F471" s="3">
        <v>113.64204058998681</v>
      </c>
      <c r="G471" s="3">
        <v>2</v>
      </c>
      <c r="H471" s="2">
        <v>1.083775875149019E-4</v>
      </c>
      <c r="I471" s="4">
        <v>-0.27304396192939212</v>
      </c>
      <c r="J471" s="4">
        <v>0.5345178649658473</v>
      </c>
      <c r="K471" s="5">
        <v>2</v>
      </c>
      <c r="L471" s="5">
        <v>0</v>
      </c>
      <c r="M471" s="5">
        <v>0</v>
      </c>
    </row>
    <row r="472" spans="1:13" hidden="1" x14ac:dyDescent="0.25">
      <c r="A472" t="s">
        <v>483</v>
      </c>
      <c r="B472" s="1">
        <v>0.15778103769867749</v>
      </c>
      <c r="C472" s="2">
        <v>4.4957385046834711E-5</v>
      </c>
      <c r="D472" s="2"/>
      <c r="E472" s="2">
        <v>1.688778455586422</v>
      </c>
      <c r="F472" s="3">
        <v>242.22321972078399</v>
      </c>
      <c r="G472" s="3">
        <v>1</v>
      </c>
      <c r="H472" s="2">
        <v>5.4188793757450959E-5</v>
      </c>
      <c r="I472" s="4">
        <v>-2.2204460492503131E-16</v>
      </c>
      <c r="J472" s="4">
        <v>1.688778455586422</v>
      </c>
      <c r="K472" s="5">
        <v>1</v>
      </c>
      <c r="L472" s="5">
        <v>0</v>
      </c>
      <c r="M472" s="5">
        <v>0</v>
      </c>
    </row>
    <row r="473" spans="1:13" hidden="1" x14ac:dyDescent="0.25">
      <c r="A473" t="s">
        <v>484</v>
      </c>
      <c r="B473" s="1">
        <v>0.15767568672021709</v>
      </c>
      <c r="C473" s="2">
        <v>4.4927366835693568E-5</v>
      </c>
      <c r="D473" s="2"/>
      <c r="E473" s="2">
        <v>1.474006394650061</v>
      </c>
      <c r="F473" s="3">
        <v>222.87511017386791</v>
      </c>
      <c r="G473" s="3">
        <v>1</v>
      </c>
      <c r="H473" s="2">
        <v>5.4188793757450959E-5</v>
      </c>
      <c r="I473" s="4">
        <v>-2.2204460492503131E-16</v>
      </c>
      <c r="J473" s="4">
        <v>1.474006394650061</v>
      </c>
      <c r="K473" s="5">
        <v>1</v>
      </c>
      <c r="L473" s="5">
        <v>0</v>
      </c>
      <c r="M473" s="5">
        <v>0</v>
      </c>
    </row>
    <row r="474" spans="1:13" hidden="1" x14ac:dyDescent="0.25">
      <c r="A474" t="s">
        <v>485</v>
      </c>
      <c r="B474" s="1">
        <v>0.1576374096108035</v>
      </c>
      <c r="C474" s="2">
        <v>4.4916460336588938E-5</v>
      </c>
      <c r="D474" s="2"/>
      <c r="E474" s="2">
        <v>-0.33124525483961093</v>
      </c>
      <c r="F474" s="3">
        <v>60.245918454063272</v>
      </c>
      <c r="G474" s="3">
        <v>2</v>
      </c>
      <c r="H474" s="2">
        <v>1.083775875149019E-4</v>
      </c>
      <c r="I474" s="4">
        <v>5.5511151231257827E-17</v>
      </c>
      <c r="J474" s="4">
        <v>-0.33124525483961093</v>
      </c>
      <c r="K474" s="5">
        <v>2</v>
      </c>
      <c r="L474" s="5">
        <v>0</v>
      </c>
      <c r="M474" s="5">
        <v>0</v>
      </c>
    </row>
    <row r="475" spans="1:13" hidden="1" x14ac:dyDescent="0.25">
      <c r="A475" t="s">
        <v>486</v>
      </c>
      <c r="B475" s="1">
        <v>0.15742483556671821</v>
      </c>
      <c r="C475" s="2">
        <v>4.4855890490615711E-5</v>
      </c>
      <c r="D475" s="2"/>
      <c r="E475" s="2">
        <v>-0.21358078006481579</v>
      </c>
      <c r="F475" s="3">
        <v>70.845924515362128</v>
      </c>
      <c r="G475" s="3">
        <v>1</v>
      </c>
      <c r="H475" s="2">
        <v>5.4188793757450959E-5</v>
      </c>
      <c r="I475" s="4">
        <v>5.5511151231257827E-17</v>
      </c>
      <c r="J475" s="4">
        <v>-0.2135807800648159</v>
      </c>
      <c r="K475" s="5">
        <v>1</v>
      </c>
      <c r="L475" s="5">
        <v>0</v>
      </c>
      <c r="M475" s="5">
        <v>0</v>
      </c>
    </row>
    <row r="476" spans="1:13" hidden="1" x14ac:dyDescent="0.25">
      <c r="A476" t="s">
        <v>487</v>
      </c>
      <c r="B476" s="1">
        <v>0.15737881092949871</v>
      </c>
      <c r="C476" s="2">
        <v>4.4842776447462662E-5</v>
      </c>
      <c r="D476" s="2"/>
      <c r="E476" s="2">
        <v>-0.175786960821147</v>
      </c>
      <c r="F476" s="3">
        <v>74.250645556519899</v>
      </c>
      <c r="G476" s="3">
        <v>8</v>
      </c>
      <c r="H476" s="2">
        <v>4.3351035005960773E-4</v>
      </c>
      <c r="I476" s="4">
        <v>5.5959426290456499E-2</v>
      </c>
      <c r="J476" s="4">
        <v>-0.2317463871116035</v>
      </c>
      <c r="K476" s="5">
        <v>8</v>
      </c>
      <c r="L476" s="5">
        <v>0</v>
      </c>
      <c r="M476" s="5">
        <v>0</v>
      </c>
    </row>
    <row r="477" spans="1:13" hidden="1" x14ac:dyDescent="0.25">
      <c r="A477" t="s">
        <v>488</v>
      </c>
      <c r="B477" s="1">
        <v>0.15734440288160981</v>
      </c>
      <c r="C477" s="2">
        <v>4.4832972380508748E-5</v>
      </c>
      <c r="D477" s="2"/>
      <c r="E477" s="2">
        <v>0.14041786717035179</v>
      </c>
      <c r="F477" s="3">
        <v>102.73649992961759</v>
      </c>
      <c r="G477" s="3">
        <v>1</v>
      </c>
      <c r="H477" s="2">
        <v>5.4188793757450959E-5</v>
      </c>
      <c r="I477" s="4">
        <v>5.5511151231257827E-17</v>
      </c>
      <c r="J477" s="4">
        <v>0.14041786717035171</v>
      </c>
      <c r="K477" s="5">
        <v>1</v>
      </c>
      <c r="L477" s="5">
        <v>0</v>
      </c>
      <c r="M477" s="5">
        <v>0</v>
      </c>
    </row>
    <row r="478" spans="1:13" hidden="1" x14ac:dyDescent="0.25">
      <c r="A478" t="s">
        <v>489</v>
      </c>
      <c r="B478" s="1">
        <v>0.15728410234536641</v>
      </c>
      <c r="C478" s="2">
        <v>4.4815790629989392E-5</v>
      </c>
      <c r="D478" s="2"/>
      <c r="E478" s="2">
        <v>-0.53068751022969662</v>
      </c>
      <c r="F478" s="3">
        <v>42.278820737778908</v>
      </c>
      <c r="G478" s="3">
        <v>3</v>
      </c>
      <c r="H478" s="2">
        <v>1.6256638127235291E-4</v>
      </c>
      <c r="I478" s="4">
        <v>9.3019839633703305E-2</v>
      </c>
      <c r="J478" s="4">
        <v>-0.62370734986339993</v>
      </c>
      <c r="K478" s="5">
        <v>3</v>
      </c>
      <c r="L478" s="5">
        <v>0</v>
      </c>
      <c r="M478" s="5">
        <v>0</v>
      </c>
    </row>
    <row r="479" spans="1:13" hidden="1" x14ac:dyDescent="0.25">
      <c r="A479" t="s">
        <v>490</v>
      </c>
      <c r="B479" s="1">
        <v>0.15693862247964691</v>
      </c>
      <c r="C479" s="2">
        <v>4.4717351225764278E-5</v>
      </c>
      <c r="D479" s="2"/>
      <c r="E479" s="2">
        <v>2.2497430264771991</v>
      </c>
      <c r="F479" s="3">
        <v>292.75867541373611</v>
      </c>
      <c r="G479" s="3">
        <v>2</v>
      </c>
      <c r="H479" s="2">
        <v>1.083775875149019E-4</v>
      </c>
      <c r="I479" s="4">
        <v>-4.4408920985006262E-16</v>
      </c>
      <c r="J479" s="4">
        <v>2.2497430264771991</v>
      </c>
      <c r="K479" s="5">
        <v>2</v>
      </c>
      <c r="L479" s="5">
        <v>0</v>
      </c>
      <c r="M479" s="5">
        <v>0</v>
      </c>
    </row>
    <row r="480" spans="1:13" hidden="1" x14ac:dyDescent="0.25">
      <c r="A480" t="s">
        <v>491</v>
      </c>
      <c r="B480" s="1">
        <v>0.1568117639468834</v>
      </c>
      <c r="C480" s="2">
        <v>4.468120475349415E-5</v>
      </c>
      <c r="D480" s="2"/>
      <c r="E480" s="2">
        <v>-0.30187822481211551</v>
      </c>
      <c r="F480" s="3">
        <v>62.891497732682382</v>
      </c>
      <c r="G480" s="3">
        <v>1</v>
      </c>
      <c r="H480" s="2">
        <v>5.4188793757450959E-5</v>
      </c>
      <c r="I480" s="4">
        <v>-0.38766516443516458</v>
      </c>
      <c r="J480" s="4">
        <v>8.5786939623049147E-2</v>
      </c>
      <c r="K480" s="5">
        <v>1</v>
      </c>
      <c r="L480" s="5">
        <v>0</v>
      </c>
      <c r="M480" s="5">
        <v>0</v>
      </c>
    </row>
    <row r="481" spans="1:13" hidden="1" x14ac:dyDescent="0.25">
      <c r="A481" t="s">
        <v>492</v>
      </c>
      <c r="B481" s="1">
        <v>0.156198241475312</v>
      </c>
      <c r="C481" s="2">
        <v>4.4506390552804239E-5</v>
      </c>
      <c r="D481" s="2"/>
      <c r="E481" s="2">
        <v>5.2975164653346658</v>
      </c>
      <c r="F481" s="3">
        <v>567.32257405168878</v>
      </c>
      <c r="G481" s="3">
        <v>1</v>
      </c>
      <c r="H481" s="2">
        <v>5.4188793757450959E-5</v>
      </c>
      <c r="I481" s="4">
        <v>0</v>
      </c>
      <c r="J481" s="4">
        <v>5.2975164653346658</v>
      </c>
      <c r="K481" s="5">
        <v>1</v>
      </c>
      <c r="L481" s="5">
        <v>0</v>
      </c>
      <c r="M481" s="5">
        <v>0</v>
      </c>
    </row>
    <row r="482" spans="1:13" hidden="1" x14ac:dyDescent="0.25">
      <c r="A482" t="s">
        <v>493</v>
      </c>
      <c r="B482" s="1">
        <v>0.1559174368143201</v>
      </c>
      <c r="C482" s="2">
        <v>4.4426379396512638E-5</v>
      </c>
      <c r="D482" s="2"/>
      <c r="E482" s="2">
        <v>0.42592112340215671</v>
      </c>
      <c r="F482" s="3">
        <v>128.4565505427698</v>
      </c>
      <c r="G482" s="3">
        <v>1</v>
      </c>
      <c r="H482" s="2">
        <v>5.4188793757450959E-5</v>
      </c>
      <c r="I482" s="4">
        <v>5.5511151231257827E-17</v>
      </c>
      <c r="J482" s="4">
        <v>0.42592112340215671</v>
      </c>
      <c r="K482" s="5">
        <v>1</v>
      </c>
      <c r="L482" s="5">
        <v>0</v>
      </c>
      <c r="M482" s="5">
        <v>0</v>
      </c>
    </row>
    <row r="483" spans="1:13" hidden="1" x14ac:dyDescent="0.25">
      <c r="A483" t="s">
        <v>494</v>
      </c>
      <c r="B483" s="1">
        <v>0.15586450850159311</v>
      </c>
      <c r="C483" s="2">
        <v>4.4411298252606788E-5</v>
      </c>
      <c r="D483" s="2"/>
      <c r="E483" s="2">
        <v>-0.39689471192254289</v>
      </c>
      <c r="F483" s="3">
        <v>54.331774492328421</v>
      </c>
      <c r="G483" s="3">
        <v>2</v>
      </c>
      <c r="H483" s="2">
        <v>1.083775875149019E-4</v>
      </c>
      <c r="I483" s="4">
        <v>0</v>
      </c>
      <c r="J483" s="4">
        <v>-0.39689471192254289</v>
      </c>
      <c r="K483" s="5">
        <v>2</v>
      </c>
      <c r="L483" s="5">
        <v>0</v>
      </c>
      <c r="M483" s="5">
        <v>0</v>
      </c>
    </row>
    <row r="484" spans="1:13" hidden="1" x14ac:dyDescent="0.25">
      <c r="A484" t="s">
        <v>495</v>
      </c>
      <c r="B484" s="1">
        <v>0.1557470635791407</v>
      </c>
      <c r="C484" s="2">
        <v>4.4377834050079671E-5</v>
      </c>
      <c r="D484" s="2"/>
      <c r="E484" s="2">
        <v>1.708190649130287</v>
      </c>
      <c r="F484" s="3">
        <v>243.9720004774388</v>
      </c>
      <c r="G484" s="3">
        <v>1</v>
      </c>
      <c r="H484" s="2">
        <v>5.4188793757450959E-5</v>
      </c>
      <c r="I484" s="4">
        <v>2.2204460492503131E-16</v>
      </c>
      <c r="J484" s="4">
        <v>1.708190649130287</v>
      </c>
      <c r="K484" s="5">
        <v>1</v>
      </c>
      <c r="L484" s="5">
        <v>0</v>
      </c>
      <c r="M484" s="5">
        <v>0</v>
      </c>
    </row>
    <row r="485" spans="1:13" hidden="1" x14ac:dyDescent="0.25">
      <c r="A485" t="s">
        <v>496</v>
      </c>
      <c r="B485" s="1">
        <v>0.1549172026133846</v>
      </c>
      <c r="C485" s="2">
        <v>4.4141377378752132E-5</v>
      </c>
      <c r="D485" s="2"/>
      <c r="E485" s="2">
        <v>0.74691761931732481</v>
      </c>
      <c r="F485" s="3">
        <v>157.37407054078821</v>
      </c>
      <c r="G485" s="3">
        <v>3</v>
      </c>
      <c r="H485" s="2">
        <v>1.6256638127235291E-4</v>
      </c>
      <c r="I485" s="4">
        <v>0.50811719639581465</v>
      </c>
      <c r="J485" s="4">
        <v>0.2388004229215101</v>
      </c>
      <c r="K485" s="5">
        <v>3</v>
      </c>
      <c r="L485" s="5">
        <v>0</v>
      </c>
      <c r="M485" s="5">
        <v>2</v>
      </c>
    </row>
    <row r="486" spans="1:13" hidden="1" x14ac:dyDescent="0.25">
      <c r="A486" t="s">
        <v>497</v>
      </c>
      <c r="B486" s="1">
        <v>0.15491649422306339</v>
      </c>
      <c r="C486" s="2">
        <v>4.4141175533353623E-5</v>
      </c>
      <c r="D486" s="2"/>
      <c r="E486" s="2">
        <v>-0.6233011194689172</v>
      </c>
      <c r="F486" s="3">
        <v>33.935564872544767</v>
      </c>
      <c r="G486" s="3">
        <v>2</v>
      </c>
      <c r="H486" s="2">
        <v>1.083775875149019E-4</v>
      </c>
      <c r="I486" s="4">
        <v>-0.5899695417403592</v>
      </c>
      <c r="J486" s="4">
        <v>-3.3331577728558152E-2</v>
      </c>
      <c r="K486" s="5">
        <v>2</v>
      </c>
      <c r="L486" s="5">
        <v>0</v>
      </c>
      <c r="M486" s="5">
        <v>0</v>
      </c>
    </row>
    <row r="487" spans="1:13" hidden="1" x14ac:dyDescent="0.25">
      <c r="A487" t="s">
        <v>498</v>
      </c>
      <c r="B487" s="1">
        <v>0.15479890584122671</v>
      </c>
      <c r="C487" s="2">
        <v>4.4107670454185832E-5</v>
      </c>
      <c r="D487" s="2"/>
      <c r="E487" s="2">
        <v>0.57410236239144519</v>
      </c>
      <c r="F487" s="3">
        <v>141.805711659271</v>
      </c>
      <c r="G487" s="3">
        <v>1</v>
      </c>
      <c r="H487" s="2">
        <v>5.4188793757450959E-5</v>
      </c>
      <c r="I487" s="4">
        <v>1.110223024625157E-16</v>
      </c>
      <c r="J487" s="4">
        <v>0.57410236239144508</v>
      </c>
      <c r="K487" s="5">
        <v>1</v>
      </c>
      <c r="L487" s="5">
        <v>0</v>
      </c>
      <c r="M487" s="5">
        <v>0</v>
      </c>
    </row>
    <row r="488" spans="1:13" hidden="1" x14ac:dyDescent="0.25">
      <c r="A488" t="s">
        <v>499</v>
      </c>
      <c r="B488" s="1">
        <v>0.15473796590729691</v>
      </c>
      <c r="C488" s="2">
        <v>4.4090306516704047E-5</v>
      </c>
      <c r="D488" s="2"/>
      <c r="E488" s="2">
        <v>0.36444541246143852</v>
      </c>
      <c r="F488" s="3">
        <v>122.91840566223991</v>
      </c>
      <c r="G488" s="3">
        <v>1</v>
      </c>
      <c r="H488" s="2">
        <v>5.4188793757450959E-5</v>
      </c>
      <c r="I488" s="4">
        <v>0</v>
      </c>
      <c r="J488" s="4">
        <v>0.36444541246143852</v>
      </c>
      <c r="K488" s="5">
        <v>1</v>
      </c>
      <c r="L488" s="5">
        <v>0</v>
      </c>
      <c r="M488" s="5">
        <v>0</v>
      </c>
    </row>
    <row r="489" spans="1:13" hidden="1" x14ac:dyDescent="0.25">
      <c r="A489" t="s">
        <v>500</v>
      </c>
      <c r="B489" s="1">
        <v>0.1546896855112781</v>
      </c>
      <c r="C489" s="2">
        <v>4.4076549728273132E-5</v>
      </c>
      <c r="D489" s="2"/>
      <c r="E489" s="2">
        <v>-0.42541220213944109</v>
      </c>
      <c r="F489" s="3">
        <v>51.762727464916679</v>
      </c>
      <c r="G489" s="3">
        <v>3</v>
      </c>
      <c r="H489" s="2">
        <v>1.6256638127235291E-4</v>
      </c>
      <c r="I489" s="4">
        <v>-0.34057882513966009</v>
      </c>
      <c r="J489" s="4">
        <v>-8.4833376999780996E-2</v>
      </c>
      <c r="K489" s="5">
        <v>3</v>
      </c>
      <c r="L489" s="5">
        <v>3</v>
      </c>
      <c r="M489" s="5">
        <v>3</v>
      </c>
    </row>
    <row r="490" spans="1:13" hidden="1" x14ac:dyDescent="0.25">
      <c r="A490" t="s">
        <v>501</v>
      </c>
      <c r="B490" s="1">
        <v>0.15440149644593171</v>
      </c>
      <c r="C490" s="2">
        <v>4.3994434494617429E-5</v>
      </c>
      <c r="D490" s="2"/>
      <c r="E490" s="2">
        <v>2.048098780508925</v>
      </c>
      <c r="F490" s="3">
        <v>274.5932075987418</v>
      </c>
      <c r="G490" s="3">
        <v>1</v>
      </c>
      <c r="H490" s="2">
        <v>5.4188793757450959E-5</v>
      </c>
      <c r="I490" s="4">
        <v>0</v>
      </c>
      <c r="J490" s="4">
        <v>2.048098780508925</v>
      </c>
      <c r="K490" s="5">
        <v>1</v>
      </c>
      <c r="L490" s="5">
        <v>0</v>
      </c>
      <c r="M490" s="5">
        <v>0</v>
      </c>
    </row>
    <row r="491" spans="1:13" hidden="1" x14ac:dyDescent="0.25">
      <c r="A491" t="s">
        <v>502</v>
      </c>
      <c r="B491" s="1">
        <v>0.1543900131509284</v>
      </c>
      <c r="C491" s="2">
        <v>4.3991162498675478E-5</v>
      </c>
      <c r="D491" s="2"/>
      <c r="E491" s="2">
        <v>1.344392308942252</v>
      </c>
      <c r="F491" s="3">
        <v>211.19860291233391</v>
      </c>
      <c r="G491" s="3">
        <v>1</v>
      </c>
      <c r="H491" s="2">
        <v>5.4188793757450959E-5</v>
      </c>
      <c r="I491" s="4">
        <v>2.2204460492503131E-16</v>
      </c>
      <c r="J491" s="4">
        <v>1.344392308942252</v>
      </c>
      <c r="K491" s="5">
        <v>1</v>
      </c>
      <c r="L491" s="5">
        <v>0</v>
      </c>
      <c r="M491" s="5">
        <v>1</v>
      </c>
    </row>
    <row r="492" spans="1:13" hidden="1" x14ac:dyDescent="0.25">
      <c r="A492" t="s">
        <v>503</v>
      </c>
      <c r="B492" s="1">
        <v>0.1539385890339218</v>
      </c>
      <c r="C492" s="2">
        <v>4.3862535838946857E-5</v>
      </c>
      <c r="D492" s="2"/>
      <c r="E492" s="2">
        <v>1.0517736072556181</v>
      </c>
      <c r="F492" s="3">
        <v>184.8375451889695</v>
      </c>
      <c r="G492" s="3">
        <v>1</v>
      </c>
      <c r="H492" s="2">
        <v>5.4188793757450959E-5</v>
      </c>
      <c r="I492" s="4">
        <v>2.2204460492503131E-16</v>
      </c>
      <c r="J492" s="4">
        <v>1.051773607255617</v>
      </c>
      <c r="K492" s="5">
        <v>1</v>
      </c>
      <c r="L492" s="5">
        <v>0</v>
      </c>
      <c r="M492" s="5">
        <v>0</v>
      </c>
    </row>
    <row r="493" spans="1:13" hidden="1" x14ac:dyDescent="0.25">
      <c r="A493" t="s">
        <v>504</v>
      </c>
      <c r="B493" s="1">
        <v>0.15355793673767709</v>
      </c>
      <c r="C493" s="2">
        <v>4.3754074568183051E-5</v>
      </c>
      <c r="D493" s="2"/>
      <c r="E493" s="2">
        <v>-7.3290840492379328E-2</v>
      </c>
      <c r="F493" s="3">
        <v>83.484184386519289</v>
      </c>
      <c r="G493" s="3">
        <v>3</v>
      </c>
      <c r="H493" s="2">
        <v>1.6256638127235291E-4</v>
      </c>
      <c r="I493" s="4">
        <v>-2.775557561562891E-17</v>
      </c>
      <c r="J493" s="4">
        <v>-7.32908404923793E-2</v>
      </c>
      <c r="K493" s="5">
        <v>3</v>
      </c>
      <c r="L493" s="5">
        <v>3</v>
      </c>
      <c r="M493" s="5">
        <v>0</v>
      </c>
    </row>
    <row r="494" spans="1:13" hidden="1" x14ac:dyDescent="0.25">
      <c r="A494" t="s">
        <v>505</v>
      </c>
      <c r="B494" s="1">
        <v>0.15258501341100381</v>
      </c>
      <c r="C494" s="2">
        <v>4.3476854382181792E-5</v>
      </c>
      <c r="D494" s="2"/>
      <c r="E494" s="2">
        <v>0.61094846834869787</v>
      </c>
      <c r="F494" s="3">
        <v>145.12505632323749</v>
      </c>
      <c r="G494" s="3">
        <v>1</v>
      </c>
      <c r="H494" s="2">
        <v>5.4188793757450959E-5</v>
      </c>
      <c r="I494" s="4">
        <v>0</v>
      </c>
      <c r="J494" s="4">
        <v>0.61094846834869787</v>
      </c>
      <c r="K494" s="5">
        <v>1</v>
      </c>
      <c r="L494" s="5">
        <v>0</v>
      </c>
      <c r="M494" s="5">
        <v>0</v>
      </c>
    </row>
    <row r="495" spans="1:13" hidden="1" x14ac:dyDescent="0.25">
      <c r="A495" t="s">
        <v>506</v>
      </c>
      <c r="B495" s="1">
        <v>0.1524242426025795</v>
      </c>
      <c r="C495" s="2">
        <v>4.3431045105959208E-5</v>
      </c>
      <c r="D495" s="2"/>
      <c r="E495" s="2">
        <v>0.17351902042351511</v>
      </c>
      <c r="F495" s="3">
        <v>105.7184741048398</v>
      </c>
      <c r="G495" s="3">
        <v>1</v>
      </c>
      <c r="H495" s="2">
        <v>5.4188793757450959E-5</v>
      </c>
      <c r="I495" s="4">
        <v>-5.5511151231257827E-17</v>
      </c>
      <c r="J495" s="4">
        <v>0.17351902042351511</v>
      </c>
      <c r="K495" s="5">
        <v>1</v>
      </c>
      <c r="L495" s="5">
        <v>0</v>
      </c>
      <c r="M495" s="5">
        <v>0</v>
      </c>
    </row>
    <row r="496" spans="1:13" hidden="1" x14ac:dyDescent="0.25">
      <c r="A496" t="s">
        <v>507</v>
      </c>
      <c r="B496" s="1">
        <v>0.15217891310294959</v>
      </c>
      <c r="C496" s="2">
        <v>4.3361142074903769E-5</v>
      </c>
      <c r="D496" s="2"/>
      <c r="E496" s="2" t="s">
        <v>303</v>
      </c>
      <c r="F496" s="3" t="s">
        <v>303</v>
      </c>
      <c r="G496" s="3">
        <v>1</v>
      </c>
      <c r="H496" s="2">
        <v>5.4188793757450959E-5</v>
      </c>
      <c r="I496" s="4" t="s">
        <v>303</v>
      </c>
      <c r="J496" s="4">
        <v>0</v>
      </c>
      <c r="K496" s="5">
        <v>1</v>
      </c>
      <c r="L496" s="5">
        <v>0</v>
      </c>
      <c r="M496" s="5">
        <v>0</v>
      </c>
    </row>
    <row r="497" spans="1:13" hidden="1" x14ac:dyDescent="0.25">
      <c r="A497" t="s">
        <v>508</v>
      </c>
      <c r="B497" s="1">
        <v>0.15212478142695121</v>
      </c>
      <c r="C497" s="2">
        <v>4.3345718050340452E-5</v>
      </c>
      <c r="D497" s="2"/>
      <c r="E497" s="2">
        <v>1.5796263820266439E-2</v>
      </c>
      <c r="F497" s="3">
        <v>91.509749005789487</v>
      </c>
      <c r="G497" s="3">
        <v>1</v>
      </c>
      <c r="H497" s="2">
        <v>5.4188793757450959E-5</v>
      </c>
      <c r="I497" s="4">
        <v>4.163336342344337E-17</v>
      </c>
      <c r="J497" s="4">
        <v>1.5796263820266401E-2</v>
      </c>
      <c r="K497" s="5">
        <v>1</v>
      </c>
      <c r="L497" s="5">
        <v>0</v>
      </c>
      <c r="M497" s="5">
        <v>0</v>
      </c>
    </row>
    <row r="498" spans="1:13" hidden="1" x14ac:dyDescent="0.25">
      <c r="A498" t="s">
        <v>509</v>
      </c>
      <c r="B498" s="1">
        <v>0.15152615663958749</v>
      </c>
      <c r="C498" s="2">
        <v>4.3175148725555782E-5</v>
      </c>
      <c r="D498" s="2"/>
      <c r="E498" s="2">
        <v>-0.2559349842581361</v>
      </c>
      <c r="F498" s="3">
        <v>67.030373372759698</v>
      </c>
      <c r="G498" s="3">
        <v>2</v>
      </c>
      <c r="H498" s="2">
        <v>1.083775875149019E-4</v>
      </c>
      <c r="I498" s="4">
        <v>1.6653345369377351E-16</v>
      </c>
      <c r="J498" s="4">
        <v>-0.25593498425813632</v>
      </c>
      <c r="K498" s="5">
        <v>2</v>
      </c>
      <c r="L498" s="5">
        <v>0</v>
      </c>
      <c r="M498" s="5">
        <v>0</v>
      </c>
    </row>
    <row r="499" spans="1:13" hidden="1" x14ac:dyDescent="0.25">
      <c r="A499" t="s">
        <v>510</v>
      </c>
      <c r="B499" s="1">
        <v>0.1513244757475011</v>
      </c>
      <c r="C499" s="2">
        <v>4.3117682722958978E-5</v>
      </c>
      <c r="D499" s="2"/>
      <c r="E499" s="2">
        <v>0.12486289413832451</v>
      </c>
      <c r="F499" s="3">
        <v>101.33520349976141</v>
      </c>
      <c r="G499" s="3">
        <v>2</v>
      </c>
      <c r="H499" s="2">
        <v>1.083775875149019E-4</v>
      </c>
      <c r="I499" s="4">
        <v>4.163336342344337E-17</v>
      </c>
      <c r="J499" s="4">
        <v>0.12486289413832451</v>
      </c>
      <c r="K499" s="5">
        <v>2</v>
      </c>
      <c r="L499" s="5">
        <v>0</v>
      </c>
      <c r="M499" s="5">
        <v>2</v>
      </c>
    </row>
    <row r="500" spans="1:13" hidden="1" x14ac:dyDescent="0.25">
      <c r="A500" t="s">
        <v>511</v>
      </c>
      <c r="B500" s="1">
        <v>0.150625387491443</v>
      </c>
      <c r="C500" s="2">
        <v>4.2918487811024462E-5</v>
      </c>
      <c r="D500" s="2"/>
      <c r="E500" s="2">
        <v>0.76206920363799724</v>
      </c>
      <c r="F500" s="3">
        <v>158.73902700657621</v>
      </c>
      <c r="G500" s="3">
        <v>1</v>
      </c>
      <c r="H500" s="2">
        <v>5.4188793757450959E-5</v>
      </c>
      <c r="I500" s="4">
        <v>1.110223024625157E-16</v>
      </c>
      <c r="J500" s="4">
        <v>0.76206920363799724</v>
      </c>
      <c r="K500" s="5">
        <v>1</v>
      </c>
      <c r="L500" s="5">
        <v>0</v>
      </c>
      <c r="M500" s="5">
        <v>0</v>
      </c>
    </row>
    <row r="501" spans="1:13" hidden="1" x14ac:dyDescent="0.25">
      <c r="A501" t="s">
        <v>512</v>
      </c>
      <c r="B501" s="1">
        <v>0.15059266537900989</v>
      </c>
      <c r="C501" s="2">
        <v>4.2909164126571287E-5</v>
      </c>
      <c r="D501" s="2"/>
      <c r="E501" s="2">
        <v>0.35779557526311789</v>
      </c>
      <c r="F501" s="3">
        <v>122.3193436705575</v>
      </c>
      <c r="G501" s="3">
        <v>2</v>
      </c>
      <c r="H501" s="2">
        <v>1.083775875149019E-4</v>
      </c>
      <c r="I501" s="4">
        <v>0.35779557526311789</v>
      </c>
      <c r="J501" s="4">
        <v>0</v>
      </c>
      <c r="K501" s="5">
        <v>2</v>
      </c>
      <c r="L501" s="5">
        <v>0</v>
      </c>
      <c r="M501" s="5">
        <v>0</v>
      </c>
    </row>
    <row r="502" spans="1:13" hidden="1" x14ac:dyDescent="0.25">
      <c r="A502" t="s">
        <v>513</v>
      </c>
      <c r="B502" s="1">
        <v>0.1504689320907367</v>
      </c>
      <c r="C502" s="2">
        <v>4.2873908146732708E-5</v>
      </c>
      <c r="D502" s="2"/>
      <c r="E502" s="2">
        <v>3.1938275434244492</v>
      </c>
      <c r="F502" s="3">
        <v>377.8081486823059</v>
      </c>
      <c r="G502" s="3">
        <v>1</v>
      </c>
      <c r="H502" s="2">
        <v>5.4188793757450959E-5</v>
      </c>
      <c r="I502" s="4">
        <v>0</v>
      </c>
      <c r="J502" s="4">
        <v>3.1938275434244492</v>
      </c>
      <c r="K502" s="5">
        <v>1</v>
      </c>
      <c r="L502" s="5">
        <v>0</v>
      </c>
      <c r="M502" s="5">
        <v>0</v>
      </c>
    </row>
    <row r="503" spans="1:13" hidden="1" x14ac:dyDescent="0.25">
      <c r="A503" t="s">
        <v>514</v>
      </c>
      <c r="B503" s="1">
        <v>0.14991820761751501</v>
      </c>
      <c r="C503" s="2">
        <v>4.2716987311640811E-5</v>
      </c>
      <c r="D503" s="2"/>
      <c r="E503" s="2">
        <v>0.1325279514451678</v>
      </c>
      <c r="F503" s="3">
        <v>102.02572333651121</v>
      </c>
      <c r="G503" s="3">
        <v>2</v>
      </c>
      <c r="H503" s="2">
        <v>1.083775875149019E-4</v>
      </c>
      <c r="I503" s="4">
        <v>-0.35416765383286702</v>
      </c>
      <c r="J503" s="4">
        <v>0.4866956052780349</v>
      </c>
      <c r="K503" s="5">
        <v>2</v>
      </c>
      <c r="L503" s="5">
        <v>0</v>
      </c>
      <c r="M503" s="5">
        <v>0</v>
      </c>
    </row>
    <row r="504" spans="1:13" hidden="1" x14ac:dyDescent="0.25">
      <c r="A504" t="s">
        <v>515</v>
      </c>
      <c r="B504" s="1">
        <v>0.14895077779135249</v>
      </c>
      <c r="C504" s="2">
        <v>4.2441332417776833E-5</v>
      </c>
      <c r="D504" s="2"/>
      <c r="E504" s="2">
        <v>0.93311823739854671</v>
      </c>
      <c r="F504" s="3">
        <v>174.14827264432179</v>
      </c>
      <c r="G504" s="3">
        <v>3</v>
      </c>
      <c r="H504" s="2">
        <v>1.6256638127235291E-4</v>
      </c>
      <c r="I504" s="4">
        <v>3.3306690738754701E-16</v>
      </c>
      <c r="J504" s="4">
        <v>0.93311823739854638</v>
      </c>
      <c r="K504" s="5">
        <v>3</v>
      </c>
      <c r="L504" s="5">
        <v>0</v>
      </c>
      <c r="M504" s="5">
        <v>0</v>
      </c>
    </row>
    <row r="505" spans="1:13" hidden="1" x14ac:dyDescent="0.25">
      <c r="A505" t="s">
        <v>516</v>
      </c>
      <c r="B505" s="1">
        <v>0.14841009663526439</v>
      </c>
      <c r="C505" s="2">
        <v>4.228727327812128E-5</v>
      </c>
      <c r="D505" s="2"/>
      <c r="E505" s="2">
        <v>-4.7478282035727792E-3</v>
      </c>
      <c r="F505" s="3">
        <v>89.658999232815333</v>
      </c>
      <c r="G505" s="3">
        <v>3</v>
      </c>
      <c r="H505" s="2">
        <v>1.6256638127235291E-4</v>
      </c>
      <c r="I505" s="4">
        <v>2.688821387764051E-17</v>
      </c>
      <c r="J505" s="4">
        <v>-4.7478282035728061E-3</v>
      </c>
      <c r="K505" s="5">
        <v>3</v>
      </c>
      <c r="L505" s="5">
        <v>0</v>
      </c>
      <c r="M505" s="5">
        <v>0</v>
      </c>
    </row>
    <row r="506" spans="1:13" hidden="1" x14ac:dyDescent="0.25">
      <c r="A506" t="s">
        <v>517</v>
      </c>
      <c r="B506" s="1">
        <v>0.14837937950971331</v>
      </c>
      <c r="C506" s="2">
        <v>4.2278520885178019E-5</v>
      </c>
      <c r="D506" s="2"/>
      <c r="E506" s="2">
        <v>2.9236579808668699</v>
      </c>
      <c r="F506" s="3">
        <v>353.46946016846192</v>
      </c>
      <c r="G506" s="3">
        <v>2</v>
      </c>
      <c r="H506" s="2">
        <v>1.083775875149019E-4</v>
      </c>
      <c r="I506" s="4">
        <v>8.8817841970012523E-16</v>
      </c>
      <c r="J506" s="4">
        <v>2.923657980866869</v>
      </c>
      <c r="K506" s="5">
        <v>2</v>
      </c>
      <c r="L506" s="5">
        <v>0</v>
      </c>
      <c r="M506" s="5">
        <v>1</v>
      </c>
    </row>
    <row r="507" spans="1:13" hidden="1" x14ac:dyDescent="0.25">
      <c r="A507" t="s">
        <v>518</v>
      </c>
      <c r="B507" s="1">
        <v>0.1481537673383671</v>
      </c>
      <c r="C507" s="2">
        <v>4.2214236016689359E-5</v>
      </c>
      <c r="D507" s="2"/>
      <c r="E507" s="2">
        <v>-5.5057013645396502E-2</v>
      </c>
      <c r="F507" s="3">
        <v>85.126809957819532</v>
      </c>
      <c r="G507" s="3">
        <v>2</v>
      </c>
      <c r="H507" s="2">
        <v>1.083775875149019E-4</v>
      </c>
      <c r="I507" s="4">
        <v>-4.163336342344337E-17</v>
      </c>
      <c r="J507" s="4">
        <v>-5.505701364539646E-2</v>
      </c>
      <c r="K507" s="5">
        <v>2</v>
      </c>
      <c r="L507" s="5">
        <v>0</v>
      </c>
      <c r="M507" s="5">
        <v>0</v>
      </c>
    </row>
    <row r="508" spans="1:13" hidden="1" x14ac:dyDescent="0.25">
      <c r="A508" t="s">
        <v>519</v>
      </c>
      <c r="B508" s="1">
        <v>0.14768688836021221</v>
      </c>
      <c r="C508" s="2">
        <v>4.208120572168477E-5</v>
      </c>
      <c r="D508" s="2"/>
      <c r="E508" s="2">
        <v>0.24385057415863409</v>
      </c>
      <c r="F508" s="3">
        <v>112.05441277553631</v>
      </c>
      <c r="G508" s="3">
        <v>1</v>
      </c>
      <c r="H508" s="2">
        <v>5.4188793757450959E-5</v>
      </c>
      <c r="I508" s="4">
        <v>-2.775557561562891E-17</v>
      </c>
      <c r="J508" s="4">
        <v>0.24385057415863409</v>
      </c>
      <c r="K508" s="5">
        <v>1</v>
      </c>
      <c r="L508" s="5">
        <v>0</v>
      </c>
      <c r="M508" s="5">
        <v>1</v>
      </c>
    </row>
    <row r="509" spans="1:13" hidden="1" x14ac:dyDescent="0.25">
      <c r="A509" t="s">
        <v>520</v>
      </c>
      <c r="B509" s="1">
        <v>0.14739196235355001</v>
      </c>
      <c r="C509" s="2">
        <v>4.1997170895730853E-5</v>
      </c>
      <c r="D509" s="2"/>
      <c r="E509" s="2">
        <v>-0.46186005546218251</v>
      </c>
      <c r="F509" s="3">
        <v>48.479260072725083</v>
      </c>
      <c r="G509" s="3">
        <v>7</v>
      </c>
      <c r="H509" s="2">
        <v>3.7932155630215669E-4</v>
      </c>
      <c r="I509" s="4">
        <v>-0.1605609982978857</v>
      </c>
      <c r="J509" s="4">
        <v>-0.30129905716429672</v>
      </c>
      <c r="K509" s="5">
        <v>7</v>
      </c>
      <c r="L509" s="5">
        <v>0</v>
      </c>
      <c r="M509" s="5">
        <v>0</v>
      </c>
    </row>
    <row r="510" spans="1:13" hidden="1" x14ac:dyDescent="0.25">
      <c r="A510" t="s">
        <v>521</v>
      </c>
      <c r="B510" s="1">
        <v>0.14709521631575639</v>
      </c>
      <c r="C510" s="2">
        <v>4.1912617478686632E-5</v>
      </c>
      <c r="D510" s="2"/>
      <c r="E510" s="2">
        <v>-0.14188889132375121</v>
      </c>
      <c r="F510" s="3">
        <v>77.304411298698653</v>
      </c>
      <c r="G510" s="3">
        <v>3</v>
      </c>
      <c r="H510" s="2">
        <v>1.6256638127235291E-4</v>
      </c>
      <c r="I510" s="4">
        <v>-1.3877787807814459E-16</v>
      </c>
      <c r="J510" s="4">
        <v>-0.14188889132375099</v>
      </c>
      <c r="K510" s="5">
        <v>3</v>
      </c>
      <c r="L510" s="5">
        <v>0</v>
      </c>
      <c r="M510" s="5">
        <v>0</v>
      </c>
    </row>
    <row r="511" spans="1:13" hidden="1" x14ac:dyDescent="0.25">
      <c r="A511" t="s">
        <v>522</v>
      </c>
      <c r="B511" s="1">
        <v>0.1470039747360514</v>
      </c>
      <c r="C511" s="2">
        <v>4.1886619533110203E-5</v>
      </c>
      <c r="D511" s="2"/>
      <c r="E511" s="2">
        <v>2.460578539620327</v>
      </c>
      <c r="F511" s="3">
        <v>311.75215429962441</v>
      </c>
      <c r="G511" s="3">
        <v>2</v>
      </c>
      <c r="H511" s="2">
        <v>1.083775875149019E-4</v>
      </c>
      <c r="I511" s="4">
        <v>-4.4408920985006262E-16</v>
      </c>
      <c r="J511" s="4">
        <v>2.460578539620327</v>
      </c>
      <c r="K511" s="5">
        <v>2</v>
      </c>
      <c r="L511" s="5">
        <v>1</v>
      </c>
      <c r="M511" s="5">
        <v>0</v>
      </c>
    </row>
    <row r="512" spans="1:13" hidden="1" x14ac:dyDescent="0.25">
      <c r="A512" t="s">
        <v>523</v>
      </c>
      <c r="B512" s="1">
        <v>0.14676406983893861</v>
      </c>
      <c r="C512" s="2">
        <v>4.1818262162722532E-5</v>
      </c>
      <c r="D512" s="2"/>
      <c r="E512" s="2">
        <v>0.72534542069904151</v>
      </c>
      <c r="F512" s="3">
        <v>155.43070202155579</v>
      </c>
      <c r="G512" s="3">
        <v>2</v>
      </c>
      <c r="H512" s="2">
        <v>1.083775875149019E-4</v>
      </c>
      <c r="I512" s="4">
        <v>1.110223024625157E-16</v>
      </c>
      <c r="J512" s="4">
        <v>0.7253454206990414</v>
      </c>
      <c r="K512" s="5">
        <v>2</v>
      </c>
      <c r="L512" s="5">
        <v>0</v>
      </c>
      <c r="M512" s="5">
        <v>0</v>
      </c>
    </row>
    <row r="513" spans="1:13" hidden="1" x14ac:dyDescent="0.25">
      <c r="A513" t="s">
        <v>524</v>
      </c>
      <c r="B513" s="1">
        <v>0.14597472433557271</v>
      </c>
      <c r="C513" s="2">
        <v>4.1593349776244359E-5</v>
      </c>
      <c r="D513" s="2"/>
      <c r="E513" s="2">
        <v>-0.33253913504465432</v>
      </c>
      <c r="F513" s="3">
        <v>60.129357036164592</v>
      </c>
      <c r="G513" s="3">
        <v>12</v>
      </c>
      <c r="H513" s="2">
        <v>6.5026552508941154E-4</v>
      </c>
      <c r="I513" s="4">
        <v>1.110223024625157E-16</v>
      </c>
      <c r="J513" s="4">
        <v>-0.33253913504465438</v>
      </c>
      <c r="K513" s="5">
        <v>12</v>
      </c>
      <c r="L513" s="5">
        <v>0</v>
      </c>
      <c r="M513" s="5">
        <v>0</v>
      </c>
    </row>
    <row r="514" spans="1:13" hidden="1" x14ac:dyDescent="0.25">
      <c r="A514" t="s">
        <v>525</v>
      </c>
      <c r="B514" s="1">
        <v>0.14578663193579039</v>
      </c>
      <c r="C514" s="2">
        <v>4.1539755614583798E-5</v>
      </c>
      <c r="D514" s="2"/>
      <c r="E514" s="2">
        <v>0.8141646152903963</v>
      </c>
      <c r="F514" s="3">
        <v>163.43213153398949</v>
      </c>
      <c r="G514" s="3">
        <v>1</v>
      </c>
      <c r="H514" s="2">
        <v>5.4188793757450959E-5</v>
      </c>
      <c r="I514" s="4">
        <v>0</v>
      </c>
      <c r="J514" s="4">
        <v>0.8141646152903963</v>
      </c>
      <c r="K514" s="5">
        <v>1</v>
      </c>
      <c r="L514" s="5">
        <v>0</v>
      </c>
      <c r="M514" s="5">
        <v>0</v>
      </c>
    </row>
    <row r="515" spans="1:13" hidden="1" x14ac:dyDescent="0.25">
      <c r="A515" t="s">
        <v>526</v>
      </c>
      <c r="B515" s="1">
        <v>0.1456514619301684</v>
      </c>
      <c r="C515" s="2">
        <v>4.1501240910420567E-5</v>
      </c>
      <c r="D515" s="2"/>
      <c r="E515" s="2">
        <v>-9.8259570254827788E-2</v>
      </c>
      <c r="F515" s="3">
        <v>81.234833532479001</v>
      </c>
      <c r="G515" s="3">
        <v>2</v>
      </c>
      <c r="H515" s="2">
        <v>1.083775875149019E-4</v>
      </c>
      <c r="I515" s="4">
        <v>-4.163336342344337E-17</v>
      </c>
      <c r="J515" s="4">
        <v>-9.8259570254827747E-2</v>
      </c>
      <c r="K515" s="5">
        <v>2</v>
      </c>
      <c r="L515" s="5">
        <v>0</v>
      </c>
      <c r="M515" s="5">
        <v>2</v>
      </c>
    </row>
    <row r="516" spans="1:13" hidden="1" x14ac:dyDescent="0.25">
      <c r="A516" t="s">
        <v>527</v>
      </c>
      <c r="B516" s="1">
        <v>0.14549734923097829</v>
      </c>
      <c r="C516" s="2">
        <v>4.1457328764454557E-5</v>
      </c>
      <c r="D516" s="2"/>
      <c r="E516" s="2">
        <v>1.2722898981771651</v>
      </c>
      <c r="F516" s="3">
        <v>204.70313354822039</v>
      </c>
      <c r="G516" s="3">
        <v>1</v>
      </c>
      <c r="H516" s="2">
        <v>5.4188793757450959E-5</v>
      </c>
      <c r="I516" s="4">
        <v>-2.2204460492503131E-16</v>
      </c>
      <c r="J516" s="4">
        <v>1.2722898981771651</v>
      </c>
      <c r="K516" s="5">
        <v>1</v>
      </c>
      <c r="L516" s="5">
        <v>0</v>
      </c>
      <c r="M516" s="5">
        <v>0</v>
      </c>
    </row>
    <row r="517" spans="1:13" hidden="1" x14ac:dyDescent="0.25">
      <c r="A517" t="s">
        <v>528</v>
      </c>
      <c r="B517" s="1">
        <v>0.14547585162543611</v>
      </c>
      <c r="C517" s="2">
        <v>4.1451203338078593E-5</v>
      </c>
      <c r="D517" s="2"/>
      <c r="E517" s="2">
        <v>-0.30405469607684887</v>
      </c>
      <c r="F517" s="3">
        <v>62.695426585103</v>
      </c>
      <c r="G517" s="3">
        <v>3</v>
      </c>
      <c r="H517" s="2">
        <v>1.6256638127235291E-4</v>
      </c>
      <c r="I517" s="4">
        <v>1.6653345369377351E-16</v>
      </c>
      <c r="J517" s="4">
        <v>-0.30405469607684898</v>
      </c>
      <c r="K517" s="5">
        <v>3</v>
      </c>
      <c r="L517" s="5">
        <v>0</v>
      </c>
      <c r="M517" s="5">
        <v>2</v>
      </c>
    </row>
    <row r="518" spans="1:13" hidden="1" x14ac:dyDescent="0.25">
      <c r="A518" t="s">
        <v>529</v>
      </c>
      <c r="B518" s="1">
        <v>0.14547220990801299</v>
      </c>
      <c r="C518" s="2">
        <v>4.1450165684284399E-5</v>
      </c>
      <c r="D518" s="2"/>
      <c r="E518" s="2">
        <v>-2.5812111848513512E-2</v>
      </c>
      <c r="F518" s="3">
        <v>87.761387105275205</v>
      </c>
      <c r="G518" s="3">
        <v>4</v>
      </c>
      <c r="H518" s="2">
        <v>2.1675517502980381E-4</v>
      </c>
      <c r="I518" s="4">
        <v>-3.920475055707584E-16</v>
      </c>
      <c r="J518" s="4">
        <v>-2.581211184851312E-2</v>
      </c>
      <c r="K518" s="5">
        <v>4</v>
      </c>
      <c r="L518" s="5">
        <v>0</v>
      </c>
      <c r="M518" s="5">
        <v>0</v>
      </c>
    </row>
    <row r="519" spans="1:13" hidden="1" x14ac:dyDescent="0.25">
      <c r="A519" t="s">
        <v>530</v>
      </c>
      <c r="B519" s="1">
        <v>0.14483364019149719</v>
      </c>
      <c r="C519" s="2">
        <v>4.1268214639701498E-5</v>
      </c>
      <c r="D519" s="2"/>
      <c r="E519" s="2">
        <v>1.7163364020609051</v>
      </c>
      <c r="F519" s="3">
        <v>244.70582460408079</v>
      </c>
      <c r="G519" s="3">
        <v>1</v>
      </c>
      <c r="H519" s="2">
        <v>5.4188793757450959E-5</v>
      </c>
      <c r="I519" s="4">
        <v>-2.2204460492503131E-16</v>
      </c>
      <c r="J519" s="4">
        <v>1.7163364020609051</v>
      </c>
      <c r="K519" s="5">
        <v>1</v>
      </c>
      <c r="L519" s="5">
        <v>0</v>
      </c>
      <c r="M519" s="5">
        <v>0</v>
      </c>
    </row>
    <row r="520" spans="1:13" hidden="1" x14ac:dyDescent="0.25">
      <c r="A520" t="s">
        <v>531</v>
      </c>
      <c r="B520" s="1">
        <v>0.1444555251375314</v>
      </c>
      <c r="C520" s="2">
        <v>4.1160476318791157E-5</v>
      </c>
      <c r="D520" s="2"/>
      <c r="E520" s="2">
        <v>-0.1666212653101142</v>
      </c>
      <c r="F520" s="3">
        <v>75.07635296021094</v>
      </c>
      <c r="G520" s="3">
        <v>1</v>
      </c>
      <c r="H520" s="2">
        <v>5.4188793757450959E-5</v>
      </c>
      <c r="I520" s="4">
        <v>-2.775557561562891E-17</v>
      </c>
      <c r="J520" s="4">
        <v>-0.1666212653101142</v>
      </c>
      <c r="K520" s="5">
        <v>1</v>
      </c>
      <c r="L520" s="5">
        <v>0</v>
      </c>
      <c r="M520" s="5">
        <v>0</v>
      </c>
    </row>
    <row r="521" spans="1:13" hidden="1" x14ac:dyDescent="0.25">
      <c r="A521" t="s">
        <v>532</v>
      </c>
      <c r="B521" s="1">
        <v>0.14410125391656131</v>
      </c>
      <c r="C521" s="2">
        <v>4.1059531947246452E-5</v>
      </c>
      <c r="D521" s="2"/>
      <c r="E521" s="2">
        <v>0.70062286235175275</v>
      </c>
      <c r="F521" s="3">
        <v>153.2035279417527</v>
      </c>
      <c r="G521" s="3">
        <v>4</v>
      </c>
      <c r="H521" s="2">
        <v>2.1675517502980381E-4</v>
      </c>
      <c r="I521" s="4">
        <v>0</v>
      </c>
      <c r="J521" s="4">
        <v>0.70062286235175275</v>
      </c>
      <c r="K521" s="5">
        <v>4</v>
      </c>
      <c r="L521" s="5">
        <v>0</v>
      </c>
      <c r="M521" s="5">
        <v>0</v>
      </c>
    </row>
    <row r="522" spans="1:13" hidden="1" x14ac:dyDescent="0.25">
      <c r="A522" t="s">
        <v>533</v>
      </c>
      <c r="B522" s="1">
        <v>0.14381004503105141</v>
      </c>
      <c r="C522" s="2">
        <v>4.097655626026985E-5</v>
      </c>
      <c r="D522" s="2"/>
      <c r="E522" s="2">
        <v>0.2178024298943213</v>
      </c>
      <c r="F522" s="3">
        <v>109.7078210143802</v>
      </c>
      <c r="G522" s="3">
        <v>6</v>
      </c>
      <c r="H522" s="2">
        <v>3.2513276254470582E-4</v>
      </c>
      <c r="I522" s="4">
        <v>-4.6156985540689421E-2</v>
      </c>
      <c r="J522" s="4">
        <v>0.26395941543501072</v>
      </c>
      <c r="K522" s="5">
        <v>6</v>
      </c>
      <c r="L522" s="5">
        <v>0</v>
      </c>
      <c r="M522" s="5">
        <v>5</v>
      </c>
    </row>
    <row r="523" spans="1:13" hidden="1" x14ac:dyDescent="0.25">
      <c r="A523" t="s">
        <v>534</v>
      </c>
      <c r="B523" s="1">
        <v>0.14376468316613519</v>
      </c>
      <c r="C523" s="2">
        <v>4.0963631064332342E-5</v>
      </c>
      <c r="D523" s="2"/>
      <c r="E523" s="2">
        <v>2.1513415349000051</v>
      </c>
      <c r="F523" s="3">
        <v>283.89400823908147</v>
      </c>
      <c r="G523" s="3">
        <v>2</v>
      </c>
      <c r="H523" s="2">
        <v>1.083775875149019E-4</v>
      </c>
      <c r="I523" s="4">
        <v>1.674682403480074</v>
      </c>
      <c r="J523" s="4">
        <v>0.47665913141993149</v>
      </c>
      <c r="K523" s="5">
        <v>2</v>
      </c>
      <c r="L523" s="5">
        <v>0</v>
      </c>
      <c r="M523" s="5">
        <v>0</v>
      </c>
    </row>
    <row r="524" spans="1:13" hidden="1" x14ac:dyDescent="0.25">
      <c r="A524" t="s">
        <v>535</v>
      </c>
      <c r="B524" s="1">
        <v>0.1436846596334089</v>
      </c>
      <c r="C524" s="2">
        <v>4.0940829536176239E-5</v>
      </c>
      <c r="D524" s="2"/>
      <c r="E524" s="2">
        <v>-1.8071211949491239E-2</v>
      </c>
      <c r="F524" s="3">
        <v>88.458739352047971</v>
      </c>
      <c r="G524" s="3">
        <v>1</v>
      </c>
      <c r="H524" s="2">
        <v>5.4188793757450959E-5</v>
      </c>
      <c r="I524" s="4">
        <v>5.2041704279304213E-17</v>
      </c>
      <c r="J524" s="4">
        <v>-1.8071211949491291E-2</v>
      </c>
      <c r="K524" s="5">
        <v>1</v>
      </c>
      <c r="L524" s="5">
        <v>0</v>
      </c>
      <c r="M524" s="5">
        <v>0</v>
      </c>
    </row>
    <row r="525" spans="1:13" hidden="1" x14ac:dyDescent="0.25">
      <c r="A525" t="s">
        <v>536</v>
      </c>
      <c r="B525" s="1">
        <v>0.14350001708915691</v>
      </c>
      <c r="C525" s="2">
        <v>4.0888218360086623E-5</v>
      </c>
      <c r="D525" s="2"/>
      <c r="E525" s="2">
        <v>2.0642201698813611</v>
      </c>
      <c r="F525" s="3">
        <v>276.04553061630048</v>
      </c>
      <c r="G525" s="3">
        <v>2</v>
      </c>
      <c r="H525" s="2">
        <v>1.083775875149019E-4</v>
      </c>
      <c r="I525" s="4">
        <v>-4.4408920985006262E-16</v>
      </c>
      <c r="J525" s="4">
        <v>2.0642201698813611</v>
      </c>
      <c r="K525" s="5">
        <v>2</v>
      </c>
      <c r="L525" s="5">
        <v>0</v>
      </c>
      <c r="M525" s="5">
        <v>0</v>
      </c>
    </row>
    <row r="526" spans="1:13" hidden="1" x14ac:dyDescent="0.25">
      <c r="A526" t="s">
        <v>537</v>
      </c>
      <c r="B526" s="1">
        <v>0.14316847994978929</v>
      </c>
      <c r="C526" s="2">
        <v>4.0793751730577337E-5</v>
      </c>
      <c r="D526" s="2"/>
      <c r="E526" s="2">
        <v>0.74761961693376433</v>
      </c>
      <c r="F526" s="3">
        <v>157.43731120032899</v>
      </c>
      <c r="G526" s="3">
        <v>3</v>
      </c>
      <c r="H526" s="2">
        <v>1.6256638127235291E-4</v>
      </c>
      <c r="I526" s="4">
        <v>2.2204460492503131E-16</v>
      </c>
      <c r="J526" s="4">
        <v>0.74761961693376411</v>
      </c>
      <c r="K526" s="5">
        <v>3</v>
      </c>
      <c r="L526" s="5">
        <v>0</v>
      </c>
      <c r="M526" s="5">
        <v>0</v>
      </c>
    </row>
    <row r="527" spans="1:13" hidden="1" x14ac:dyDescent="0.25">
      <c r="A527" t="s">
        <v>538</v>
      </c>
      <c r="B527" s="1">
        <v>0.14296145862946449</v>
      </c>
      <c r="C527" s="2">
        <v>4.0734764051534918E-5</v>
      </c>
      <c r="D527" s="2"/>
      <c r="E527" s="2">
        <v>-0.2358642536555384</v>
      </c>
      <c r="F527" s="3">
        <v>68.838479570058624</v>
      </c>
      <c r="G527" s="3">
        <v>3</v>
      </c>
      <c r="H527" s="2">
        <v>1.6256638127235291E-4</v>
      </c>
      <c r="I527" s="4">
        <v>2.775557561562891E-17</v>
      </c>
      <c r="J527" s="4">
        <v>-0.23586425365553851</v>
      </c>
      <c r="K527" s="5">
        <v>3</v>
      </c>
      <c r="L527" s="5">
        <v>0</v>
      </c>
      <c r="M527" s="5">
        <v>0</v>
      </c>
    </row>
    <row r="528" spans="1:13" hidden="1" x14ac:dyDescent="0.25">
      <c r="A528" t="s">
        <v>539</v>
      </c>
      <c r="B528" s="1">
        <v>0.14265418818456019</v>
      </c>
      <c r="C528" s="2">
        <v>4.0647211859544298E-5</v>
      </c>
      <c r="D528" s="2"/>
      <c r="E528" s="2">
        <v>0.87201814161931079</v>
      </c>
      <c r="F528" s="3">
        <v>168.6439656999749</v>
      </c>
      <c r="G528" s="3">
        <v>2</v>
      </c>
      <c r="H528" s="2">
        <v>1.083775875149019E-4</v>
      </c>
      <c r="I528" s="4">
        <v>-3.3306690738754701E-16</v>
      </c>
      <c r="J528" s="4">
        <v>0.87201814161931124</v>
      </c>
      <c r="K528" s="5">
        <v>2</v>
      </c>
      <c r="L528" s="5">
        <v>0</v>
      </c>
      <c r="M528" s="5">
        <v>0</v>
      </c>
    </row>
    <row r="529" spans="1:13" hidden="1" x14ac:dyDescent="0.25">
      <c r="A529" t="s">
        <v>540</v>
      </c>
      <c r="B529" s="1">
        <v>0.14238352196528339</v>
      </c>
      <c r="C529" s="2">
        <v>4.0570089503038837E-5</v>
      </c>
      <c r="D529" s="2"/>
      <c r="E529" s="2">
        <v>0.59455638281287104</v>
      </c>
      <c r="F529" s="3">
        <v>143.64834717742559</v>
      </c>
      <c r="G529" s="3">
        <v>2</v>
      </c>
      <c r="H529" s="2">
        <v>1.083775875149019E-4</v>
      </c>
      <c r="I529" s="4">
        <v>0</v>
      </c>
      <c r="J529" s="4">
        <v>0.59455638281287104</v>
      </c>
      <c r="K529" s="5">
        <v>2</v>
      </c>
      <c r="L529" s="5">
        <v>0</v>
      </c>
      <c r="M529" s="5">
        <v>0</v>
      </c>
    </row>
    <row r="530" spans="1:13" hidden="1" x14ac:dyDescent="0.25">
      <c r="A530" t="s">
        <v>541</v>
      </c>
      <c r="B530" s="1">
        <v>0.14212453565143521</v>
      </c>
      <c r="C530" s="2">
        <v>4.049629516372306E-5</v>
      </c>
      <c r="D530" s="2"/>
      <c r="E530" s="2">
        <v>-0.3819345741839989</v>
      </c>
      <c r="F530" s="3">
        <v>55.679484164342377</v>
      </c>
      <c r="G530" s="3">
        <v>1</v>
      </c>
      <c r="H530" s="2">
        <v>5.4188793757450959E-5</v>
      </c>
      <c r="I530" s="4">
        <v>-5.5511151231257827E-17</v>
      </c>
      <c r="J530" s="4">
        <v>-0.38193457418399879</v>
      </c>
      <c r="K530" s="5">
        <v>1</v>
      </c>
      <c r="L530" s="5">
        <v>0</v>
      </c>
      <c r="M530" s="5">
        <v>0</v>
      </c>
    </row>
    <row r="531" spans="1:13" hidden="1" x14ac:dyDescent="0.25">
      <c r="A531" t="s">
        <v>542</v>
      </c>
      <c r="B531" s="1">
        <v>0.1408768651703812</v>
      </c>
      <c r="C531" s="2">
        <v>4.0140789818806791E-5</v>
      </c>
      <c r="D531" s="2"/>
      <c r="E531" s="2">
        <v>4.8676997087582778</v>
      </c>
      <c r="F531" s="3">
        <v>528.60179419287715</v>
      </c>
      <c r="G531" s="3">
        <v>1</v>
      </c>
      <c r="H531" s="2">
        <v>5.4188793757450959E-5</v>
      </c>
      <c r="I531" s="4">
        <v>0</v>
      </c>
      <c r="J531" s="4">
        <v>4.8676997087582778</v>
      </c>
      <c r="K531" s="5">
        <v>1</v>
      </c>
      <c r="L531" s="5">
        <v>0</v>
      </c>
      <c r="M531" s="5">
        <v>0</v>
      </c>
    </row>
    <row r="532" spans="1:13" hidden="1" x14ac:dyDescent="0.25">
      <c r="A532" t="s">
        <v>543</v>
      </c>
      <c r="B532" s="1">
        <v>0.14077160975941819</v>
      </c>
      <c r="C532" s="2">
        <v>4.0110798838217818E-5</v>
      </c>
      <c r="D532" s="2"/>
      <c r="E532" s="2">
        <v>7.9116283091336781E-2</v>
      </c>
      <c r="F532" s="3">
        <v>97.214041566135677</v>
      </c>
      <c r="G532" s="3">
        <v>5</v>
      </c>
      <c r="H532" s="2">
        <v>2.7094396878725479E-4</v>
      </c>
      <c r="I532" s="4">
        <v>0.13849887838082001</v>
      </c>
      <c r="J532" s="4">
        <v>-5.9382595289483212E-2</v>
      </c>
      <c r="K532" s="5">
        <v>5</v>
      </c>
      <c r="L532" s="5">
        <v>0</v>
      </c>
      <c r="M532" s="5">
        <v>0</v>
      </c>
    </row>
    <row r="533" spans="1:13" hidden="1" x14ac:dyDescent="0.25">
      <c r="A533" t="s">
        <v>544</v>
      </c>
      <c r="B533" s="1">
        <v>0.14055332900237011</v>
      </c>
      <c r="C533" s="2">
        <v>4.0048602948356411E-5</v>
      </c>
      <c r="D533" s="2"/>
      <c r="E533" s="2">
        <v>7.2491939999926425E-2</v>
      </c>
      <c r="F533" s="3">
        <v>96.617276254808971</v>
      </c>
      <c r="G533" s="3">
        <v>1</v>
      </c>
      <c r="H533" s="2">
        <v>5.4188793757450959E-5</v>
      </c>
      <c r="I533" s="4">
        <v>4.163336342344337E-17</v>
      </c>
      <c r="J533" s="4">
        <v>7.2491939999926383E-2</v>
      </c>
      <c r="K533" s="5">
        <v>1</v>
      </c>
      <c r="L533" s="5">
        <v>0</v>
      </c>
      <c r="M533" s="5">
        <v>0</v>
      </c>
    </row>
    <row r="534" spans="1:13" hidden="1" x14ac:dyDescent="0.25">
      <c r="A534" t="s">
        <v>545</v>
      </c>
      <c r="B534" s="1">
        <v>0.14024172378889191</v>
      </c>
      <c r="C534" s="2">
        <v>3.9959815627843979E-5</v>
      </c>
      <c r="D534" s="2"/>
      <c r="E534" s="2">
        <v>-9.4177469149350768E-2</v>
      </c>
      <c r="F534" s="3">
        <v>81.602576613334179</v>
      </c>
      <c r="G534" s="3">
        <v>2</v>
      </c>
      <c r="H534" s="2">
        <v>1.083775875149019E-4</v>
      </c>
      <c r="I534" s="4">
        <v>5.5511151231257827E-17</v>
      </c>
      <c r="J534" s="4">
        <v>-9.4177469149350823E-2</v>
      </c>
      <c r="K534" s="5">
        <v>2</v>
      </c>
      <c r="L534" s="5">
        <v>2</v>
      </c>
      <c r="M534" s="5">
        <v>2</v>
      </c>
    </row>
    <row r="535" spans="1:13" hidden="1" x14ac:dyDescent="0.25">
      <c r="A535" t="s">
        <v>546</v>
      </c>
      <c r="B535" s="1">
        <v>0.14019246496654769</v>
      </c>
      <c r="C535" s="2">
        <v>3.9945780051228537E-5</v>
      </c>
      <c r="D535" s="2"/>
      <c r="E535" s="2">
        <v>0.1724971776494453</v>
      </c>
      <c r="F535" s="3">
        <v>105.6264196455855</v>
      </c>
      <c r="G535" s="3">
        <v>1</v>
      </c>
      <c r="H535" s="2">
        <v>5.4188793757450959E-5</v>
      </c>
      <c r="I535" s="4">
        <v>5.5511151231257827E-17</v>
      </c>
      <c r="J535" s="4">
        <v>0.17249717764944519</v>
      </c>
      <c r="K535" s="5">
        <v>1</v>
      </c>
      <c r="L535" s="5">
        <v>0</v>
      </c>
      <c r="M535" s="5">
        <v>0</v>
      </c>
    </row>
    <row r="536" spans="1:13" hidden="1" x14ac:dyDescent="0.25">
      <c r="A536" t="s">
        <v>547</v>
      </c>
      <c r="B536" s="1">
        <v>0.140122817713418</v>
      </c>
      <c r="C536" s="2">
        <v>3.9925935091263279E-5</v>
      </c>
      <c r="D536" s="2"/>
      <c r="E536" s="2">
        <v>0.40457600256518372</v>
      </c>
      <c r="F536" s="3">
        <v>126.5336387150144</v>
      </c>
      <c r="G536" s="3">
        <v>1</v>
      </c>
      <c r="H536" s="2">
        <v>5.4188793757450959E-5</v>
      </c>
      <c r="I536" s="4">
        <v>1.110223024625157E-16</v>
      </c>
      <c r="J536" s="4">
        <v>0.40457600256518361</v>
      </c>
      <c r="K536" s="5">
        <v>1</v>
      </c>
      <c r="L536" s="5">
        <v>0</v>
      </c>
      <c r="M536" s="5">
        <v>0</v>
      </c>
    </row>
    <row r="537" spans="1:13" hidden="1" x14ac:dyDescent="0.25">
      <c r="A537" t="s">
        <v>548</v>
      </c>
      <c r="B537" s="1">
        <v>0.13991687926271759</v>
      </c>
      <c r="C537" s="2">
        <v>3.9867255959986648E-5</v>
      </c>
      <c r="D537" s="2"/>
      <c r="E537" s="2">
        <v>0.46482206636787993</v>
      </c>
      <c r="F537" s="3">
        <v>131.9610087236789</v>
      </c>
      <c r="G537" s="3">
        <v>2</v>
      </c>
      <c r="H537" s="2">
        <v>1.083775875149019E-4</v>
      </c>
      <c r="I537" s="4">
        <v>2.7755575615628909E-16</v>
      </c>
      <c r="J537" s="4">
        <v>0.4648220663678797</v>
      </c>
      <c r="K537" s="5">
        <v>2</v>
      </c>
      <c r="L537" s="5">
        <v>0</v>
      </c>
      <c r="M537" s="5">
        <v>0</v>
      </c>
    </row>
    <row r="538" spans="1:13" hidden="1" x14ac:dyDescent="0.25">
      <c r="A538" t="s">
        <v>549</v>
      </c>
      <c r="B538" s="1">
        <v>0.13952963459715739</v>
      </c>
      <c r="C538" s="2">
        <v>3.9756916290588797E-5</v>
      </c>
      <c r="D538" s="2"/>
      <c r="E538" s="2">
        <v>0.26654388785844763</v>
      </c>
      <c r="F538" s="3">
        <v>114.09877887014041</v>
      </c>
      <c r="G538" s="3">
        <v>3</v>
      </c>
      <c r="H538" s="2">
        <v>1.6256638127235291E-4</v>
      </c>
      <c r="I538" s="4">
        <v>1.6653345369377351E-16</v>
      </c>
      <c r="J538" s="4">
        <v>0.26654388785844751</v>
      </c>
      <c r="K538" s="5">
        <v>3</v>
      </c>
      <c r="L538" s="5">
        <v>0</v>
      </c>
      <c r="M538" s="5">
        <v>0</v>
      </c>
    </row>
    <row r="539" spans="1:13" hidden="1" x14ac:dyDescent="0.25">
      <c r="A539" t="s">
        <v>550</v>
      </c>
      <c r="B539" s="1">
        <v>0.1393815578835203</v>
      </c>
      <c r="C539" s="2">
        <v>3.9714724009890492E-5</v>
      </c>
      <c r="D539" s="2"/>
      <c r="E539" s="2">
        <v>0.15349011901306661</v>
      </c>
      <c r="F539" s="3">
        <v>103.91413616207279</v>
      </c>
      <c r="G539" s="3">
        <v>1</v>
      </c>
      <c r="H539" s="2">
        <v>5.4188793757450959E-5</v>
      </c>
      <c r="I539" s="4">
        <v>-8.3266726846886741E-17</v>
      </c>
      <c r="J539" s="4">
        <v>0.15349011901306669</v>
      </c>
      <c r="K539" s="5">
        <v>1</v>
      </c>
      <c r="L539" s="5">
        <v>0</v>
      </c>
      <c r="M539" s="5">
        <v>0</v>
      </c>
    </row>
    <row r="540" spans="1:13" hidden="1" x14ac:dyDescent="0.25">
      <c r="A540" t="s">
        <v>551</v>
      </c>
      <c r="B540" s="1">
        <v>0.13929041544016141</v>
      </c>
      <c r="C540" s="2">
        <v>3.9688754311757171E-5</v>
      </c>
      <c r="D540" s="2"/>
      <c r="E540" s="2">
        <v>0.40023383180834982</v>
      </c>
      <c r="F540" s="3">
        <v>126.1424668134721</v>
      </c>
      <c r="G540" s="3">
        <v>1</v>
      </c>
      <c r="H540" s="2">
        <v>5.4188793757450959E-5</v>
      </c>
      <c r="I540" s="4">
        <v>0</v>
      </c>
      <c r="J540" s="4">
        <v>0.40023383180834982</v>
      </c>
      <c r="K540" s="5">
        <v>1</v>
      </c>
      <c r="L540" s="5">
        <v>0</v>
      </c>
      <c r="M540" s="5">
        <v>0</v>
      </c>
    </row>
    <row r="541" spans="1:13" hidden="1" x14ac:dyDescent="0.25">
      <c r="A541" t="s">
        <v>552</v>
      </c>
      <c r="B541" s="1">
        <v>0.1392844031345927</v>
      </c>
      <c r="C541" s="2">
        <v>3.9687041193752519E-5</v>
      </c>
      <c r="D541" s="2"/>
      <c r="E541" s="2">
        <v>5.8926810191764163E-2</v>
      </c>
      <c r="F541" s="3">
        <v>95.395238265313566</v>
      </c>
      <c r="G541" s="3">
        <v>1</v>
      </c>
      <c r="H541" s="2">
        <v>5.4188793757450959E-5</v>
      </c>
      <c r="I541" s="4">
        <v>-0.62172749457296783</v>
      </c>
      <c r="J541" s="4">
        <v>0.68065430476473199</v>
      </c>
      <c r="K541" s="5">
        <v>1</v>
      </c>
      <c r="L541" s="5">
        <v>1</v>
      </c>
      <c r="M541" s="5">
        <v>1</v>
      </c>
    </row>
    <row r="542" spans="1:13" hidden="1" x14ac:dyDescent="0.25">
      <c r="A542" t="s">
        <v>553</v>
      </c>
      <c r="B542" s="1">
        <v>0.13866458483569941</v>
      </c>
      <c r="C542" s="2">
        <v>3.9510433089706228E-5</v>
      </c>
      <c r="D542" s="2"/>
      <c r="E542" s="2">
        <v>3.7849431070156161</v>
      </c>
      <c r="F542" s="3">
        <v>431.05980827613809</v>
      </c>
      <c r="G542" s="3">
        <v>1</v>
      </c>
      <c r="H542" s="2">
        <v>5.4188793757450959E-5</v>
      </c>
      <c r="I542" s="4">
        <v>3.7849431070156161</v>
      </c>
      <c r="J542" s="4">
        <v>0</v>
      </c>
      <c r="K542" s="5">
        <v>1</v>
      </c>
      <c r="L542" s="5">
        <v>0</v>
      </c>
      <c r="M542" s="5">
        <v>0</v>
      </c>
    </row>
    <row r="543" spans="1:13" hidden="1" x14ac:dyDescent="0.25">
      <c r="A543" t="s">
        <v>554</v>
      </c>
      <c r="B543" s="1">
        <v>0.13794529684148249</v>
      </c>
      <c r="C543" s="2">
        <v>3.9305482559609402E-5</v>
      </c>
      <c r="D543" s="2"/>
      <c r="E543" s="2">
        <v>-0.23900866675917609</v>
      </c>
      <c r="F543" s="3">
        <v>68.555209721435432</v>
      </c>
      <c r="G543" s="3">
        <v>3</v>
      </c>
      <c r="H543" s="2">
        <v>1.6256638127235291E-4</v>
      </c>
      <c r="I543" s="4">
        <v>-0.4926864112474803</v>
      </c>
      <c r="J543" s="4">
        <v>0.25367774448830421</v>
      </c>
      <c r="K543" s="5">
        <v>3</v>
      </c>
      <c r="L543" s="5">
        <v>0</v>
      </c>
      <c r="M543" s="5">
        <v>1</v>
      </c>
    </row>
    <row r="544" spans="1:13" hidden="1" x14ac:dyDescent="0.25">
      <c r="A544" t="s">
        <v>555</v>
      </c>
      <c r="B544" s="1">
        <v>0.13782072778849491</v>
      </c>
      <c r="C544" s="2">
        <v>3.9269988440913218E-5</v>
      </c>
      <c r="D544" s="2"/>
      <c r="E544" s="2">
        <v>-8.2490284473563547E-2</v>
      </c>
      <c r="F544" s="3">
        <v>82.655436693999775</v>
      </c>
      <c r="G544" s="3">
        <v>6</v>
      </c>
      <c r="H544" s="2">
        <v>3.2513276254470582E-4</v>
      </c>
      <c r="I544" s="4">
        <v>0.15391941384362179</v>
      </c>
      <c r="J544" s="4">
        <v>-0.23640969831718539</v>
      </c>
      <c r="K544" s="5">
        <v>6</v>
      </c>
      <c r="L544" s="5">
        <v>0</v>
      </c>
      <c r="M544" s="5">
        <v>0</v>
      </c>
    </row>
    <row r="545" spans="1:13" hidden="1" x14ac:dyDescent="0.25">
      <c r="A545" t="s">
        <v>556</v>
      </c>
      <c r="B545" s="1">
        <v>0.13734546121497801</v>
      </c>
      <c r="C545" s="2">
        <v>3.9134568224028243E-5</v>
      </c>
      <c r="D545" s="2"/>
      <c r="E545" s="2">
        <v>1.99453777394545</v>
      </c>
      <c r="F545" s="3">
        <v>269.76807243956358</v>
      </c>
      <c r="G545" s="3">
        <v>1</v>
      </c>
      <c r="H545" s="2">
        <v>5.4188793757450959E-5</v>
      </c>
      <c r="I545" s="4">
        <v>-2.2204460492503131E-16</v>
      </c>
      <c r="J545" s="4">
        <v>1.99453777394545</v>
      </c>
      <c r="K545" s="5">
        <v>1</v>
      </c>
      <c r="L545" s="5">
        <v>0</v>
      </c>
      <c r="M545" s="5">
        <v>0</v>
      </c>
    </row>
    <row r="546" spans="1:13" hidden="1" x14ac:dyDescent="0.25">
      <c r="A546" t="s">
        <v>557</v>
      </c>
      <c r="B546" s="1">
        <v>0.13632256923992919</v>
      </c>
      <c r="C546" s="2">
        <v>3.8843110206928572E-5</v>
      </c>
      <c r="D546" s="2"/>
      <c r="E546" s="2">
        <v>1.4359687953308991</v>
      </c>
      <c r="F546" s="3">
        <v>219.44842778640921</v>
      </c>
      <c r="G546" s="3">
        <v>2</v>
      </c>
      <c r="H546" s="2">
        <v>1.083775875149019E-4</v>
      </c>
      <c r="I546" s="4">
        <v>-2.2204460492503131E-16</v>
      </c>
      <c r="J546" s="4">
        <v>1.4359687953308991</v>
      </c>
      <c r="K546" s="5">
        <v>2</v>
      </c>
      <c r="L546" s="5">
        <v>0</v>
      </c>
      <c r="M546" s="5">
        <v>0</v>
      </c>
    </row>
    <row r="547" spans="1:13" hidden="1" x14ac:dyDescent="0.25">
      <c r="A547" t="s">
        <v>558</v>
      </c>
      <c r="B547" s="1">
        <v>0.1361957888957373</v>
      </c>
      <c r="C547" s="2">
        <v>3.8806986013341438E-5</v>
      </c>
      <c r="D547" s="2"/>
      <c r="E547" s="2">
        <v>-0.3278935701642226</v>
      </c>
      <c r="F547" s="3">
        <v>60.547860717798173</v>
      </c>
      <c r="G547" s="3">
        <v>1</v>
      </c>
      <c r="H547" s="2">
        <v>5.4188793757450959E-5</v>
      </c>
      <c r="I547" s="4">
        <v>-0.3208182525593048</v>
      </c>
      <c r="J547" s="4">
        <v>-7.0753176049178799E-3</v>
      </c>
      <c r="K547" s="5">
        <v>1</v>
      </c>
      <c r="L547" s="5">
        <v>0</v>
      </c>
      <c r="M547" s="5">
        <v>0</v>
      </c>
    </row>
    <row r="548" spans="1:13" hidden="1" x14ac:dyDescent="0.25">
      <c r="A548" t="s">
        <v>559</v>
      </c>
      <c r="B548" s="1">
        <v>0.1359842382043373</v>
      </c>
      <c r="C548" s="2">
        <v>3.8746707756657919E-5</v>
      </c>
      <c r="D548" s="2"/>
      <c r="E548" s="2">
        <v>-0.69824956687641326</v>
      </c>
      <c r="F548" s="3">
        <v>27.183705415177151</v>
      </c>
      <c r="G548" s="3">
        <v>1</v>
      </c>
      <c r="H548" s="2">
        <v>5.4188793757450959E-5</v>
      </c>
      <c r="I548" s="4">
        <v>0</v>
      </c>
      <c r="J548" s="4">
        <v>-0.69824956687641326</v>
      </c>
      <c r="K548" s="5">
        <v>1</v>
      </c>
      <c r="L548" s="5">
        <v>0</v>
      </c>
      <c r="M548" s="5">
        <v>0</v>
      </c>
    </row>
    <row r="549" spans="1:13" hidden="1" x14ac:dyDescent="0.25">
      <c r="A549" t="s">
        <v>560</v>
      </c>
      <c r="B549" s="1">
        <v>0.13583622759894781</v>
      </c>
      <c r="C549" s="2">
        <v>3.8704534312532018E-5</v>
      </c>
      <c r="D549" s="2"/>
      <c r="E549" s="2">
        <v>1.3237262099914091</v>
      </c>
      <c r="F549" s="3">
        <v>209.3368619360399</v>
      </c>
      <c r="G549" s="3">
        <v>1</v>
      </c>
      <c r="H549" s="2">
        <v>5.4188793757450959E-5</v>
      </c>
      <c r="I549" s="4">
        <v>0</v>
      </c>
      <c r="J549" s="4">
        <v>1.3237262099914091</v>
      </c>
      <c r="K549" s="5">
        <v>1</v>
      </c>
      <c r="L549" s="5">
        <v>0</v>
      </c>
      <c r="M549" s="5">
        <v>0</v>
      </c>
    </row>
    <row r="550" spans="1:13" hidden="1" x14ac:dyDescent="0.25">
      <c r="A550" t="s">
        <v>561</v>
      </c>
      <c r="B550" s="1">
        <v>0.13571139512791031</v>
      </c>
      <c r="C550" s="2">
        <v>3.8668965136738537E-5</v>
      </c>
      <c r="D550" s="2"/>
      <c r="E550" s="2">
        <v>-0.3019866816488993</v>
      </c>
      <c r="F550" s="3">
        <v>62.881727212485032</v>
      </c>
      <c r="G550" s="3">
        <v>1</v>
      </c>
      <c r="H550" s="2">
        <v>5.4188793757450959E-5</v>
      </c>
      <c r="I550" s="4">
        <v>0</v>
      </c>
      <c r="J550" s="4">
        <v>-0.3019866816488993</v>
      </c>
      <c r="K550" s="5">
        <v>1</v>
      </c>
      <c r="L550" s="5">
        <v>0</v>
      </c>
      <c r="M550" s="5">
        <v>0</v>
      </c>
    </row>
    <row r="551" spans="1:13" hidden="1" x14ac:dyDescent="0.25">
      <c r="A551" t="s">
        <v>562</v>
      </c>
      <c r="B551" s="1">
        <v>0.13559216829308901</v>
      </c>
      <c r="C551" s="2">
        <v>3.863499320450159E-5</v>
      </c>
      <c r="D551" s="2"/>
      <c r="E551" s="2">
        <v>-0.33433398659460672</v>
      </c>
      <c r="F551" s="3">
        <v>59.967664755252777</v>
      </c>
      <c r="G551" s="3">
        <v>1</v>
      </c>
      <c r="H551" s="2">
        <v>5.4188793757450959E-5</v>
      </c>
      <c r="I551" s="4">
        <v>-1.110223024625157E-16</v>
      </c>
      <c r="J551" s="4">
        <v>-0.3343339865946065</v>
      </c>
      <c r="K551" s="5">
        <v>1</v>
      </c>
      <c r="L551" s="5">
        <v>0</v>
      </c>
      <c r="M551" s="5">
        <v>0</v>
      </c>
    </row>
    <row r="552" spans="1:13" hidden="1" x14ac:dyDescent="0.25">
      <c r="A552" t="s">
        <v>563</v>
      </c>
      <c r="B552" s="1">
        <v>0.13525765933115619</v>
      </c>
      <c r="C552" s="2">
        <v>3.8539679797880759E-5</v>
      </c>
      <c r="D552" s="2"/>
      <c r="E552" s="2" t="s">
        <v>303</v>
      </c>
      <c r="F552" s="3" t="s">
        <v>303</v>
      </c>
      <c r="G552" s="3">
        <v>2</v>
      </c>
      <c r="H552" s="2">
        <v>1.083775875149019E-4</v>
      </c>
      <c r="I552" s="4" t="s">
        <v>303</v>
      </c>
      <c r="J552" s="4">
        <v>0</v>
      </c>
      <c r="K552" s="5">
        <v>2</v>
      </c>
      <c r="L552" s="5">
        <v>0</v>
      </c>
      <c r="M552" s="5">
        <v>2</v>
      </c>
    </row>
    <row r="553" spans="1:13" hidden="1" x14ac:dyDescent="0.25">
      <c r="A553" t="s">
        <v>564</v>
      </c>
      <c r="B553" s="1">
        <v>0.1351564882728086</v>
      </c>
      <c r="C553" s="2">
        <v>3.8510852593470978E-5</v>
      </c>
      <c r="D553" s="2"/>
      <c r="E553" s="2">
        <v>0.15522168519297549</v>
      </c>
      <c r="F553" s="3">
        <v>104.07012727185941</v>
      </c>
      <c r="G553" s="3">
        <v>4</v>
      </c>
      <c r="H553" s="2">
        <v>2.1675517502980381E-4</v>
      </c>
      <c r="I553" s="4">
        <v>-1.110223024625157E-16</v>
      </c>
      <c r="J553" s="4">
        <v>0.15522168519297569</v>
      </c>
      <c r="K553" s="5">
        <v>4</v>
      </c>
      <c r="L553" s="5">
        <v>1</v>
      </c>
      <c r="M553" s="5">
        <v>0</v>
      </c>
    </row>
    <row r="554" spans="1:13" hidden="1" x14ac:dyDescent="0.25">
      <c r="A554" t="s">
        <v>565</v>
      </c>
      <c r="B554" s="1">
        <v>0.1349766760750381</v>
      </c>
      <c r="C554" s="2">
        <v>3.8459617753535878E-5</v>
      </c>
      <c r="D554" s="2"/>
      <c r="E554" s="2">
        <v>0.7580419197211925</v>
      </c>
      <c r="F554" s="3">
        <v>158.37622222620041</v>
      </c>
      <c r="G554" s="3">
        <v>2</v>
      </c>
      <c r="H554" s="2">
        <v>1.083775875149019E-4</v>
      </c>
      <c r="I554" s="4">
        <v>1.110223024625157E-16</v>
      </c>
      <c r="J554" s="4">
        <v>0.7580419197211925</v>
      </c>
      <c r="K554" s="5">
        <v>2</v>
      </c>
      <c r="L554" s="5">
        <v>0</v>
      </c>
      <c r="M554" s="5">
        <v>0</v>
      </c>
    </row>
    <row r="555" spans="1:13" hidden="1" x14ac:dyDescent="0.25">
      <c r="A555" t="s">
        <v>566</v>
      </c>
      <c r="B555" s="1">
        <v>0.1347427899931494</v>
      </c>
      <c r="C555" s="2">
        <v>3.8392975355983331E-5</v>
      </c>
      <c r="D555" s="2"/>
      <c r="E555" s="2">
        <v>7.1677681505347213</v>
      </c>
      <c r="F555" s="3">
        <v>735.80740549481186</v>
      </c>
      <c r="G555" s="3">
        <v>1</v>
      </c>
      <c r="H555" s="2">
        <v>5.4188793757450959E-5</v>
      </c>
      <c r="I555" s="4">
        <v>8.8817841970012523E-16</v>
      </c>
      <c r="J555" s="4">
        <v>7.1677681505347204</v>
      </c>
      <c r="K555" s="5">
        <v>1</v>
      </c>
      <c r="L555" s="5">
        <v>0</v>
      </c>
      <c r="M555" s="5">
        <v>1</v>
      </c>
    </row>
    <row r="556" spans="1:13" hidden="1" x14ac:dyDescent="0.25">
      <c r="A556" t="s">
        <v>567</v>
      </c>
      <c r="B556" s="1">
        <v>0.13456644611734259</v>
      </c>
      <c r="C556" s="2">
        <v>3.8342728763357698E-5</v>
      </c>
      <c r="D556" s="2"/>
      <c r="E556" s="2">
        <v>-0.14026079279985479</v>
      </c>
      <c r="F556" s="3">
        <v>77.451081347196506</v>
      </c>
      <c r="G556" s="3">
        <v>2</v>
      </c>
      <c r="H556" s="2">
        <v>1.083775875149019E-4</v>
      </c>
      <c r="I556" s="4">
        <v>1.6653345369377351E-16</v>
      </c>
      <c r="J556" s="4">
        <v>-0.14026079279985501</v>
      </c>
      <c r="K556" s="5">
        <v>2</v>
      </c>
      <c r="L556" s="5">
        <v>0</v>
      </c>
      <c r="M556" s="5">
        <v>0</v>
      </c>
    </row>
    <row r="557" spans="1:13" hidden="1" x14ac:dyDescent="0.25">
      <c r="A557" t="s">
        <v>568</v>
      </c>
      <c r="B557" s="1">
        <v>0.13411934067256781</v>
      </c>
      <c r="C557" s="2">
        <v>3.8215332645735101E-5</v>
      </c>
      <c r="D557" s="2"/>
      <c r="E557" s="2">
        <v>0.1396590783616152</v>
      </c>
      <c r="F557" s="3">
        <v>102.66814313809461</v>
      </c>
      <c r="G557" s="3">
        <v>4</v>
      </c>
      <c r="H557" s="2">
        <v>2.1675517502980381E-4</v>
      </c>
      <c r="I557" s="4">
        <v>2.775557561562891E-17</v>
      </c>
      <c r="J557" s="4">
        <v>0.13965907836161509</v>
      </c>
      <c r="K557" s="5">
        <v>4</v>
      </c>
      <c r="L557" s="5">
        <v>0</v>
      </c>
      <c r="M557" s="5">
        <v>0</v>
      </c>
    </row>
    <row r="558" spans="1:13" hidden="1" x14ac:dyDescent="0.25">
      <c r="A558" t="s">
        <v>569</v>
      </c>
      <c r="B558" s="1">
        <v>0.13408803167579311</v>
      </c>
      <c r="C558" s="2">
        <v>3.8206411607795692E-5</v>
      </c>
      <c r="D558" s="2"/>
      <c r="E558" s="2">
        <v>0.32387425032750411</v>
      </c>
      <c r="F558" s="3">
        <v>119.2634829223326</v>
      </c>
      <c r="G558" s="3">
        <v>2</v>
      </c>
      <c r="H558" s="2">
        <v>1.083775875149019E-4</v>
      </c>
      <c r="I558" s="4">
        <v>1.6653345369377351E-16</v>
      </c>
      <c r="J558" s="4">
        <v>0.32387425032750389</v>
      </c>
      <c r="K558" s="5">
        <v>2</v>
      </c>
      <c r="L558" s="5">
        <v>0</v>
      </c>
      <c r="M558" s="5">
        <v>2</v>
      </c>
    </row>
    <row r="559" spans="1:13" hidden="1" x14ac:dyDescent="0.25">
      <c r="A559" t="s">
        <v>570</v>
      </c>
      <c r="B559" s="1">
        <v>0.13373048070938259</v>
      </c>
      <c r="C559" s="2">
        <v>3.8104532721047037E-5</v>
      </c>
      <c r="D559" s="2"/>
      <c r="E559" s="2">
        <v>0.70203384166803851</v>
      </c>
      <c r="F559" s="3">
        <v>153.330638433969</v>
      </c>
      <c r="G559" s="3">
        <v>1</v>
      </c>
      <c r="H559" s="2">
        <v>5.4188793757450959E-5</v>
      </c>
      <c r="I559" s="4">
        <v>1.110223024625157E-16</v>
      </c>
      <c r="J559" s="4">
        <v>0.70203384166803839</v>
      </c>
      <c r="K559" s="5">
        <v>1</v>
      </c>
      <c r="L559" s="5">
        <v>0</v>
      </c>
      <c r="M559" s="5">
        <v>0</v>
      </c>
    </row>
    <row r="560" spans="1:13" hidden="1" x14ac:dyDescent="0.25">
      <c r="A560" t="s">
        <v>571</v>
      </c>
      <c r="B560" s="1">
        <v>0.1333766041085318</v>
      </c>
      <c r="C560" s="2">
        <v>3.8003700790698748E-5</v>
      </c>
      <c r="D560" s="2"/>
      <c r="E560" s="2">
        <v>0.37771111557230652</v>
      </c>
      <c r="F560" s="3">
        <v>124.11346928404861</v>
      </c>
      <c r="G560" s="3">
        <v>1</v>
      </c>
      <c r="H560" s="2">
        <v>5.4188793757450959E-5</v>
      </c>
      <c r="I560" s="4">
        <v>-5.5511151231257827E-17</v>
      </c>
      <c r="J560" s="4">
        <v>0.37771111557230658</v>
      </c>
      <c r="K560" s="5">
        <v>1</v>
      </c>
      <c r="L560" s="5">
        <v>0</v>
      </c>
      <c r="M560" s="5">
        <v>0</v>
      </c>
    </row>
    <row r="561" spans="1:13" hidden="1" x14ac:dyDescent="0.25">
      <c r="A561" t="s">
        <v>572</v>
      </c>
      <c r="B561" s="1">
        <v>0.13298397909620119</v>
      </c>
      <c r="C561" s="2">
        <v>3.789182807065698E-5</v>
      </c>
      <c r="D561" s="2"/>
      <c r="E561" s="2">
        <v>3.6518173199340032E-2</v>
      </c>
      <c r="F561" s="3">
        <v>93.376517760252298</v>
      </c>
      <c r="G561" s="3">
        <v>3</v>
      </c>
      <c r="H561" s="2">
        <v>1.6256638127235291E-4</v>
      </c>
      <c r="I561" s="4">
        <v>6.9388939039072284E-18</v>
      </c>
      <c r="J561" s="4">
        <v>3.6518173199340018E-2</v>
      </c>
      <c r="K561" s="5">
        <v>3</v>
      </c>
      <c r="L561" s="5">
        <v>0</v>
      </c>
      <c r="M561" s="5">
        <v>0</v>
      </c>
    </row>
    <row r="562" spans="1:13" hidden="1" x14ac:dyDescent="0.25">
      <c r="A562" t="s">
        <v>573</v>
      </c>
      <c r="B562" s="1">
        <v>0.13220666355875979</v>
      </c>
      <c r="C562" s="2">
        <v>3.7670343445955883E-5</v>
      </c>
      <c r="D562" s="2"/>
      <c r="E562" s="2" t="s">
        <v>303</v>
      </c>
      <c r="F562" s="3" t="s">
        <v>303</v>
      </c>
      <c r="G562" s="3">
        <v>1</v>
      </c>
      <c r="H562" s="2">
        <v>5.4188793757450959E-5</v>
      </c>
      <c r="I562" s="4" t="s">
        <v>303</v>
      </c>
      <c r="J562" s="4">
        <v>0</v>
      </c>
      <c r="K562" s="5">
        <v>1</v>
      </c>
      <c r="L562" s="5">
        <v>0</v>
      </c>
      <c r="M562" s="5">
        <v>0</v>
      </c>
    </row>
    <row r="563" spans="1:13" hidden="1" x14ac:dyDescent="0.25">
      <c r="A563" t="s">
        <v>574</v>
      </c>
      <c r="B563" s="1">
        <v>0.1320667552294503</v>
      </c>
      <c r="C563" s="2">
        <v>3.7630478626179262E-5</v>
      </c>
      <c r="D563" s="2"/>
      <c r="E563" s="2">
        <v>0.2976629699188893</v>
      </c>
      <c r="F563" s="3">
        <v>116.90219476176</v>
      </c>
      <c r="G563" s="3">
        <v>1</v>
      </c>
      <c r="H563" s="2">
        <v>5.4188793757450959E-5</v>
      </c>
      <c r="I563" s="4">
        <v>-5.5511151231257827E-17</v>
      </c>
      <c r="J563" s="4">
        <v>0.29766296991888941</v>
      </c>
      <c r="K563" s="5">
        <v>1</v>
      </c>
      <c r="L563" s="5">
        <v>0</v>
      </c>
      <c r="M563" s="5">
        <v>0</v>
      </c>
    </row>
    <row r="564" spans="1:13" hidden="1" x14ac:dyDescent="0.25">
      <c r="A564" t="s">
        <v>575</v>
      </c>
      <c r="B564" s="1">
        <v>0.1316780113995977</v>
      </c>
      <c r="C564" s="2">
        <v>3.7519711791975517E-5</v>
      </c>
      <c r="D564" s="2"/>
      <c r="E564" s="2">
        <v>0.24527818040198829</v>
      </c>
      <c r="F564" s="3">
        <v>112.18302113300081</v>
      </c>
      <c r="G564" s="3">
        <v>1</v>
      </c>
      <c r="H564" s="2">
        <v>5.4188793757450959E-5</v>
      </c>
      <c r="I564" s="4">
        <v>-8.3266726846886741E-17</v>
      </c>
      <c r="J564" s="4">
        <v>0.2452781804019884</v>
      </c>
      <c r="K564" s="5">
        <v>1</v>
      </c>
      <c r="L564" s="5">
        <v>0</v>
      </c>
      <c r="M564" s="5">
        <v>1</v>
      </c>
    </row>
    <row r="565" spans="1:13" hidden="1" x14ac:dyDescent="0.25">
      <c r="A565" t="s">
        <v>576</v>
      </c>
      <c r="B565" s="1">
        <v>0.1314730306431717</v>
      </c>
      <c r="C565" s="2">
        <v>3.7461305541590522E-5</v>
      </c>
      <c r="D565" s="2"/>
      <c r="E565" s="2">
        <v>0.38495113064374409</v>
      </c>
      <c r="F565" s="3">
        <v>124.7656984618699</v>
      </c>
      <c r="G565" s="3">
        <v>1</v>
      </c>
      <c r="H565" s="2">
        <v>5.4188793757450959E-5</v>
      </c>
      <c r="I565" s="4">
        <v>-5.5511151231257827E-17</v>
      </c>
      <c r="J565" s="4">
        <v>0.38495113064374409</v>
      </c>
      <c r="K565" s="5">
        <v>1</v>
      </c>
      <c r="L565" s="5">
        <v>0</v>
      </c>
      <c r="M565" s="5">
        <v>0</v>
      </c>
    </row>
    <row r="566" spans="1:13" hidden="1" x14ac:dyDescent="0.25">
      <c r="A566" t="s">
        <v>577</v>
      </c>
      <c r="B566" s="1">
        <v>0.131308341881407</v>
      </c>
      <c r="C566" s="2">
        <v>3.7414379902213723E-5</v>
      </c>
      <c r="D566" s="2"/>
      <c r="E566" s="2">
        <v>-6.56556738675802E-2</v>
      </c>
      <c r="F566" s="3">
        <v>84.172011469900227</v>
      </c>
      <c r="G566" s="3">
        <v>4</v>
      </c>
      <c r="H566" s="2">
        <v>2.1675517502980381E-4</v>
      </c>
      <c r="I566" s="4">
        <v>-1.6653345369377351E-16</v>
      </c>
      <c r="J566" s="4">
        <v>-6.5655673867580033E-2</v>
      </c>
      <c r="K566" s="5">
        <v>2</v>
      </c>
      <c r="L566" s="5">
        <v>0</v>
      </c>
      <c r="M566" s="5">
        <v>0</v>
      </c>
    </row>
    <row r="567" spans="1:13" hidden="1" x14ac:dyDescent="0.25">
      <c r="A567" t="s">
        <v>578</v>
      </c>
      <c r="B567" s="1">
        <v>0.13105714957379649</v>
      </c>
      <c r="C567" s="2">
        <v>3.7342806350291642E-5</v>
      </c>
      <c r="D567" s="2"/>
      <c r="E567" s="2">
        <v>-0.39883192241863319</v>
      </c>
      <c r="F567" s="3">
        <v>54.157257561539673</v>
      </c>
      <c r="G567" s="3">
        <v>4</v>
      </c>
      <c r="H567" s="2">
        <v>2.1675517502980381E-4</v>
      </c>
      <c r="I567" s="4">
        <v>0</v>
      </c>
      <c r="J567" s="4">
        <v>-0.39883192241863319</v>
      </c>
      <c r="K567" s="5">
        <v>4</v>
      </c>
      <c r="L567" s="5">
        <v>0</v>
      </c>
      <c r="M567" s="5">
        <v>0</v>
      </c>
    </row>
    <row r="568" spans="1:13" hidden="1" x14ac:dyDescent="0.25">
      <c r="A568" t="s">
        <v>579</v>
      </c>
      <c r="B568" s="1">
        <v>0.1308716414025686</v>
      </c>
      <c r="C568" s="2">
        <v>3.7289948526532392E-5</v>
      </c>
      <c r="D568" s="2"/>
      <c r="E568" s="2">
        <v>0.73967799967457992</v>
      </c>
      <c r="F568" s="3">
        <v>156.72187698583909</v>
      </c>
      <c r="G568" s="3">
        <v>1</v>
      </c>
      <c r="H568" s="2">
        <v>5.4188793757450959E-5</v>
      </c>
      <c r="I568" s="4">
        <v>-3.3306690738754701E-16</v>
      </c>
      <c r="J568" s="4">
        <v>0.73967799967458026</v>
      </c>
      <c r="K568" s="5">
        <v>1</v>
      </c>
      <c r="L568" s="5">
        <v>0</v>
      </c>
      <c r="M568" s="5">
        <v>0</v>
      </c>
    </row>
    <row r="569" spans="1:13" hidden="1" x14ac:dyDescent="0.25">
      <c r="A569" t="s">
        <v>580</v>
      </c>
      <c r="B569" s="1">
        <v>0.13078734120380911</v>
      </c>
      <c r="C569" s="2">
        <v>3.7265928425318487E-5</v>
      </c>
      <c r="D569" s="2"/>
      <c r="E569" s="2">
        <v>-0.60133202985941647</v>
      </c>
      <c r="F569" s="3">
        <v>35.914687997580053</v>
      </c>
      <c r="G569" s="3">
        <v>8</v>
      </c>
      <c r="H569" s="2">
        <v>4.3351035005960773E-4</v>
      </c>
      <c r="I569" s="4">
        <v>-2.22013673591549E-2</v>
      </c>
      <c r="J569" s="4">
        <v>-0.57913066250026168</v>
      </c>
      <c r="K569" s="5">
        <v>8</v>
      </c>
      <c r="L569" s="5">
        <v>1</v>
      </c>
      <c r="M569" s="5">
        <v>1</v>
      </c>
    </row>
    <row r="570" spans="1:13" hidden="1" x14ac:dyDescent="0.25">
      <c r="A570" t="s">
        <v>581</v>
      </c>
      <c r="B570" s="1">
        <v>0.13033950289974089</v>
      </c>
      <c r="C570" s="2">
        <v>3.7138323490223787E-5</v>
      </c>
      <c r="D570" s="2"/>
      <c r="E570" s="2">
        <v>1.5870769150647821</v>
      </c>
      <c r="F570" s="3">
        <v>233.0612619757965</v>
      </c>
      <c r="G570" s="3">
        <v>1</v>
      </c>
      <c r="H570" s="2">
        <v>5.4188793757450959E-5</v>
      </c>
      <c r="I570" s="4">
        <v>-2.2204460492503131E-16</v>
      </c>
      <c r="J570" s="4">
        <v>1.5870769150647821</v>
      </c>
      <c r="K570" s="5">
        <v>1</v>
      </c>
      <c r="L570" s="5">
        <v>0</v>
      </c>
      <c r="M570" s="5">
        <v>0</v>
      </c>
    </row>
    <row r="571" spans="1:13" hidden="1" x14ac:dyDescent="0.25">
      <c r="A571" t="s">
        <v>582</v>
      </c>
      <c r="B571" s="1">
        <v>0.12960017700168289</v>
      </c>
      <c r="C571" s="2">
        <v>3.6927663454272173E-5</v>
      </c>
      <c r="D571" s="2"/>
      <c r="E571" s="2">
        <v>0.17338965773834941</v>
      </c>
      <c r="F571" s="3">
        <v>105.70682024542739</v>
      </c>
      <c r="G571" s="3">
        <v>1</v>
      </c>
      <c r="H571" s="2">
        <v>5.4188793757450959E-5</v>
      </c>
      <c r="I571" s="4">
        <v>-1.110223024625157E-16</v>
      </c>
      <c r="J571" s="4">
        <v>0.1733896577383495</v>
      </c>
      <c r="K571" s="5">
        <v>1</v>
      </c>
      <c r="L571" s="5">
        <v>0</v>
      </c>
      <c r="M571" s="5">
        <v>0</v>
      </c>
    </row>
    <row r="572" spans="1:13" hidden="1" x14ac:dyDescent="0.25">
      <c r="A572" t="s">
        <v>583</v>
      </c>
      <c r="B572" s="1">
        <v>0.129507954258368</v>
      </c>
      <c r="C572" s="2">
        <v>3.6901385940562289E-5</v>
      </c>
      <c r="D572" s="2"/>
      <c r="E572" s="2">
        <v>3.8621013574335752</v>
      </c>
      <c r="F572" s="3">
        <v>438.01074162857941</v>
      </c>
      <c r="G572" s="3">
        <v>1</v>
      </c>
      <c r="H572" s="2">
        <v>5.4188793757450959E-5</v>
      </c>
      <c r="I572" s="4">
        <v>0</v>
      </c>
      <c r="J572" s="4">
        <v>3.8621013574335752</v>
      </c>
      <c r="K572" s="5">
        <v>1</v>
      </c>
      <c r="L572" s="5">
        <v>0</v>
      </c>
      <c r="M572" s="5">
        <v>0</v>
      </c>
    </row>
    <row r="573" spans="1:13" hidden="1" x14ac:dyDescent="0.25">
      <c r="A573" t="s">
        <v>584</v>
      </c>
      <c r="B573" s="1">
        <v>0.12911040055021691</v>
      </c>
      <c r="C573" s="2">
        <v>3.6788108861169022E-5</v>
      </c>
      <c r="D573" s="2"/>
      <c r="E573" s="2" t="s">
        <v>303</v>
      </c>
      <c r="F573" s="3" t="s">
        <v>303</v>
      </c>
      <c r="G573" s="3">
        <v>1</v>
      </c>
      <c r="H573" s="2">
        <v>5.4188793757450959E-5</v>
      </c>
      <c r="I573" s="4" t="s">
        <v>303</v>
      </c>
      <c r="J573" s="4">
        <v>0</v>
      </c>
      <c r="K573" s="5">
        <v>1</v>
      </c>
      <c r="L573" s="5">
        <v>0</v>
      </c>
      <c r="M573" s="5">
        <v>0</v>
      </c>
    </row>
    <row r="574" spans="1:13" hidden="1" x14ac:dyDescent="0.25">
      <c r="A574" t="s">
        <v>585</v>
      </c>
      <c r="B574" s="1">
        <v>0.12896740544638111</v>
      </c>
      <c r="C574" s="2">
        <v>3.6747364510411003E-5</v>
      </c>
      <c r="D574" s="2"/>
      <c r="E574" s="2">
        <v>8.5644724405124606E-2</v>
      </c>
      <c r="F574" s="3">
        <v>97.802167401307543</v>
      </c>
      <c r="G574" s="3">
        <v>3</v>
      </c>
      <c r="H574" s="2">
        <v>1.6256638127235291E-4</v>
      </c>
      <c r="I574" s="4">
        <v>3.3306690738754701E-16</v>
      </c>
      <c r="J574" s="4">
        <v>8.5644724405124273E-2</v>
      </c>
      <c r="K574" s="5">
        <v>3</v>
      </c>
      <c r="L574" s="5">
        <v>0</v>
      </c>
      <c r="M574" s="5">
        <v>0</v>
      </c>
    </row>
    <row r="575" spans="1:13" hidden="1" x14ac:dyDescent="0.25">
      <c r="A575" t="s">
        <v>586</v>
      </c>
      <c r="B575" s="1">
        <v>0.1286640387916137</v>
      </c>
      <c r="C575" s="2">
        <v>3.6660924645978163E-5</v>
      </c>
      <c r="D575" s="2"/>
      <c r="E575" s="2">
        <v>0.6230887105354187</v>
      </c>
      <c r="F575" s="3">
        <v>146.21873086698719</v>
      </c>
      <c r="G575" s="3">
        <v>1</v>
      </c>
      <c r="H575" s="2">
        <v>5.4188793757450959E-5</v>
      </c>
      <c r="I575" s="4">
        <v>0</v>
      </c>
      <c r="J575" s="4">
        <v>0.6230887105354187</v>
      </c>
      <c r="K575" s="5">
        <v>1</v>
      </c>
      <c r="L575" s="5">
        <v>0</v>
      </c>
      <c r="M575" s="5">
        <v>1</v>
      </c>
    </row>
    <row r="576" spans="1:13" hidden="1" x14ac:dyDescent="0.25">
      <c r="A576" t="s">
        <v>587</v>
      </c>
      <c r="B576" s="1">
        <v>0.12859255678679821</v>
      </c>
      <c r="C576" s="2">
        <v>3.6640556900517212E-5</v>
      </c>
      <c r="D576" s="2"/>
      <c r="E576" s="2">
        <v>-6.2628004041162311E-2</v>
      </c>
      <c r="F576" s="3">
        <v>84.444764300124191</v>
      </c>
      <c r="G576" s="3">
        <v>3</v>
      </c>
      <c r="H576" s="2">
        <v>1.6256638127235291E-4</v>
      </c>
      <c r="I576" s="4">
        <v>-2.2204460492503131E-16</v>
      </c>
      <c r="J576" s="4">
        <v>-6.2628004041162089E-2</v>
      </c>
      <c r="K576" s="5">
        <v>3</v>
      </c>
      <c r="L576" s="5">
        <v>0</v>
      </c>
      <c r="M576" s="5">
        <v>0</v>
      </c>
    </row>
    <row r="577" spans="1:13" hidden="1" x14ac:dyDescent="0.25">
      <c r="A577" t="s">
        <v>588</v>
      </c>
      <c r="B577" s="1">
        <v>0.1285659311856385</v>
      </c>
      <c r="C577" s="2">
        <v>3.6632970327245173E-5</v>
      </c>
      <c r="D577" s="2"/>
      <c r="E577" s="2">
        <v>-0.46970036188127368</v>
      </c>
      <c r="F577" s="3">
        <v>47.772952619061847</v>
      </c>
      <c r="G577" s="3">
        <v>2</v>
      </c>
      <c r="H577" s="2">
        <v>1.083775875149019E-4</v>
      </c>
      <c r="I577" s="4">
        <v>-1.6653345369377351E-16</v>
      </c>
      <c r="J577" s="4">
        <v>-0.46970036188127351</v>
      </c>
      <c r="K577" s="5">
        <v>2</v>
      </c>
      <c r="L577" s="5">
        <v>0</v>
      </c>
      <c r="M577" s="5">
        <v>0</v>
      </c>
    </row>
    <row r="578" spans="1:13" hidden="1" x14ac:dyDescent="0.25">
      <c r="A578" t="s">
        <v>589</v>
      </c>
      <c r="B578" s="1">
        <v>0.12825355142130321</v>
      </c>
      <c r="C578" s="2">
        <v>3.6543962309862993E-5</v>
      </c>
      <c r="D578" s="2"/>
      <c r="E578" s="2">
        <v>0.273959463918654</v>
      </c>
      <c r="F578" s="3">
        <v>114.7668237608064</v>
      </c>
      <c r="G578" s="3">
        <v>1</v>
      </c>
      <c r="H578" s="2">
        <v>5.4188793757450959E-5</v>
      </c>
      <c r="I578" s="4">
        <v>-0.55821586005210644</v>
      </c>
      <c r="J578" s="4">
        <v>0.83217532397076044</v>
      </c>
      <c r="K578" s="5">
        <v>1</v>
      </c>
      <c r="L578" s="5">
        <v>0</v>
      </c>
      <c r="M578" s="5">
        <v>0</v>
      </c>
    </row>
    <row r="579" spans="1:13" hidden="1" x14ac:dyDescent="0.25">
      <c r="A579" t="s">
        <v>590</v>
      </c>
      <c r="B579" s="1">
        <v>0.1280681149976218</v>
      </c>
      <c r="C579" s="2">
        <v>3.6491124929511397E-5</v>
      </c>
      <c r="D579" s="2"/>
      <c r="E579" s="2">
        <v>1.1710104949779301</v>
      </c>
      <c r="F579" s="3">
        <v>195.57920476809051</v>
      </c>
      <c r="G579" s="3">
        <v>2</v>
      </c>
      <c r="H579" s="2">
        <v>1.083775875149019E-4</v>
      </c>
      <c r="I579" s="4">
        <v>-2.2204460492503131E-16</v>
      </c>
      <c r="J579" s="4">
        <v>1.1710104949779301</v>
      </c>
      <c r="K579" s="5">
        <v>2</v>
      </c>
      <c r="L579" s="5">
        <v>0</v>
      </c>
      <c r="M579" s="5">
        <v>0</v>
      </c>
    </row>
    <row r="580" spans="1:13" hidden="1" x14ac:dyDescent="0.25">
      <c r="A580" t="s">
        <v>591</v>
      </c>
      <c r="B580" s="1">
        <v>0.12754332688265341</v>
      </c>
      <c r="C580" s="2">
        <v>3.6341594278067142E-5</v>
      </c>
      <c r="D580" s="2"/>
      <c r="E580" s="2">
        <v>-0.74978451589150596</v>
      </c>
      <c r="F580" s="3">
        <v>22.541091125908881</v>
      </c>
      <c r="G580" s="3">
        <v>6</v>
      </c>
      <c r="H580" s="2">
        <v>3.2513276254470582E-4</v>
      </c>
      <c r="I580" s="4">
        <v>-0.18742926602729709</v>
      </c>
      <c r="J580" s="4">
        <v>-0.56235524986420882</v>
      </c>
      <c r="K580" s="5">
        <v>2</v>
      </c>
      <c r="L580" s="5">
        <v>0</v>
      </c>
      <c r="M580" s="5">
        <v>5</v>
      </c>
    </row>
    <row r="581" spans="1:13" hidden="1" x14ac:dyDescent="0.25">
      <c r="A581" t="s">
        <v>592</v>
      </c>
      <c r="B581" s="1">
        <v>0.12735793210828181</v>
      </c>
      <c r="C581" s="2">
        <v>3.6288768765073521E-5</v>
      </c>
      <c r="D581" s="2"/>
      <c r="E581" s="2">
        <v>6.0901410678689601E-2</v>
      </c>
      <c r="F581" s="3">
        <v>95.573123537568534</v>
      </c>
      <c r="G581" s="3">
        <v>1</v>
      </c>
      <c r="H581" s="2">
        <v>5.4188793757450959E-5</v>
      </c>
      <c r="I581" s="4">
        <v>-2.0816681711721691E-17</v>
      </c>
      <c r="J581" s="4">
        <v>6.0901410678689608E-2</v>
      </c>
      <c r="K581" s="5">
        <v>1</v>
      </c>
      <c r="L581" s="5">
        <v>0</v>
      </c>
      <c r="M581" s="5">
        <v>1</v>
      </c>
    </row>
    <row r="582" spans="1:13" hidden="1" x14ac:dyDescent="0.25">
      <c r="A582" t="s">
        <v>593</v>
      </c>
      <c r="B582" s="1">
        <v>0.1273267723630728</v>
      </c>
      <c r="C582" s="2">
        <v>3.6279890254171627E-5</v>
      </c>
      <c r="D582" s="2"/>
      <c r="E582" s="2">
        <v>0.1210299690405761</v>
      </c>
      <c r="F582" s="3">
        <v>100.9899078670192</v>
      </c>
      <c r="G582" s="3">
        <v>4</v>
      </c>
      <c r="H582" s="2">
        <v>2.1675517502980381E-4</v>
      </c>
      <c r="I582" s="4">
        <v>-0.11332423248138181</v>
      </c>
      <c r="J582" s="4">
        <v>0.23435420152195779</v>
      </c>
      <c r="K582" s="5">
        <v>3</v>
      </c>
      <c r="L582" s="5">
        <v>0</v>
      </c>
      <c r="M582" s="5">
        <v>0</v>
      </c>
    </row>
    <row r="583" spans="1:13" hidden="1" x14ac:dyDescent="0.25">
      <c r="A583" t="s">
        <v>594</v>
      </c>
      <c r="B583" s="1">
        <v>0.12676108392821719</v>
      </c>
      <c r="C583" s="2">
        <v>3.6118705658397108E-5</v>
      </c>
      <c r="D583" s="2"/>
      <c r="E583" s="2">
        <v>-0.42175110178667652</v>
      </c>
      <c r="F583" s="3">
        <v>52.092543970744821</v>
      </c>
      <c r="G583" s="3">
        <v>3</v>
      </c>
      <c r="H583" s="2">
        <v>1.6256638127235291E-4</v>
      </c>
      <c r="I583" s="4">
        <v>-1.110223024625157E-16</v>
      </c>
      <c r="J583" s="4">
        <v>-0.42175110178667641</v>
      </c>
      <c r="K583" s="5">
        <v>3</v>
      </c>
      <c r="L583" s="5">
        <v>0</v>
      </c>
      <c r="M583" s="5">
        <v>0</v>
      </c>
    </row>
    <row r="584" spans="1:13" hidden="1" x14ac:dyDescent="0.25">
      <c r="A584" t="s">
        <v>595</v>
      </c>
      <c r="B584" s="1">
        <v>0.12663479819537729</v>
      </c>
      <c r="C584" s="2">
        <v>3.6082722397036848E-5</v>
      </c>
      <c r="D584" s="2"/>
      <c r="E584" s="2">
        <v>4.5765934519072076</v>
      </c>
      <c r="F584" s="3">
        <v>502.37698765709553</v>
      </c>
      <c r="G584" s="3">
        <v>1</v>
      </c>
      <c r="H584" s="2">
        <v>5.4188793757450959E-5</v>
      </c>
      <c r="I584" s="4">
        <v>0</v>
      </c>
      <c r="J584" s="4">
        <v>4.5765934519072076</v>
      </c>
      <c r="K584" s="5">
        <v>1</v>
      </c>
      <c r="L584" s="5">
        <v>0</v>
      </c>
      <c r="M584" s="5">
        <v>0</v>
      </c>
    </row>
    <row r="585" spans="1:13" hidden="1" x14ac:dyDescent="0.25">
      <c r="A585" t="s">
        <v>596</v>
      </c>
      <c r="B585" s="1">
        <v>0.12647510385702901</v>
      </c>
      <c r="C585" s="2">
        <v>3.6037219845122888E-5</v>
      </c>
      <c r="D585" s="2"/>
      <c r="E585" s="2">
        <v>-0.21927989652285951</v>
      </c>
      <c r="F585" s="3">
        <v>70.332509832511292</v>
      </c>
      <c r="G585" s="3">
        <v>2</v>
      </c>
      <c r="H585" s="2">
        <v>1.083775875149019E-4</v>
      </c>
      <c r="I585" s="4">
        <v>1.110223024625157E-16</v>
      </c>
      <c r="J585" s="4">
        <v>-0.21927989652285959</v>
      </c>
      <c r="K585" s="5">
        <v>2</v>
      </c>
      <c r="L585" s="5">
        <v>0</v>
      </c>
      <c r="M585" s="5">
        <v>2</v>
      </c>
    </row>
    <row r="586" spans="1:13" hidden="1" x14ac:dyDescent="0.25">
      <c r="A586" t="s">
        <v>597</v>
      </c>
      <c r="B586" s="1">
        <v>0.12631282401694291</v>
      </c>
      <c r="C586" s="2">
        <v>3.5990980592532703E-5</v>
      </c>
      <c r="D586" s="2"/>
      <c r="E586" s="2">
        <v>0.36557335542293012</v>
      </c>
      <c r="F586" s="3">
        <v>123.02001833889101</v>
      </c>
      <c r="G586" s="3">
        <v>3</v>
      </c>
      <c r="H586" s="2">
        <v>1.6256638127235291E-4</v>
      </c>
      <c r="I586" s="4">
        <v>-1.110223024625157E-16</v>
      </c>
      <c r="J586" s="4">
        <v>0.36557335542293018</v>
      </c>
      <c r="K586" s="5">
        <v>3</v>
      </c>
      <c r="L586" s="5">
        <v>0</v>
      </c>
      <c r="M586" s="5">
        <v>0</v>
      </c>
    </row>
    <row r="587" spans="1:13" hidden="1" x14ac:dyDescent="0.25">
      <c r="A587" t="s">
        <v>598</v>
      </c>
      <c r="B587" s="1">
        <v>0.12625081118945361</v>
      </c>
      <c r="C587" s="2">
        <v>3.5973310949818082E-5</v>
      </c>
      <c r="D587" s="2"/>
      <c r="E587" s="2">
        <v>0.92850492586438405</v>
      </c>
      <c r="F587" s="3">
        <v>173.7326745607169</v>
      </c>
      <c r="G587" s="3">
        <v>1</v>
      </c>
      <c r="H587" s="2">
        <v>5.4188793757450959E-5</v>
      </c>
      <c r="I587" s="4">
        <v>-1.110223024625157E-16</v>
      </c>
      <c r="J587" s="4">
        <v>0.92850492586438416</v>
      </c>
      <c r="K587" s="5">
        <v>1</v>
      </c>
      <c r="L587" s="5">
        <v>0</v>
      </c>
      <c r="M587" s="5">
        <v>0</v>
      </c>
    </row>
    <row r="588" spans="1:13" hidden="1" x14ac:dyDescent="0.25">
      <c r="A588" t="s">
        <v>599</v>
      </c>
      <c r="B588" s="1">
        <v>0.12615327314187991</v>
      </c>
      <c r="C588" s="2">
        <v>3.5945518918370922E-5</v>
      </c>
      <c r="D588" s="2"/>
      <c r="E588" s="2">
        <v>-0.52678129740582036</v>
      </c>
      <c r="F588" s="3">
        <v>42.630718621053028</v>
      </c>
      <c r="G588" s="3">
        <v>1</v>
      </c>
      <c r="H588" s="2">
        <v>5.4188793757450959E-5</v>
      </c>
      <c r="I588" s="4">
        <v>0</v>
      </c>
      <c r="J588" s="4">
        <v>-0.52678129740582036</v>
      </c>
      <c r="K588" s="5">
        <v>1</v>
      </c>
      <c r="L588" s="5">
        <v>0</v>
      </c>
      <c r="M588" s="5">
        <v>0</v>
      </c>
    </row>
    <row r="589" spans="1:13" hidden="1" x14ac:dyDescent="0.25">
      <c r="A589" t="s">
        <v>600</v>
      </c>
      <c r="B589" s="1">
        <v>0.1258552004642674</v>
      </c>
      <c r="C589" s="2">
        <v>3.586058749483092E-5</v>
      </c>
      <c r="D589" s="2"/>
      <c r="E589" s="2">
        <v>0.30600988978914462</v>
      </c>
      <c r="F589" s="3">
        <v>117.6541413572572</v>
      </c>
      <c r="G589" s="3">
        <v>3</v>
      </c>
      <c r="H589" s="2">
        <v>1.6256638127235291E-4</v>
      </c>
      <c r="I589" s="4">
        <v>-1.110223024625157E-16</v>
      </c>
      <c r="J589" s="4">
        <v>0.30600988978914467</v>
      </c>
      <c r="K589" s="5">
        <v>3</v>
      </c>
      <c r="L589" s="5">
        <v>0</v>
      </c>
      <c r="M589" s="5">
        <v>3</v>
      </c>
    </row>
    <row r="590" spans="1:13" hidden="1" x14ac:dyDescent="0.25">
      <c r="A590" t="s">
        <v>601</v>
      </c>
      <c r="B590" s="1">
        <v>0.1257371494619533</v>
      </c>
      <c r="C590" s="2">
        <v>3.5826950598765257E-5</v>
      </c>
      <c r="D590" s="2"/>
      <c r="E590" s="2">
        <v>0.58981891596947755</v>
      </c>
      <c r="F590" s="3">
        <v>143.22156434980249</v>
      </c>
      <c r="G590" s="3">
        <v>1</v>
      </c>
      <c r="H590" s="2">
        <v>5.4188793757450959E-5</v>
      </c>
      <c r="I590" s="4">
        <v>1.110223024625157E-16</v>
      </c>
      <c r="J590" s="4">
        <v>0.58981891596947755</v>
      </c>
      <c r="K590" s="5">
        <v>1</v>
      </c>
      <c r="L590" s="5">
        <v>0</v>
      </c>
      <c r="M590" s="5">
        <v>1</v>
      </c>
    </row>
    <row r="591" spans="1:13" hidden="1" x14ac:dyDescent="0.25">
      <c r="A591" t="s">
        <v>602</v>
      </c>
      <c r="B591" s="1">
        <v>0.12517349977049541</v>
      </c>
      <c r="C591" s="2">
        <v>3.5666346912923159E-5</v>
      </c>
      <c r="D591" s="2"/>
      <c r="E591" s="2">
        <v>0.51408820286330426</v>
      </c>
      <c r="F591" s="3">
        <v>136.39923314500729</v>
      </c>
      <c r="G591" s="3">
        <v>2</v>
      </c>
      <c r="H591" s="2">
        <v>1.083775875149019E-4</v>
      </c>
      <c r="I591" s="4">
        <v>-0.28213316793525017</v>
      </c>
      <c r="J591" s="4">
        <v>0.79622137079855448</v>
      </c>
      <c r="K591" s="5">
        <v>2</v>
      </c>
      <c r="L591" s="5">
        <v>0</v>
      </c>
      <c r="M591" s="5">
        <v>0</v>
      </c>
    </row>
    <row r="592" spans="1:13" hidden="1" x14ac:dyDescent="0.25">
      <c r="A592" t="s">
        <v>603</v>
      </c>
      <c r="B592" s="1">
        <v>0.1247320466691661</v>
      </c>
      <c r="C592" s="2">
        <v>3.5540561347394778E-5</v>
      </c>
      <c r="D592" s="2"/>
      <c r="E592" s="2">
        <v>-0.26799671221661708</v>
      </c>
      <c r="F592" s="3">
        <v>65.943771917950642</v>
      </c>
      <c r="G592" s="3">
        <v>4</v>
      </c>
      <c r="H592" s="2">
        <v>2.1675517502980381E-4</v>
      </c>
      <c r="I592" s="4">
        <v>5.5511151231257827E-17</v>
      </c>
      <c r="J592" s="4">
        <v>-0.26799671221661719</v>
      </c>
      <c r="K592" s="5">
        <v>4</v>
      </c>
      <c r="L592" s="5">
        <v>0</v>
      </c>
      <c r="M592" s="5">
        <v>0</v>
      </c>
    </row>
    <row r="593" spans="1:13" hidden="1" x14ac:dyDescent="0.25">
      <c r="A593" t="s">
        <v>604</v>
      </c>
      <c r="B593" s="1">
        <v>0.1247225973356684</v>
      </c>
      <c r="C593" s="2">
        <v>3.5537868898855429E-5</v>
      </c>
      <c r="D593" s="2"/>
      <c r="E593" s="2">
        <v>0.25986474832463191</v>
      </c>
      <c r="F593" s="3">
        <v>113.4970771272973</v>
      </c>
      <c r="G593" s="3">
        <v>2</v>
      </c>
      <c r="H593" s="2">
        <v>1.083775875149019E-4</v>
      </c>
      <c r="I593" s="4">
        <v>-1.110223024625157E-16</v>
      </c>
      <c r="J593" s="4">
        <v>0.25986474832463202</v>
      </c>
      <c r="K593" s="5">
        <v>2</v>
      </c>
      <c r="L593" s="5">
        <v>0</v>
      </c>
      <c r="M593" s="5">
        <v>0</v>
      </c>
    </row>
    <row r="594" spans="1:13" hidden="1" x14ac:dyDescent="0.25">
      <c r="A594" t="s">
        <v>605</v>
      </c>
      <c r="B594" s="1">
        <v>0.1244136998079912</v>
      </c>
      <c r="C594" s="2">
        <v>3.5449853093570129E-5</v>
      </c>
      <c r="D594" s="2"/>
      <c r="E594" s="2">
        <v>0.16292945807347059</v>
      </c>
      <c r="F594" s="3">
        <v>104.76449521433931</v>
      </c>
      <c r="G594" s="3">
        <v>2</v>
      </c>
      <c r="H594" s="2">
        <v>1.083775875149019E-4</v>
      </c>
      <c r="I594" s="4">
        <v>1.110223024625157E-16</v>
      </c>
      <c r="J594" s="4">
        <v>0.16292945807347051</v>
      </c>
      <c r="K594" s="5">
        <v>2</v>
      </c>
      <c r="L594" s="5">
        <v>0</v>
      </c>
      <c r="M594" s="5">
        <v>2</v>
      </c>
    </row>
    <row r="595" spans="1:13" hidden="1" x14ac:dyDescent="0.25">
      <c r="A595" t="s">
        <v>606</v>
      </c>
      <c r="B595" s="1">
        <v>0.1238546318022255</v>
      </c>
      <c r="C595" s="2">
        <v>3.5290554891649457E-5</v>
      </c>
      <c r="D595" s="2"/>
      <c r="E595" s="2">
        <v>-0.72887903946258881</v>
      </c>
      <c r="F595" s="3">
        <v>24.424396832962699</v>
      </c>
      <c r="G595" s="3">
        <v>3</v>
      </c>
      <c r="H595" s="2">
        <v>1.6256638127235291E-4</v>
      </c>
      <c r="I595" s="4">
        <v>-2.2204460492503131E-16</v>
      </c>
      <c r="J595" s="4">
        <v>-0.72887903946258858</v>
      </c>
      <c r="K595" s="5">
        <v>3</v>
      </c>
      <c r="L595" s="5">
        <v>0</v>
      </c>
      <c r="M595" s="5">
        <v>0</v>
      </c>
    </row>
    <row r="596" spans="1:13" hidden="1" x14ac:dyDescent="0.25">
      <c r="A596" t="s">
        <v>607</v>
      </c>
      <c r="B596" s="1">
        <v>0.12334671176396191</v>
      </c>
      <c r="C596" s="2">
        <v>3.5145830550459438E-5</v>
      </c>
      <c r="D596" s="2"/>
      <c r="E596" s="2">
        <v>0.90186623178712444</v>
      </c>
      <c r="F596" s="3">
        <v>171.33288210658421</v>
      </c>
      <c r="G596" s="3">
        <v>1</v>
      </c>
      <c r="H596" s="2">
        <v>5.4188793757450959E-5</v>
      </c>
      <c r="I596" s="4">
        <v>-1.110223024625157E-16</v>
      </c>
      <c r="J596" s="4">
        <v>0.90186623178712466</v>
      </c>
      <c r="K596" s="5">
        <v>1</v>
      </c>
      <c r="L596" s="5">
        <v>0</v>
      </c>
      <c r="M596" s="5">
        <v>0</v>
      </c>
    </row>
    <row r="597" spans="1:13" hidden="1" x14ac:dyDescent="0.25">
      <c r="A597" t="s">
        <v>608</v>
      </c>
      <c r="B597" s="1">
        <v>0.1225273108525444</v>
      </c>
      <c r="C597" s="2">
        <v>3.4912354317702782E-5</v>
      </c>
      <c r="D597" s="2"/>
      <c r="E597" s="2">
        <v>-0.3259524081679599</v>
      </c>
      <c r="F597" s="3">
        <v>60.722733626258702</v>
      </c>
      <c r="G597" s="3">
        <v>2</v>
      </c>
      <c r="H597" s="2">
        <v>1.083775875149019E-4</v>
      </c>
      <c r="I597" s="4">
        <v>0.27813181580967611</v>
      </c>
      <c r="J597" s="4">
        <v>-0.60408422397763595</v>
      </c>
      <c r="K597" s="5">
        <v>2</v>
      </c>
      <c r="L597" s="5">
        <v>0</v>
      </c>
      <c r="M597" s="5">
        <v>0</v>
      </c>
    </row>
    <row r="598" spans="1:13" hidden="1" x14ac:dyDescent="0.25">
      <c r="A598" t="s">
        <v>609</v>
      </c>
      <c r="B598" s="1">
        <v>0.1225051379511298</v>
      </c>
      <c r="C598" s="2">
        <v>3.4906036475704511E-5</v>
      </c>
      <c r="D598" s="2"/>
      <c r="E598" s="2">
        <v>0.22335676081373901</v>
      </c>
      <c r="F598" s="3">
        <v>110.208192443607</v>
      </c>
      <c r="G598" s="3">
        <v>1</v>
      </c>
      <c r="H598" s="2">
        <v>5.4188793757450959E-5</v>
      </c>
      <c r="I598" s="4">
        <v>8.3266726846886741E-17</v>
      </c>
      <c r="J598" s="4">
        <v>0.2233567608137389</v>
      </c>
      <c r="K598" s="5">
        <v>1</v>
      </c>
      <c r="L598" s="5">
        <v>1</v>
      </c>
      <c r="M598" s="5">
        <v>0</v>
      </c>
    </row>
    <row r="599" spans="1:13" hidden="1" x14ac:dyDescent="0.25">
      <c r="A599" t="s">
        <v>610</v>
      </c>
      <c r="B599" s="1">
        <v>0.12246894425065211</v>
      </c>
      <c r="C599" s="2">
        <v>3.489572361332018E-5</v>
      </c>
      <c r="D599" s="2"/>
      <c r="E599" s="2">
        <v>1.6815337362882019</v>
      </c>
      <c r="F599" s="3">
        <v>241.57056675462289</v>
      </c>
      <c r="G599" s="3">
        <v>1</v>
      </c>
      <c r="H599" s="2">
        <v>5.4188793757450959E-5</v>
      </c>
      <c r="I599" s="4">
        <v>2.2204460492503131E-16</v>
      </c>
      <c r="J599" s="4">
        <v>1.681533736288201</v>
      </c>
      <c r="K599" s="5">
        <v>1</v>
      </c>
      <c r="L599" s="5">
        <v>0</v>
      </c>
      <c r="M599" s="5">
        <v>0</v>
      </c>
    </row>
    <row r="600" spans="1:13" hidden="1" x14ac:dyDescent="0.25">
      <c r="A600" t="s">
        <v>611</v>
      </c>
      <c r="B600" s="1">
        <v>0.1222144383181915</v>
      </c>
      <c r="C600" s="2">
        <v>3.482320589275488E-5</v>
      </c>
      <c r="D600" s="2"/>
      <c r="E600" s="2">
        <v>-0.60480222596247368</v>
      </c>
      <c r="F600" s="3">
        <v>35.602069428579469</v>
      </c>
      <c r="G600" s="3">
        <v>6</v>
      </c>
      <c r="H600" s="2">
        <v>3.2513276254470582E-4</v>
      </c>
      <c r="I600" s="4">
        <v>-2.2204460492503131E-16</v>
      </c>
      <c r="J600" s="4">
        <v>-0.60480222596247346</v>
      </c>
      <c r="K600" s="5">
        <v>6</v>
      </c>
      <c r="L600" s="5">
        <v>0</v>
      </c>
      <c r="M600" s="5">
        <v>0</v>
      </c>
    </row>
    <row r="601" spans="1:13" hidden="1" x14ac:dyDescent="0.25">
      <c r="A601" t="s">
        <v>612</v>
      </c>
      <c r="B601" s="1">
        <v>0.12215578525746459</v>
      </c>
      <c r="C601" s="2">
        <v>3.4806493566142423E-5</v>
      </c>
      <c r="D601" s="2"/>
      <c r="E601" s="2">
        <v>0.11914945802967659</v>
      </c>
      <c r="F601" s="3">
        <v>100.8204988066208</v>
      </c>
      <c r="G601" s="3">
        <v>4</v>
      </c>
      <c r="H601" s="2">
        <v>2.1675517502980381E-4</v>
      </c>
      <c r="I601" s="4">
        <v>0.29050470849905402</v>
      </c>
      <c r="J601" s="4">
        <v>-0.17135525046937741</v>
      </c>
      <c r="K601" s="5">
        <v>4</v>
      </c>
      <c r="L601" s="5">
        <v>0</v>
      </c>
      <c r="M601" s="5">
        <v>0</v>
      </c>
    </row>
    <row r="602" spans="1:13" hidden="1" x14ac:dyDescent="0.25">
      <c r="A602" t="s">
        <v>613</v>
      </c>
      <c r="B602" s="1">
        <v>0.1221216268498279</v>
      </c>
      <c r="C602" s="2">
        <v>3.4796760630505091E-5</v>
      </c>
      <c r="D602" s="2"/>
      <c r="E602" s="2">
        <v>-9.0775291095336996E-2</v>
      </c>
      <c r="F602" s="3">
        <v>81.909067659702998</v>
      </c>
      <c r="G602" s="3">
        <v>4</v>
      </c>
      <c r="H602" s="2">
        <v>2.1675517502980381E-4</v>
      </c>
      <c r="I602" s="4">
        <v>1.9428902930940239E-16</v>
      </c>
      <c r="J602" s="4">
        <v>-9.0775291095337191E-2</v>
      </c>
      <c r="K602" s="5">
        <v>4</v>
      </c>
      <c r="L602" s="5">
        <v>0</v>
      </c>
      <c r="M602" s="5">
        <v>0</v>
      </c>
    </row>
    <row r="603" spans="1:13" hidden="1" x14ac:dyDescent="0.25">
      <c r="A603" t="s">
        <v>614</v>
      </c>
      <c r="B603" s="1">
        <v>0.1219653912695229</v>
      </c>
      <c r="C603" s="2">
        <v>3.475224360080217E-5</v>
      </c>
      <c r="D603" s="2"/>
      <c r="E603" s="2">
        <v>-2.1867340781591919E-2</v>
      </c>
      <c r="F603" s="3">
        <v>88.116758574020011</v>
      </c>
      <c r="G603" s="3">
        <v>3</v>
      </c>
      <c r="H603" s="2">
        <v>1.6256638127235291E-4</v>
      </c>
      <c r="I603" s="4">
        <v>1.040834085586084E-16</v>
      </c>
      <c r="J603" s="4">
        <v>-2.1867340781592019E-2</v>
      </c>
      <c r="K603" s="5">
        <v>3</v>
      </c>
      <c r="L603" s="5">
        <v>0</v>
      </c>
      <c r="M603" s="5">
        <v>0</v>
      </c>
    </row>
    <row r="604" spans="1:13" hidden="1" x14ac:dyDescent="0.25">
      <c r="A604" t="s">
        <v>615</v>
      </c>
      <c r="B604" s="1">
        <v>0.1218855719041914</v>
      </c>
      <c r="C604" s="2">
        <v>3.472950024714106E-5</v>
      </c>
      <c r="D604" s="2"/>
      <c r="E604" s="2">
        <v>-0.1165257210103212</v>
      </c>
      <c r="F604" s="3">
        <v>79.589296006429521</v>
      </c>
      <c r="G604" s="3">
        <v>1</v>
      </c>
      <c r="H604" s="2">
        <v>5.4188793757450959E-5</v>
      </c>
      <c r="I604" s="4">
        <v>-1.387778780781446E-17</v>
      </c>
      <c r="J604" s="4">
        <v>-0.1165257210103212</v>
      </c>
      <c r="K604" s="5">
        <v>1</v>
      </c>
      <c r="L604" s="5">
        <v>1</v>
      </c>
      <c r="M604" s="5">
        <v>1</v>
      </c>
    </row>
    <row r="605" spans="1:13" hidden="1" x14ac:dyDescent="0.25">
      <c r="A605" t="s">
        <v>616</v>
      </c>
      <c r="B605" s="1">
        <v>0.1218350270765348</v>
      </c>
      <c r="C605" s="2">
        <v>3.4715098242234567E-5</v>
      </c>
      <c r="D605" s="2"/>
      <c r="E605" s="2">
        <v>0.52322089911243808</v>
      </c>
      <c r="F605" s="3">
        <v>137.22196775358049</v>
      </c>
      <c r="G605" s="3">
        <v>3</v>
      </c>
      <c r="H605" s="2">
        <v>1.6256638127235291E-4</v>
      </c>
      <c r="I605" s="4">
        <v>0.27127533070521709</v>
      </c>
      <c r="J605" s="4">
        <v>0.25194556840722099</v>
      </c>
      <c r="K605" s="5">
        <v>3</v>
      </c>
      <c r="L605" s="5">
        <v>0</v>
      </c>
      <c r="M605" s="5">
        <v>0</v>
      </c>
    </row>
    <row r="606" spans="1:13" hidden="1" x14ac:dyDescent="0.25">
      <c r="A606" t="s">
        <v>617</v>
      </c>
      <c r="B606" s="1">
        <v>0.1217510882272753</v>
      </c>
      <c r="C606" s="2">
        <v>3.4691181102243672E-5</v>
      </c>
      <c r="D606" s="2"/>
      <c r="E606" s="2">
        <v>0.70556214822956131</v>
      </c>
      <c r="F606" s="3">
        <v>153.64849198330779</v>
      </c>
      <c r="G606" s="3">
        <v>2</v>
      </c>
      <c r="H606" s="2">
        <v>1.083775875149019E-4</v>
      </c>
      <c r="I606" s="4">
        <v>2.2204460492503131E-16</v>
      </c>
      <c r="J606" s="4">
        <v>0.70556214822956109</v>
      </c>
      <c r="K606" s="5">
        <v>2</v>
      </c>
      <c r="L606" s="5">
        <v>0</v>
      </c>
      <c r="M606" s="5">
        <v>0</v>
      </c>
    </row>
    <row r="607" spans="1:13" hidden="1" x14ac:dyDescent="0.25">
      <c r="A607" t="s">
        <v>618</v>
      </c>
      <c r="B607" s="1">
        <v>0.121283622338027</v>
      </c>
      <c r="C607" s="2">
        <v>3.4557983575559068E-5</v>
      </c>
      <c r="D607" s="2"/>
      <c r="E607" s="2">
        <v>0.7993032704339188</v>
      </c>
      <c r="F607" s="3">
        <v>162.09332178823379</v>
      </c>
      <c r="G607" s="3">
        <v>2</v>
      </c>
      <c r="H607" s="2">
        <v>1.083775875149019E-4</v>
      </c>
      <c r="I607" s="4">
        <v>-1.110223024625157E-16</v>
      </c>
      <c r="J607" s="4">
        <v>0.79930327043391902</v>
      </c>
      <c r="K607" s="5">
        <v>2</v>
      </c>
      <c r="L607" s="5">
        <v>0</v>
      </c>
      <c r="M607" s="5">
        <v>0</v>
      </c>
    </row>
    <row r="608" spans="1:13" hidden="1" x14ac:dyDescent="0.25">
      <c r="A608" t="s">
        <v>619</v>
      </c>
      <c r="B608" s="1">
        <v>0.1211811995844627</v>
      </c>
      <c r="C608" s="2">
        <v>3.452879971901517E-5</v>
      </c>
      <c r="D608" s="2"/>
      <c r="E608" s="2">
        <v>0.1649502057999577</v>
      </c>
      <c r="F608" s="3">
        <v>104.94653773983489</v>
      </c>
      <c r="G608" s="3">
        <v>2</v>
      </c>
      <c r="H608" s="2">
        <v>1.083775875149019E-4</v>
      </c>
      <c r="I608" s="4">
        <v>1.110223024625157E-16</v>
      </c>
      <c r="J608" s="4">
        <v>0.16495020579995759</v>
      </c>
      <c r="K608" s="5">
        <v>2</v>
      </c>
      <c r="L608" s="5">
        <v>0</v>
      </c>
      <c r="M608" s="5">
        <v>0</v>
      </c>
    </row>
    <row r="609" spans="1:13" hidden="1" x14ac:dyDescent="0.25">
      <c r="A609" t="s">
        <v>620</v>
      </c>
      <c r="B609" s="1">
        <v>0.1209766807186011</v>
      </c>
      <c r="C609" s="2">
        <v>3.4470525077550057E-5</v>
      </c>
      <c r="D609" s="2"/>
      <c r="E609" s="2">
        <v>0.77777328296752368</v>
      </c>
      <c r="F609" s="3">
        <v>160.15375593303179</v>
      </c>
      <c r="G609" s="3">
        <v>1</v>
      </c>
      <c r="H609" s="2">
        <v>5.4188793757450959E-5</v>
      </c>
      <c r="I609" s="4">
        <v>0</v>
      </c>
      <c r="J609" s="4">
        <v>0.77777328296752368</v>
      </c>
      <c r="K609" s="5">
        <v>1</v>
      </c>
      <c r="L609" s="5">
        <v>0</v>
      </c>
      <c r="M609" s="5">
        <v>1</v>
      </c>
    </row>
    <row r="610" spans="1:13" hidden="1" x14ac:dyDescent="0.25">
      <c r="A610" t="s">
        <v>621</v>
      </c>
      <c r="B610" s="1">
        <v>0.1209348448140912</v>
      </c>
      <c r="C610" s="2">
        <v>3.4458604552148083E-5</v>
      </c>
      <c r="D610" s="2"/>
      <c r="E610" s="2">
        <v>-0.62630174635655733</v>
      </c>
      <c r="F610" s="3">
        <v>33.665248251852269</v>
      </c>
      <c r="G610" s="3">
        <v>3</v>
      </c>
      <c r="H610" s="2">
        <v>1.6256638127235291E-4</v>
      </c>
      <c r="I610" s="4">
        <v>-0.25422348303307601</v>
      </c>
      <c r="J610" s="4">
        <v>-0.37207826332348132</v>
      </c>
      <c r="K610" s="5">
        <v>2</v>
      </c>
      <c r="L610" s="5">
        <v>0</v>
      </c>
      <c r="M610" s="5">
        <v>0</v>
      </c>
    </row>
    <row r="611" spans="1:13" hidden="1" x14ac:dyDescent="0.25">
      <c r="A611" t="s">
        <v>622</v>
      </c>
      <c r="B611" s="1">
        <v>0.1205518399911276</v>
      </c>
      <c r="C611" s="2">
        <v>3.4349472963511623E-5</v>
      </c>
      <c r="D611" s="2"/>
      <c r="E611" s="2">
        <v>5.9814934811567959E-2</v>
      </c>
      <c r="F611" s="3">
        <v>95.475246495249806</v>
      </c>
      <c r="G611" s="3">
        <v>1</v>
      </c>
      <c r="H611" s="2">
        <v>5.4188793757450959E-5</v>
      </c>
      <c r="I611" s="4">
        <v>-2.775557561562891E-17</v>
      </c>
      <c r="J611" s="4">
        <v>5.9814934811567987E-2</v>
      </c>
      <c r="K611" s="5">
        <v>1</v>
      </c>
      <c r="L611" s="5">
        <v>0</v>
      </c>
      <c r="M611" s="5">
        <v>0</v>
      </c>
    </row>
    <row r="612" spans="1:13" hidden="1" x14ac:dyDescent="0.25">
      <c r="A612" t="s">
        <v>623</v>
      </c>
      <c r="B612" s="1">
        <v>0.1204834008380333</v>
      </c>
      <c r="C612" s="2">
        <v>3.4329972233875048E-5</v>
      </c>
      <c r="D612" s="2"/>
      <c r="E612" s="2">
        <v>1.5475079881190229E-2</v>
      </c>
      <c r="F612" s="3">
        <v>91.480814599652746</v>
      </c>
      <c r="G612" s="3">
        <v>1</v>
      </c>
      <c r="H612" s="2">
        <v>5.4188793757450959E-5</v>
      </c>
      <c r="I612" s="4">
        <v>-8.6736173798840355E-18</v>
      </c>
      <c r="J612" s="4">
        <v>1.547507988119024E-2</v>
      </c>
      <c r="K612" s="5">
        <v>1</v>
      </c>
      <c r="L612" s="5">
        <v>0</v>
      </c>
      <c r="M612" s="5">
        <v>0</v>
      </c>
    </row>
    <row r="613" spans="1:13" hidden="1" x14ac:dyDescent="0.25">
      <c r="A613" t="s">
        <v>624</v>
      </c>
      <c r="B613" s="1">
        <v>0.1201418248788345</v>
      </c>
      <c r="C613" s="2">
        <v>3.4232645190369562E-5</v>
      </c>
      <c r="D613" s="2"/>
      <c r="E613" s="2">
        <v>4.5410670492047611E-3</v>
      </c>
      <c r="F613" s="3">
        <v>90.495805296588316</v>
      </c>
      <c r="G613" s="3">
        <v>2</v>
      </c>
      <c r="H613" s="2">
        <v>1.083775875149019E-4</v>
      </c>
      <c r="I613" s="4">
        <v>-0.27830928269402783</v>
      </c>
      <c r="J613" s="4">
        <v>0.28285034974323248</v>
      </c>
      <c r="K613" s="5">
        <v>2</v>
      </c>
      <c r="L613" s="5">
        <v>0</v>
      </c>
      <c r="M613" s="5">
        <v>1</v>
      </c>
    </row>
    <row r="614" spans="1:13" hidden="1" x14ac:dyDescent="0.25">
      <c r="A614" t="s">
        <v>625</v>
      </c>
      <c r="B614" s="1">
        <v>0.1199696241855014</v>
      </c>
      <c r="C614" s="2">
        <v>3.4183579136625532E-5</v>
      </c>
      <c r="D614" s="2"/>
      <c r="E614" s="2">
        <v>-6.1525281307117097E-2</v>
      </c>
      <c r="F614" s="3">
        <v>84.544104969320912</v>
      </c>
      <c r="G614" s="3">
        <v>1</v>
      </c>
      <c r="H614" s="2">
        <v>5.4188793757450959E-5</v>
      </c>
      <c r="I614" s="4">
        <v>3.4694469519536142E-17</v>
      </c>
      <c r="J614" s="4">
        <v>-6.1525281307117131E-2</v>
      </c>
      <c r="K614" s="5">
        <v>1</v>
      </c>
      <c r="L614" s="5">
        <v>0</v>
      </c>
      <c r="M614" s="5">
        <v>0</v>
      </c>
    </row>
    <row r="615" spans="1:13" hidden="1" x14ac:dyDescent="0.25">
      <c r="A615" t="s">
        <v>626</v>
      </c>
      <c r="B615" s="1">
        <v>0.1195999449685867</v>
      </c>
      <c r="C615" s="2">
        <v>3.4078244483355057E-5</v>
      </c>
      <c r="D615" s="2"/>
      <c r="E615" s="2">
        <v>0.84860619551701144</v>
      </c>
      <c r="F615" s="3">
        <v>166.53486037259239</v>
      </c>
      <c r="G615" s="3">
        <v>1</v>
      </c>
      <c r="H615" s="2">
        <v>5.4188793757450959E-5</v>
      </c>
      <c r="I615" s="4">
        <v>1.110223024625157E-16</v>
      </c>
      <c r="J615" s="4">
        <v>0.84860619551701133</v>
      </c>
      <c r="K615" s="5">
        <v>1</v>
      </c>
      <c r="L615" s="5">
        <v>0</v>
      </c>
      <c r="M615" s="5">
        <v>0</v>
      </c>
    </row>
    <row r="616" spans="1:13" hidden="1" x14ac:dyDescent="0.25">
      <c r="A616" t="s">
        <v>627</v>
      </c>
      <c r="B616" s="1">
        <v>0.11950960378779581</v>
      </c>
      <c r="C616" s="2">
        <v>3.4052503093200432E-5</v>
      </c>
      <c r="D616" s="2"/>
      <c r="E616" s="2">
        <v>7.3404585251494625E-2</v>
      </c>
      <c r="F616" s="3">
        <v>96.699493467922409</v>
      </c>
      <c r="G616" s="3">
        <v>1</v>
      </c>
      <c r="H616" s="2">
        <v>5.4188793757450959E-5</v>
      </c>
      <c r="I616" s="4">
        <v>5.5511151231257827E-17</v>
      </c>
      <c r="J616" s="4">
        <v>7.340458525149457E-2</v>
      </c>
      <c r="K616" s="5">
        <v>1</v>
      </c>
      <c r="L616" s="5">
        <v>0</v>
      </c>
      <c r="M616" s="5">
        <v>0</v>
      </c>
    </row>
    <row r="617" spans="1:13" hidden="1" x14ac:dyDescent="0.25">
      <c r="A617" t="s">
        <v>628</v>
      </c>
      <c r="B617" s="1">
        <v>0.119252996907037</v>
      </c>
      <c r="C617" s="2">
        <v>3.3979386738331648E-5</v>
      </c>
      <c r="D617" s="2"/>
      <c r="E617" s="2">
        <v>0.44398966460469569</v>
      </c>
      <c r="F617" s="3">
        <v>130.08428607324581</v>
      </c>
      <c r="G617" s="3">
        <v>2</v>
      </c>
      <c r="H617" s="2">
        <v>1.083775875149019E-4</v>
      </c>
      <c r="I617" s="4">
        <v>1.6653345369377351E-16</v>
      </c>
      <c r="J617" s="4">
        <v>0.44398966460469558</v>
      </c>
      <c r="K617" s="5">
        <v>2</v>
      </c>
      <c r="L617" s="5">
        <v>0</v>
      </c>
      <c r="M617" s="5">
        <v>0</v>
      </c>
    </row>
    <row r="618" spans="1:13" hidden="1" x14ac:dyDescent="0.25">
      <c r="A618" t="s">
        <v>629</v>
      </c>
      <c r="B618" s="1">
        <v>0.1188017417489614</v>
      </c>
      <c r="C618" s="2">
        <v>3.3850808220964333E-5</v>
      </c>
      <c r="D618" s="2"/>
      <c r="E618" s="2">
        <v>6.0776597095912866E-4</v>
      </c>
      <c r="F618" s="3">
        <v>90.141467121449907</v>
      </c>
      <c r="G618" s="3">
        <v>2</v>
      </c>
      <c r="H618" s="2">
        <v>1.083775875149019E-4</v>
      </c>
      <c r="I618" s="4">
        <v>7.0364720994309238E-17</v>
      </c>
      <c r="J618" s="4">
        <v>6.077659709590584E-4</v>
      </c>
      <c r="K618" s="5">
        <v>2</v>
      </c>
      <c r="L618" s="5">
        <v>0</v>
      </c>
      <c r="M618" s="5">
        <v>0</v>
      </c>
    </row>
    <row r="619" spans="1:13" hidden="1" x14ac:dyDescent="0.25">
      <c r="A619" t="s">
        <v>630</v>
      </c>
      <c r="B619" s="1">
        <v>0.117575339096033</v>
      </c>
      <c r="C619" s="2">
        <v>3.3501362830730192E-5</v>
      </c>
      <c r="D619" s="2"/>
      <c r="E619" s="2">
        <v>-0.31964399745182859</v>
      </c>
      <c r="F619" s="3">
        <v>61.291037627582298</v>
      </c>
      <c r="G619" s="3">
        <v>4</v>
      </c>
      <c r="H619" s="2">
        <v>2.1675517502980381E-4</v>
      </c>
      <c r="I619" s="4">
        <v>-5.5511151231257827E-17</v>
      </c>
      <c r="J619" s="4">
        <v>-0.31964399745182848</v>
      </c>
      <c r="K619" s="5">
        <v>4</v>
      </c>
      <c r="L619" s="5">
        <v>0</v>
      </c>
      <c r="M619" s="5">
        <v>0</v>
      </c>
    </row>
    <row r="620" spans="1:13" hidden="1" x14ac:dyDescent="0.25">
      <c r="A620" t="s">
        <v>631</v>
      </c>
      <c r="B620" s="1">
        <v>0.11703546544176111</v>
      </c>
      <c r="C620" s="2">
        <v>3.3347533776835297E-5</v>
      </c>
      <c r="D620" s="2"/>
      <c r="E620" s="2">
        <v>0.62683230593110062</v>
      </c>
      <c r="F620" s="3">
        <v>146.55597908027531</v>
      </c>
      <c r="G620" s="3">
        <v>2</v>
      </c>
      <c r="H620" s="2">
        <v>1.083775875149019E-4</v>
      </c>
      <c r="I620" s="4">
        <v>1.110223024625157E-16</v>
      </c>
      <c r="J620" s="4">
        <v>0.62683230593110062</v>
      </c>
      <c r="K620" s="5">
        <v>2</v>
      </c>
      <c r="L620" s="5">
        <v>0</v>
      </c>
      <c r="M620" s="5">
        <v>2</v>
      </c>
    </row>
    <row r="621" spans="1:13" hidden="1" x14ac:dyDescent="0.25">
      <c r="A621" t="s">
        <v>632</v>
      </c>
      <c r="B621" s="1">
        <v>0.1169920287612798</v>
      </c>
      <c r="C621" s="2">
        <v>3.333515713387465E-5</v>
      </c>
      <c r="D621" s="2"/>
      <c r="E621" s="2">
        <v>0.52631930947027517</v>
      </c>
      <c r="F621" s="3">
        <v>137.5010933659315</v>
      </c>
      <c r="G621" s="3">
        <v>1</v>
      </c>
      <c r="H621" s="2">
        <v>5.4188793757450959E-5</v>
      </c>
      <c r="I621" s="4">
        <v>1.110223024625157E-16</v>
      </c>
      <c r="J621" s="4">
        <v>0.52631930947027505</v>
      </c>
      <c r="K621" s="5">
        <v>1</v>
      </c>
      <c r="L621" s="5">
        <v>1</v>
      </c>
      <c r="M621" s="5">
        <v>0</v>
      </c>
    </row>
    <row r="622" spans="1:13" hidden="1" x14ac:dyDescent="0.25">
      <c r="A622" t="s">
        <v>633</v>
      </c>
      <c r="B622" s="1">
        <v>0.1165268252652977</v>
      </c>
      <c r="C622" s="2">
        <v>3.3202604242861609E-5</v>
      </c>
      <c r="D622" s="2"/>
      <c r="E622" s="2">
        <v>0.45866702293073192</v>
      </c>
      <c r="F622" s="3">
        <v>131.40652107678119</v>
      </c>
      <c r="G622" s="3">
        <v>1</v>
      </c>
      <c r="H622" s="2">
        <v>5.4188793757450959E-5</v>
      </c>
      <c r="I622" s="4">
        <v>-5.5511151231257827E-17</v>
      </c>
      <c r="J622" s="4">
        <v>0.45866702293073203</v>
      </c>
      <c r="K622" s="5">
        <v>1</v>
      </c>
      <c r="L622" s="5">
        <v>0</v>
      </c>
      <c r="M622" s="5">
        <v>0</v>
      </c>
    </row>
    <row r="623" spans="1:13" hidden="1" x14ac:dyDescent="0.25">
      <c r="A623" t="s">
        <v>634</v>
      </c>
      <c r="B623" s="1">
        <v>0.1165182704702826</v>
      </c>
      <c r="C623" s="2">
        <v>3.3200166679900277E-5</v>
      </c>
      <c r="D623" s="2"/>
      <c r="E623" s="2">
        <v>2.184044353306128</v>
      </c>
      <c r="F623" s="3">
        <v>286.8400977362719</v>
      </c>
      <c r="G623" s="3">
        <v>1</v>
      </c>
      <c r="H623" s="2">
        <v>5.4188793757450959E-5</v>
      </c>
      <c r="I623" s="4">
        <v>0</v>
      </c>
      <c r="J623" s="4">
        <v>2.184044353306128</v>
      </c>
      <c r="K623" s="5">
        <v>1</v>
      </c>
      <c r="L623" s="5">
        <v>0</v>
      </c>
      <c r="M623" s="5">
        <v>0</v>
      </c>
    </row>
    <row r="624" spans="1:13" hidden="1" x14ac:dyDescent="0.25">
      <c r="A624" t="s">
        <v>635</v>
      </c>
      <c r="B624" s="1">
        <v>0.1163249545437406</v>
      </c>
      <c r="C624" s="2">
        <v>3.3145084151150338E-5</v>
      </c>
      <c r="D624" s="2"/>
      <c r="E624" s="2">
        <v>0.74641316431944649</v>
      </c>
      <c r="F624" s="3">
        <v>157.3286258469212</v>
      </c>
      <c r="G624" s="3">
        <v>1</v>
      </c>
      <c r="H624" s="2">
        <v>5.4188793757450959E-5</v>
      </c>
      <c r="I624" s="4">
        <v>1.110223024625157E-16</v>
      </c>
      <c r="J624" s="4">
        <v>0.74641316431944638</v>
      </c>
      <c r="K624" s="5">
        <v>1</v>
      </c>
      <c r="L624" s="5">
        <v>0</v>
      </c>
      <c r="M624" s="5">
        <v>0</v>
      </c>
    </row>
    <row r="625" spans="1:13" hidden="1" x14ac:dyDescent="0.25">
      <c r="A625" t="s">
        <v>636</v>
      </c>
      <c r="B625" s="1">
        <v>0.1160365581129519</v>
      </c>
      <c r="C625" s="2">
        <v>3.3062909831763101E-5</v>
      </c>
      <c r="D625" s="2"/>
      <c r="E625" s="2">
        <v>2.4700310255807971</v>
      </c>
      <c r="F625" s="3">
        <v>312.60369771293671</v>
      </c>
      <c r="G625" s="3">
        <v>1</v>
      </c>
      <c r="H625" s="2">
        <v>5.4188793757450959E-5</v>
      </c>
      <c r="I625" s="4">
        <v>4.4408920985006262E-16</v>
      </c>
      <c r="J625" s="4">
        <v>2.4700310255807958</v>
      </c>
      <c r="K625" s="5">
        <v>1</v>
      </c>
      <c r="L625" s="5">
        <v>0</v>
      </c>
      <c r="M625" s="5">
        <v>1</v>
      </c>
    </row>
    <row r="626" spans="1:13" hidden="1" x14ac:dyDescent="0.25">
      <c r="A626" t="s">
        <v>637</v>
      </c>
      <c r="B626" s="1">
        <v>0.1158128208201738</v>
      </c>
      <c r="C626" s="2">
        <v>3.2999159182334821E-5</v>
      </c>
      <c r="D626" s="2"/>
      <c r="E626" s="2">
        <v>0.65681842635629772</v>
      </c>
      <c r="F626" s="3">
        <v>149.25733017940939</v>
      </c>
      <c r="G626" s="3">
        <v>4</v>
      </c>
      <c r="H626" s="2">
        <v>2.1675517502980381E-4</v>
      </c>
      <c r="I626" s="4">
        <v>-3.3306690738754701E-16</v>
      </c>
      <c r="J626" s="4">
        <v>0.65681842635629806</v>
      </c>
      <c r="K626" s="5">
        <v>4</v>
      </c>
      <c r="L626" s="5">
        <v>0</v>
      </c>
      <c r="M626" s="5">
        <v>2</v>
      </c>
    </row>
    <row r="627" spans="1:13" hidden="1" x14ac:dyDescent="0.25">
      <c r="A627" t="s">
        <v>638</v>
      </c>
      <c r="B627" s="1">
        <v>0.11513029914931421</v>
      </c>
      <c r="C627" s="2">
        <v>3.2804684675086083E-5</v>
      </c>
      <c r="D627" s="2"/>
      <c r="E627" s="2">
        <v>-0.1870607096997795</v>
      </c>
      <c r="F627" s="3">
        <v>73.235030548882406</v>
      </c>
      <c r="G627" s="3">
        <v>4</v>
      </c>
      <c r="H627" s="2">
        <v>2.1675517502980381E-4</v>
      </c>
      <c r="I627" s="4">
        <v>-1.9428902930940239E-16</v>
      </c>
      <c r="J627" s="4">
        <v>-0.18706070969977931</v>
      </c>
      <c r="K627" s="5">
        <v>4</v>
      </c>
      <c r="L627" s="5">
        <v>0</v>
      </c>
      <c r="M627" s="5">
        <v>0</v>
      </c>
    </row>
    <row r="628" spans="1:13" hidden="1" x14ac:dyDescent="0.25">
      <c r="A628" t="s">
        <v>639</v>
      </c>
      <c r="B628" s="1">
        <v>0.11512515899175919</v>
      </c>
      <c r="C628" s="2">
        <v>3.2803220062824853E-5</v>
      </c>
      <c r="D628" s="2"/>
      <c r="E628" s="2">
        <v>-0.43405334582613841</v>
      </c>
      <c r="F628" s="3">
        <v>50.984275212179767</v>
      </c>
      <c r="G628" s="3">
        <v>1</v>
      </c>
      <c r="H628" s="2">
        <v>5.4188793757450959E-5</v>
      </c>
      <c r="I628" s="4">
        <v>0</v>
      </c>
      <c r="J628" s="4">
        <v>-0.43405334582613841</v>
      </c>
      <c r="K628" s="5">
        <v>1</v>
      </c>
      <c r="L628" s="5">
        <v>0</v>
      </c>
      <c r="M628" s="5">
        <v>1</v>
      </c>
    </row>
    <row r="629" spans="1:13" hidden="1" x14ac:dyDescent="0.25">
      <c r="A629" t="s">
        <v>640</v>
      </c>
      <c r="B629" s="1">
        <v>0.1149095506490095</v>
      </c>
      <c r="C629" s="2">
        <v>3.2741785638094928E-5</v>
      </c>
      <c r="D629" s="2"/>
      <c r="E629" s="2">
        <v>1.24037468754264</v>
      </c>
      <c r="F629" s="3">
        <v>201.8279970482607</v>
      </c>
      <c r="G629" s="3">
        <v>1</v>
      </c>
      <c r="H629" s="2">
        <v>5.4188793757450959E-5</v>
      </c>
      <c r="I629" s="4">
        <v>2.2204460492503131E-16</v>
      </c>
      <c r="J629" s="4">
        <v>1.24037468754264</v>
      </c>
      <c r="K629" s="5">
        <v>1</v>
      </c>
      <c r="L629" s="5">
        <v>0</v>
      </c>
      <c r="M629" s="5">
        <v>0</v>
      </c>
    </row>
    <row r="630" spans="1:13" hidden="1" x14ac:dyDescent="0.25">
      <c r="A630" t="s">
        <v>641</v>
      </c>
      <c r="B630" s="1">
        <v>0.1147908989894435</v>
      </c>
      <c r="C630" s="2">
        <v>3.2707977593583637E-5</v>
      </c>
      <c r="D630" s="2"/>
      <c r="E630" s="2" t="s">
        <v>303</v>
      </c>
      <c r="F630" s="3" t="s">
        <v>303</v>
      </c>
      <c r="G630" s="3">
        <v>1</v>
      </c>
      <c r="H630" s="2">
        <v>5.4188793757450959E-5</v>
      </c>
      <c r="I630" s="4" t="s">
        <v>303</v>
      </c>
      <c r="J630" s="4">
        <v>0</v>
      </c>
      <c r="K630" s="5">
        <v>1</v>
      </c>
      <c r="L630" s="5">
        <v>0</v>
      </c>
      <c r="M630" s="5">
        <v>0</v>
      </c>
    </row>
    <row r="631" spans="1:13" hidden="1" x14ac:dyDescent="0.25">
      <c r="A631" t="s">
        <v>642</v>
      </c>
      <c r="B631" s="1">
        <v>0.1145775430136612</v>
      </c>
      <c r="C631" s="2">
        <v>3.2647184947678958E-5</v>
      </c>
      <c r="D631" s="2"/>
      <c r="E631" s="2">
        <v>1.922709376571252</v>
      </c>
      <c r="F631" s="3">
        <v>263.29728804183333</v>
      </c>
      <c r="G631" s="3">
        <v>1</v>
      </c>
      <c r="H631" s="2">
        <v>5.4188793757450959E-5</v>
      </c>
      <c r="I631" s="4">
        <v>2.2204460492503131E-16</v>
      </c>
      <c r="J631" s="4">
        <v>1.922709376571252</v>
      </c>
      <c r="K631" s="5">
        <v>1</v>
      </c>
      <c r="L631" s="5">
        <v>0</v>
      </c>
      <c r="M631" s="5">
        <v>0</v>
      </c>
    </row>
    <row r="632" spans="1:13" hidden="1" x14ac:dyDescent="0.25">
      <c r="A632" t="s">
        <v>643</v>
      </c>
      <c r="B632" s="1">
        <v>0.1144431384389131</v>
      </c>
      <c r="C632" s="2">
        <v>3.2608888341780463E-5</v>
      </c>
      <c r="D632" s="2"/>
      <c r="E632" s="2">
        <v>-0.76432178771937132</v>
      </c>
      <c r="F632" s="3">
        <v>21.231476054877</v>
      </c>
      <c r="G632" s="3">
        <v>2</v>
      </c>
      <c r="H632" s="2">
        <v>1.083775875149019E-4</v>
      </c>
      <c r="I632" s="4">
        <v>1.110223024625157E-16</v>
      </c>
      <c r="J632" s="4">
        <v>-0.76432178771937143</v>
      </c>
      <c r="K632" s="5">
        <v>2</v>
      </c>
      <c r="L632" s="5">
        <v>0</v>
      </c>
      <c r="M632" s="5">
        <v>0</v>
      </c>
    </row>
    <row r="633" spans="1:13" hidden="1" x14ac:dyDescent="0.25">
      <c r="A633" t="s">
        <v>644</v>
      </c>
      <c r="B633" s="1">
        <v>0.1140669268797171</v>
      </c>
      <c r="C633" s="2">
        <v>3.2501692393696088E-5</v>
      </c>
      <c r="D633" s="2"/>
      <c r="E633" s="2">
        <v>1.0078012110226191</v>
      </c>
      <c r="F633" s="3">
        <v>180.8762164404944</v>
      </c>
      <c r="G633" s="3">
        <v>1</v>
      </c>
      <c r="H633" s="2">
        <v>5.4188793757450959E-5</v>
      </c>
      <c r="I633" s="4">
        <v>2.2204460492503131E-16</v>
      </c>
      <c r="J633" s="4">
        <v>1.0078012110226191</v>
      </c>
      <c r="K633" s="5">
        <v>1</v>
      </c>
      <c r="L633" s="5">
        <v>0</v>
      </c>
      <c r="M633" s="5">
        <v>0</v>
      </c>
    </row>
    <row r="634" spans="1:13" hidden="1" x14ac:dyDescent="0.25">
      <c r="A634" t="s">
        <v>645</v>
      </c>
      <c r="B634" s="1">
        <v>0.1140499680944267</v>
      </c>
      <c r="C634" s="2">
        <v>3.2496860237365101E-5</v>
      </c>
      <c r="D634" s="2"/>
      <c r="E634" s="2">
        <v>0.55107673209510444</v>
      </c>
      <c r="F634" s="3">
        <v>139.7314082539859</v>
      </c>
      <c r="G634" s="3">
        <v>1</v>
      </c>
      <c r="H634" s="2">
        <v>5.4188793757450959E-5</v>
      </c>
      <c r="I634" s="4">
        <v>0</v>
      </c>
      <c r="J634" s="4">
        <v>0.55107673209510444</v>
      </c>
      <c r="K634" s="5">
        <v>1</v>
      </c>
      <c r="L634" s="5">
        <v>0</v>
      </c>
      <c r="M634" s="5">
        <v>1</v>
      </c>
    </row>
    <row r="635" spans="1:13" hidden="1" x14ac:dyDescent="0.25">
      <c r="A635" t="s">
        <v>646</v>
      </c>
      <c r="B635" s="1">
        <v>0.1140478792846778</v>
      </c>
      <c r="C635" s="2">
        <v>3.2496265061762627E-5</v>
      </c>
      <c r="D635" s="2"/>
      <c r="E635" s="2">
        <v>-0.20241160626767399</v>
      </c>
      <c r="F635" s="3">
        <v>71.852118697386942</v>
      </c>
      <c r="G635" s="3">
        <v>3</v>
      </c>
      <c r="H635" s="2">
        <v>1.6256638127235291E-4</v>
      </c>
      <c r="I635" s="4">
        <v>2.775557561562891E-17</v>
      </c>
      <c r="J635" s="4">
        <v>-0.20241160626767399</v>
      </c>
      <c r="K635" s="5">
        <v>3</v>
      </c>
      <c r="L635" s="5">
        <v>0</v>
      </c>
      <c r="M635" s="5">
        <v>0</v>
      </c>
    </row>
    <row r="636" spans="1:13" hidden="1" x14ac:dyDescent="0.25">
      <c r="A636" t="s">
        <v>647</v>
      </c>
      <c r="B636" s="1">
        <v>0.11390811770550729</v>
      </c>
      <c r="C636" s="2">
        <v>3.2456442056278771E-5</v>
      </c>
      <c r="D636" s="2"/>
      <c r="E636" s="2">
        <v>0.46693029944073811</v>
      </c>
      <c r="F636" s="3">
        <v>132.15093251668179</v>
      </c>
      <c r="G636" s="3">
        <v>2</v>
      </c>
      <c r="H636" s="2">
        <v>1.083775875149019E-4</v>
      </c>
      <c r="I636" s="4">
        <v>-2.2204460492503131E-16</v>
      </c>
      <c r="J636" s="4">
        <v>0.46693029944073827</v>
      </c>
      <c r="K636" s="5">
        <v>2</v>
      </c>
      <c r="L636" s="5">
        <v>0</v>
      </c>
      <c r="M636" s="5">
        <v>0</v>
      </c>
    </row>
    <row r="637" spans="1:13" hidden="1" x14ac:dyDescent="0.25">
      <c r="A637" t="s">
        <v>648</v>
      </c>
      <c r="B637" s="1">
        <v>0.1137317524767887</v>
      </c>
      <c r="C637" s="2">
        <v>3.2406189379455112E-5</v>
      </c>
      <c r="D637" s="2"/>
      <c r="E637" s="2">
        <v>1.1919055307787241</v>
      </c>
      <c r="F637" s="3">
        <v>197.46156991324909</v>
      </c>
      <c r="G637" s="3">
        <v>1</v>
      </c>
      <c r="H637" s="2">
        <v>5.4188793757450959E-5</v>
      </c>
      <c r="I637" s="4">
        <v>0</v>
      </c>
      <c r="J637" s="4">
        <v>1.1919055307787241</v>
      </c>
      <c r="K637" s="5">
        <v>1</v>
      </c>
      <c r="L637" s="5">
        <v>0</v>
      </c>
      <c r="M637" s="5">
        <v>0</v>
      </c>
    </row>
    <row r="638" spans="1:13" hidden="1" x14ac:dyDescent="0.25">
      <c r="A638" t="s">
        <v>649</v>
      </c>
      <c r="B638" s="1">
        <v>0.1135363398423796</v>
      </c>
      <c r="C638" s="2">
        <v>3.2350509424650108E-5</v>
      </c>
      <c r="D638" s="2"/>
      <c r="E638" s="2">
        <v>5.9657394101322518</v>
      </c>
      <c r="F638" s="3">
        <v>627.52058435777531</v>
      </c>
      <c r="G638" s="3">
        <v>1</v>
      </c>
      <c r="H638" s="2">
        <v>5.4188793757450959E-5</v>
      </c>
      <c r="I638" s="4">
        <v>0</v>
      </c>
      <c r="J638" s="4">
        <v>5.9657394101322518</v>
      </c>
      <c r="K638" s="5">
        <v>1</v>
      </c>
      <c r="L638" s="5">
        <v>0</v>
      </c>
      <c r="M638" s="5">
        <v>0</v>
      </c>
    </row>
    <row r="639" spans="1:13" hidden="1" x14ac:dyDescent="0.25">
      <c r="A639" t="s">
        <v>650</v>
      </c>
      <c r="B639" s="1">
        <v>0.1133507890107763</v>
      </c>
      <c r="C639" s="2">
        <v>3.2297639445444633E-5</v>
      </c>
      <c r="D639" s="2"/>
      <c r="E639" s="2">
        <v>0.34231445058205301</v>
      </c>
      <c r="F639" s="3">
        <v>120.92469999608321</v>
      </c>
      <c r="G639" s="3">
        <v>1</v>
      </c>
      <c r="H639" s="2">
        <v>5.4188793757450959E-5</v>
      </c>
      <c r="I639" s="4">
        <v>0</v>
      </c>
      <c r="J639" s="4">
        <v>0.34231445058205301</v>
      </c>
      <c r="K639" s="5">
        <v>1</v>
      </c>
      <c r="L639" s="5">
        <v>0</v>
      </c>
      <c r="M639" s="5">
        <v>0</v>
      </c>
    </row>
    <row r="640" spans="1:13" hidden="1" x14ac:dyDescent="0.25">
      <c r="A640" t="s">
        <v>651</v>
      </c>
      <c r="B640" s="1">
        <v>0.1133434345688885</v>
      </c>
      <c r="C640" s="2">
        <v>3.2295543905444502E-5</v>
      </c>
      <c r="D640" s="2"/>
      <c r="E640" s="2">
        <v>-9.4457090249043807E-3</v>
      </c>
      <c r="F640" s="3">
        <v>89.235782579898753</v>
      </c>
      <c r="G640" s="3">
        <v>3</v>
      </c>
      <c r="H640" s="2">
        <v>1.6256638127235291E-4</v>
      </c>
      <c r="I640" s="4">
        <v>3.6255720647915268E-16</v>
      </c>
      <c r="J640" s="4">
        <v>-9.4457090249047432E-3</v>
      </c>
      <c r="K640" s="5">
        <v>3</v>
      </c>
      <c r="L640" s="5">
        <v>0</v>
      </c>
      <c r="M640" s="5">
        <v>0</v>
      </c>
    </row>
    <row r="641" spans="1:13" hidden="1" x14ac:dyDescent="0.25">
      <c r="A641" t="s">
        <v>652</v>
      </c>
      <c r="B641" s="1">
        <v>0.11291614025252319</v>
      </c>
      <c r="C641" s="2">
        <v>3.2173792677354343E-5</v>
      </c>
      <c r="D641" s="2"/>
      <c r="E641" s="2">
        <v>2.434573217823857</v>
      </c>
      <c r="F641" s="3">
        <v>309.40942027394499</v>
      </c>
      <c r="G641" s="3">
        <v>1</v>
      </c>
      <c r="H641" s="2">
        <v>5.4188793757450959E-5</v>
      </c>
      <c r="I641" s="4">
        <v>0</v>
      </c>
      <c r="J641" s="4">
        <v>2.434573217823857</v>
      </c>
      <c r="K641" s="5">
        <v>1</v>
      </c>
      <c r="L641" s="5">
        <v>0</v>
      </c>
      <c r="M641" s="5">
        <v>0</v>
      </c>
    </row>
    <row r="642" spans="1:13" hidden="1" x14ac:dyDescent="0.25">
      <c r="A642" t="s">
        <v>653</v>
      </c>
      <c r="B642" s="1">
        <v>0.11255749769557701</v>
      </c>
      <c r="C642" s="2">
        <v>3.2071602757944582E-5</v>
      </c>
      <c r="D642" s="2"/>
      <c r="E642" s="2">
        <v>5.4525809366900102E-2</v>
      </c>
      <c r="F642" s="3">
        <v>94.99876655617085</v>
      </c>
      <c r="G642" s="3">
        <v>1</v>
      </c>
      <c r="H642" s="2">
        <v>5.4188793757450959E-5</v>
      </c>
      <c r="I642" s="4">
        <v>-2.0816681711721691E-17</v>
      </c>
      <c r="J642" s="4">
        <v>5.4525809366900123E-2</v>
      </c>
      <c r="K642" s="5">
        <v>1</v>
      </c>
      <c r="L642" s="5">
        <v>0</v>
      </c>
      <c r="M642" s="5">
        <v>0</v>
      </c>
    </row>
    <row r="643" spans="1:13" hidden="1" x14ac:dyDescent="0.25">
      <c r="A643" t="s">
        <v>654</v>
      </c>
      <c r="B643" s="1">
        <v>0.11253144166996661</v>
      </c>
      <c r="C643" s="2">
        <v>3.2064178476844398E-5</v>
      </c>
      <c r="D643" s="2"/>
      <c r="E643" s="2">
        <v>0.17556740449061331</v>
      </c>
      <c r="F643" s="3">
        <v>105.903006297489</v>
      </c>
      <c r="G643" s="3">
        <v>1</v>
      </c>
      <c r="H643" s="2">
        <v>5.4188793757450959E-5</v>
      </c>
      <c r="I643" s="4">
        <v>-5.5511151231257827E-17</v>
      </c>
      <c r="J643" s="4">
        <v>0.17556740449061331</v>
      </c>
      <c r="K643" s="5">
        <v>1</v>
      </c>
      <c r="L643" s="5">
        <v>0</v>
      </c>
      <c r="M643" s="5">
        <v>0</v>
      </c>
    </row>
    <row r="644" spans="1:13" hidden="1" x14ac:dyDescent="0.25">
      <c r="A644" t="s">
        <v>655</v>
      </c>
      <c r="B644" s="1">
        <v>0.1125242360421863</v>
      </c>
      <c r="C644" s="2">
        <v>3.2062125339234508E-5</v>
      </c>
      <c r="D644" s="2"/>
      <c r="E644" s="2">
        <v>0.26080618514026588</v>
      </c>
      <c r="F644" s="3">
        <v>113.581888077851</v>
      </c>
      <c r="G644" s="3">
        <v>1</v>
      </c>
      <c r="H644" s="2">
        <v>5.4188793757450959E-5</v>
      </c>
      <c r="I644" s="4">
        <v>5.5511151231257827E-17</v>
      </c>
      <c r="J644" s="4">
        <v>0.26080618514026582</v>
      </c>
      <c r="K644" s="5">
        <v>1</v>
      </c>
      <c r="L644" s="5">
        <v>0</v>
      </c>
      <c r="M644" s="5">
        <v>0</v>
      </c>
    </row>
    <row r="645" spans="1:13" hidden="1" x14ac:dyDescent="0.25">
      <c r="A645" t="s">
        <v>656</v>
      </c>
      <c r="B645" s="1">
        <v>0.1124565290966494</v>
      </c>
      <c r="C645" s="2">
        <v>3.2042833241367467E-5</v>
      </c>
      <c r="D645" s="2"/>
      <c r="E645" s="2" t="s">
        <v>303</v>
      </c>
      <c r="F645" s="3" t="s">
        <v>303</v>
      </c>
      <c r="G645" s="3">
        <v>1</v>
      </c>
      <c r="H645" s="2">
        <v>5.4188793757450959E-5</v>
      </c>
      <c r="I645" s="4" t="s">
        <v>303</v>
      </c>
      <c r="J645" s="4">
        <v>0</v>
      </c>
      <c r="K645" s="5">
        <v>1</v>
      </c>
      <c r="L645" s="5">
        <v>0</v>
      </c>
      <c r="M645" s="5">
        <v>0</v>
      </c>
    </row>
    <row r="646" spans="1:13" hidden="1" x14ac:dyDescent="0.25">
      <c r="A646" t="s">
        <v>657</v>
      </c>
      <c r="B646" s="1">
        <v>0.11200325087192919</v>
      </c>
      <c r="C646" s="2">
        <v>3.1913678280927881E-5</v>
      </c>
      <c r="D646" s="2"/>
      <c r="E646" s="2">
        <v>0.20747415851734541</v>
      </c>
      <c r="F646" s="3">
        <v>108.77738096942841</v>
      </c>
      <c r="G646" s="3">
        <v>2</v>
      </c>
      <c r="H646" s="2">
        <v>1.083775875149019E-4</v>
      </c>
      <c r="I646" s="4">
        <v>-5.5511151231257827E-17</v>
      </c>
      <c r="J646" s="4">
        <v>0.20747415851734549</v>
      </c>
      <c r="K646" s="5">
        <v>2</v>
      </c>
      <c r="L646" s="5">
        <v>0</v>
      </c>
      <c r="M646" s="5">
        <v>0</v>
      </c>
    </row>
    <row r="647" spans="1:13" hidden="1" x14ac:dyDescent="0.25">
      <c r="A647" t="s">
        <v>658</v>
      </c>
      <c r="B647" s="1">
        <v>0.1117652368779939</v>
      </c>
      <c r="C647" s="2">
        <v>3.1845859695577202E-5</v>
      </c>
      <c r="D647" s="2"/>
      <c r="E647" s="2">
        <v>0.62167669780499613</v>
      </c>
      <c r="F647" s="3">
        <v>146.0915272778856</v>
      </c>
      <c r="G647" s="3">
        <v>1</v>
      </c>
      <c r="H647" s="2">
        <v>5.4188793757450959E-5</v>
      </c>
      <c r="I647" s="4">
        <v>1.110223024625157E-16</v>
      </c>
      <c r="J647" s="4">
        <v>0.62167669780499601</v>
      </c>
      <c r="K647" s="5">
        <v>1</v>
      </c>
      <c r="L647" s="5">
        <v>0</v>
      </c>
      <c r="M647" s="5">
        <v>0</v>
      </c>
    </row>
    <row r="648" spans="1:13" hidden="1" x14ac:dyDescent="0.25">
      <c r="A648" t="s">
        <v>659</v>
      </c>
      <c r="B648" s="1">
        <v>0.1112196776502631</v>
      </c>
      <c r="C648" s="2">
        <v>3.1690410621184688E-5</v>
      </c>
      <c r="D648" s="2"/>
      <c r="E648" s="2">
        <v>0.43379272640800642</v>
      </c>
      <c r="F648" s="3">
        <v>129.1656774031398</v>
      </c>
      <c r="G648" s="3">
        <v>1</v>
      </c>
      <c r="H648" s="2">
        <v>5.4188793757450959E-5</v>
      </c>
      <c r="I648" s="4">
        <v>5.5511151231257827E-17</v>
      </c>
      <c r="J648" s="4">
        <v>0.43379272640800631</v>
      </c>
      <c r="K648" s="5">
        <v>1</v>
      </c>
      <c r="L648" s="5">
        <v>0</v>
      </c>
      <c r="M648" s="5">
        <v>0</v>
      </c>
    </row>
    <row r="649" spans="1:13" hidden="1" x14ac:dyDescent="0.25">
      <c r="A649" t="s">
        <v>660</v>
      </c>
      <c r="B649" s="1">
        <v>0.1105265058053664</v>
      </c>
      <c r="C649" s="2">
        <v>3.1492901503554481E-5</v>
      </c>
      <c r="D649" s="2"/>
      <c r="E649" s="2">
        <v>-0.6003100914303503</v>
      </c>
      <c r="F649" s="3">
        <v>36.006751074078792</v>
      </c>
      <c r="G649" s="3">
        <v>4</v>
      </c>
      <c r="H649" s="2">
        <v>2.1675517502980381E-4</v>
      </c>
      <c r="I649" s="4">
        <v>-1.110223024625157E-16</v>
      </c>
      <c r="J649" s="4">
        <v>-0.60031009143035019</v>
      </c>
      <c r="K649" s="5">
        <v>4</v>
      </c>
      <c r="L649" s="5">
        <v>0</v>
      </c>
      <c r="M649" s="5">
        <v>0</v>
      </c>
    </row>
    <row r="650" spans="1:13" hidden="1" x14ac:dyDescent="0.25">
      <c r="A650" t="s">
        <v>661</v>
      </c>
      <c r="B650" s="1">
        <v>0.1103155946930595</v>
      </c>
      <c r="C650" s="2">
        <v>3.143280548552254E-5</v>
      </c>
      <c r="D650" s="2"/>
      <c r="E650" s="2">
        <v>-5.8892299164550181E-2</v>
      </c>
      <c r="F650" s="3">
        <v>84.781301682465809</v>
      </c>
      <c r="G650" s="3">
        <v>2</v>
      </c>
      <c r="H650" s="2">
        <v>1.083775875149019E-4</v>
      </c>
      <c r="I650" s="4">
        <v>1.3877787807814459E-16</v>
      </c>
      <c r="J650" s="4">
        <v>-5.889229916455032E-2</v>
      </c>
      <c r="K650" s="5">
        <v>2</v>
      </c>
      <c r="L650" s="5">
        <v>0</v>
      </c>
      <c r="M650" s="5">
        <v>0</v>
      </c>
    </row>
    <row r="651" spans="1:13" hidden="1" x14ac:dyDescent="0.25">
      <c r="A651" t="s">
        <v>662</v>
      </c>
      <c r="B651" s="1">
        <v>0.110147610021908</v>
      </c>
      <c r="C651" s="2">
        <v>3.1384940725263173E-5</v>
      </c>
      <c r="D651" s="2"/>
      <c r="E651" s="2">
        <v>1.6837710644608039</v>
      </c>
      <c r="F651" s="3">
        <v>241.7721203011466</v>
      </c>
      <c r="G651" s="3">
        <v>1</v>
      </c>
      <c r="H651" s="2">
        <v>5.4188793757450959E-5</v>
      </c>
      <c r="I651" s="4">
        <v>4.4408920985006262E-16</v>
      </c>
      <c r="J651" s="4">
        <v>1.6837710644608039</v>
      </c>
      <c r="K651" s="5">
        <v>1</v>
      </c>
      <c r="L651" s="5">
        <v>0</v>
      </c>
      <c r="M651" s="5">
        <v>0</v>
      </c>
    </row>
    <row r="652" spans="1:13" hidden="1" x14ac:dyDescent="0.25">
      <c r="A652" t="s">
        <v>663</v>
      </c>
      <c r="B652" s="1">
        <v>0.1098602878909941</v>
      </c>
      <c r="C652" s="2">
        <v>3.1303072511817651E-5</v>
      </c>
      <c r="D652" s="2"/>
      <c r="E652" s="2">
        <v>-0.34465142239026703</v>
      </c>
      <c r="F652" s="3">
        <v>59.038200852232087</v>
      </c>
      <c r="G652" s="3">
        <v>3</v>
      </c>
      <c r="H652" s="2">
        <v>1.6256638127235291E-4</v>
      </c>
      <c r="I652" s="4">
        <v>-0.41293034888156921</v>
      </c>
      <c r="J652" s="4">
        <v>6.8278926491302114E-2</v>
      </c>
      <c r="K652" s="5">
        <v>3</v>
      </c>
      <c r="L652" s="5">
        <v>2</v>
      </c>
      <c r="M652" s="5">
        <v>1</v>
      </c>
    </row>
    <row r="653" spans="1:13" hidden="1" x14ac:dyDescent="0.25">
      <c r="A653" t="s">
        <v>664</v>
      </c>
      <c r="B653" s="1">
        <v>0.10976463301558639</v>
      </c>
      <c r="C653" s="2">
        <v>3.1275817062569507E-5</v>
      </c>
      <c r="D653" s="2"/>
      <c r="E653" s="2">
        <v>9.0688201414126812E-2</v>
      </c>
      <c r="F653" s="3">
        <v>98.256517679654223</v>
      </c>
      <c r="G653" s="3">
        <v>2</v>
      </c>
      <c r="H653" s="2">
        <v>1.083775875149019E-4</v>
      </c>
      <c r="I653" s="4">
        <v>4.163336342344337E-17</v>
      </c>
      <c r="J653" s="4">
        <v>9.0688201414126771E-2</v>
      </c>
      <c r="K653" s="5">
        <v>2</v>
      </c>
      <c r="L653" s="5">
        <v>0</v>
      </c>
      <c r="M653" s="5">
        <v>0</v>
      </c>
    </row>
    <row r="654" spans="1:13" hidden="1" x14ac:dyDescent="0.25">
      <c r="A654" t="s">
        <v>665</v>
      </c>
      <c r="B654" s="1">
        <v>0.1094179131195044</v>
      </c>
      <c r="C654" s="2">
        <v>3.117702432993883E-5</v>
      </c>
      <c r="D654" s="2"/>
      <c r="E654" s="2">
        <v>2.5289725693140589E-2</v>
      </c>
      <c r="F654" s="3">
        <v>92.364983804464089</v>
      </c>
      <c r="G654" s="3">
        <v>5</v>
      </c>
      <c r="H654" s="2">
        <v>2.7094396878725479E-4</v>
      </c>
      <c r="I654" s="4">
        <v>4.3368086899420182E-16</v>
      </c>
      <c r="J654" s="4">
        <v>2.5289725693140148E-2</v>
      </c>
      <c r="K654" s="5">
        <v>5</v>
      </c>
      <c r="L654" s="5">
        <v>0</v>
      </c>
      <c r="M654" s="5">
        <v>0</v>
      </c>
    </row>
    <row r="655" spans="1:13" hidden="1" x14ac:dyDescent="0.25">
      <c r="A655" t="s">
        <v>666</v>
      </c>
      <c r="B655" s="1">
        <v>0.1092621327559791</v>
      </c>
      <c r="C655" s="2">
        <v>3.113263700755908E-5</v>
      </c>
      <c r="D655" s="2"/>
      <c r="E655" s="2">
        <v>-0.68761972166116325</v>
      </c>
      <c r="F655" s="3">
        <v>28.141313256694119</v>
      </c>
      <c r="G655" s="3">
        <v>4</v>
      </c>
      <c r="H655" s="2">
        <v>2.1675517502980381E-4</v>
      </c>
      <c r="I655" s="4">
        <v>0</v>
      </c>
      <c r="J655" s="4">
        <v>-0.68761972166116325</v>
      </c>
      <c r="K655" s="5">
        <v>4</v>
      </c>
      <c r="L655" s="5">
        <v>0</v>
      </c>
      <c r="M655" s="5">
        <v>3</v>
      </c>
    </row>
    <row r="656" spans="1:13" hidden="1" x14ac:dyDescent="0.25">
      <c r="A656" t="s">
        <v>667</v>
      </c>
      <c r="B656" s="1">
        <v>0.1089012765280204</v>
      </c>
      <c r="C656" s="2">
        <v>3.1029816335167078E-5</v>
      </c>
      <c r="D656" s="2"/>
      <c r="E656" s="2">
        <v>1.9252718967125411</v>
      </c>
      <c r="F656" s="3">
        <v>263.52813706471682</v>
      </c>
      <c r="G656" s="3">
        <v>2</v>
      </c>
      <c r="H656" s="2">
        <v>1.083775875149019E-4</v>
      </c>
      <c r="I656" s="4">
        <v>1.9252718967125411</v>
      </c>
      <c r="J656" s="4">
        <v>0</v>
      </c>
      <c r="K656" s="5">
        <v>2</v>
      </c>
      <c r="L656" s="5">
        <v>0</v>
      </c>
      <c r="M656" s="5">
        <v>1</v>
      </c>
    </row>
    <row r="657" spans="1:13" hidden="1" x14ac:dyDescent="0.25">
      <c r="A657" t="s">
        <v>668</v>
      </c>
      <c r="B657" s="1">
        <v>0.1083485842687521</v>
      </c>
      <c r="C657" s="2">
        <v>3.0872334808395877E-5</v>
      </c>
      <c r="D657" s="2"/>
      <c r="E657" s="2">
        <v>0.54619613210503837</v>
      </c>
      <c r="F657" s="3">
        <v>139.2917310313025</v>
      </c>
      <c r="G657" s="3">
        <v>1</v>
      </c>
      <c r="H657" s="2">
        <v>5.4188793757450959E-5</v>
      </c>
      <c r="I657" s="4">
        <v>0</v>
      </c>
      <c r="J657" s="4">
        <v>0.54619613210503837</v>
      </c>
      <c r="K657" s="5">
        <v>1</v>
      </c>
      <c r="L657" s="5">
        <v>0</v>
      </c>
      <c r="M657" s="5">
        <v>0</v>
      </c>
    </row>
    <row r="658" spans="1:13" hidden="1" x14ac:dyDescent="0.25">
      <c r="A658" t="s">
        <v>669</v>
      </c>
      <c r="B658" s="1">
        <v>0.1083200676071895</v>
      </c>
      <c r="C658" s="2">
        <v>3.0864209405287782E-5</v>
      </c>
      <c r="D658" s="2"/>
      <c r="E658" s="2">
        <v>0.56497453074150639</v>
      </c>
      <c r="F658" s="3">
        <v>140.98341528646131</v>
      </c>
      <c r="G658" s="3">
        <v>1</v>
      </c>
      <c r="H658" s="2">
        <v>5.4188793757450959E-5</v>
      </c>
      <c r="I658" s="4">
        <v>0</v>
      </c>
      <c r="J658" s="4">
        <v>0.56497453074150639</v>
      </c>
      <c r="K658" s="5">
        <v>1</v>
      </c>
      <c r="L658" s="5">
        <v>0</v>
      </c>
      <c r="M658" s="5">
        <v>0</v>
      </c>
    </row>
    <row r="659" spans="1:13" hidden="1" x14ac:dyDescent="0.25">
      <c r="A659" t="s">
        <v>670</v>
      </c>
      <c r="B659" s="1">
        <v>0.10825371219041099</v>
      </c>
      <c r="C659" s="2">
        <v>3.0845302405653558E-5</v>
      </c>
      <c r="D659" s="2"/>
      <c r="E659" s="2">
        <v>4.6212830358641632</v>
      </c>
      <c r="F659" s="3">
        <v>506.40292549200552</v>
      </c>
      <c r="G659" s="3">
        <v>1</v>
      </c>
      <c r="H659" s="2">
        <v>5.4188793757450959E-5</v>
      </c>
      <c r="I659" s="4">
        <v>4.6212830358641632</v>
      </c>
      <c r="J659" s="4">
        <v>0</v>
      </c>
      <c r="K659" s="5">
        <v>1</v>
      </c>
      <c r="L659" s="5">
        <v>0</v>
      </c>
      <c r="M659" s="5">
        <v>0</v>
      </c>
    </row>
    <row r="660" spans="1:13" hidden="1" x14ac:dyDescent="0.25">
      <c r="A660" t="s">
        <v>671</v>
      </c>
      <c r="B660" s="1">
        <v>0.1081904879734104</v>
      </c>
      <c r="C660" s="2">
        <v>3.0827287595322477E-5</v>
      </c>
      <c r="D660" s="2"/>
      <c r="E660" s="2">
        <v>-1.8273052772419422E-2</v>
      </c>
      <c r="F660" s="3">
        <v>88.440556175260326</v>
      </c>
      <c r="G660" s="3">
        <v>1</v>
      </c>
      <c r="H660" s="2">
        <v>5.4188793757450959E-5</v>
      </c>
      <c r="I660" s="4">
        <v>-1.9864910700896032E-2</v>
      </c>
      <c r="J660" s="4">
        <v>1.5918579284766119E-3</v>
      </c>
      <c r="K660" s="5">
        <v>1</v>
      </c>
      <c r="L660" s="5">
        <v>0</v>
      </c>
      <c r="M660" s="5">
        <v>0</v>
      </c>
    </row>
    <row r="661" spans="1:13" hidden="1" x14ac:dyDescent="0.25">
      <c r="A661" t="s">
        <v>672</v>
      </c>
      <c r="B661" s="1">
        <v>0.1079620651404239</v>
      </c>
      <c r="C661" s="2">
        <v>3.0762201870156497E-5</v>
      </c>
      <c r="D661" s="2"/>
      <c r="E661" s="2">
        <v>1.102677623769913</v>
      </c>
      <c r="F661" s="3">
        <v>189.42332084155049</v>
      </c>
      <c r="G661" s="3">
        <v>2</v>
      </c>
      <c r="H661" s="2">
        <v>1.083775875149019E-4</v>
      </c>
      <c r="I661" s="4">
        <v>0</v>
      </c>
      <c r="J661" s="4">
        <v>1.102677623769913</v>
      </c>
      <c r="K661" s="5">
        <v>2</v>
      </c>
      <c r="L661" s="5">
        <v>0</v>
      </c>
      <c r="M661" s="5">
        <v>0</v>
      </c>
    </row>
    <row r="662" spans="1:13" hidden="1" x14ac:dyDescent="0.25">
      <c r="A662" t="s">
        <v>673</v>
      </c>
      <c r="B662" s="1">
        <v>0.10769574902645659</v>
      </c>
      <c r="C662" s="2">
        <v>3.068631901215002E-5</v>
      </c>
      <c r="D662" s="2"/>
      <c r="E662" s="2">
        <v>-0.48998366245374608</v>
      </c>
      <c r="F662" s="3">
        <v>45.945696691366933</v>
      </c>
      <c r="G662" s="3">
        <v>1</v>
      </c>
      <c r="H662" s="2">
        <v>5.4188793757450959E-5</v>
      </c>
      <c r="I662" s="4">
        <v>0</v>
      </c>
      <c r="J662" s="4">
        <v>-0.48998366245374608</v>
      </c>
      <c r="K662" s="5">
        <v>1</v>
      </c>
      <c r="L662" s="5">
        <v>0</v>
      </c>
      <c r="M662" s="5">
        <v>0</v>
      </c>
    </row>
    <row r="663" spans="1:13" hidden="1" x14ac:dyDescent="0.25">
      <c r="A663" t="s">
        <v>674</v>
      </c>
      <c r="B663" s="1">
        <v>0.1076613154415304</v>
      </c>
      <c r="C663" s="2">
        <v>3.0676507668793101E-5</v>
      </c>
      <c r="D663" s="2"/>
      <c r="E663" s="2">
        <v>-0.2413189151629074</v>
      </c>
      <c r="F663" s="3">
        <v>68.347087030797255</v>
      </c>
      <c r="G663" s="3">
        <v>1</v>
      </c>
      <c r="H663" s="2">
        <v>5.4188793757450959E-5</v>
      </c>
      <c r="I663" s="4">
        <v>2.775557561562891E-17</v>
      </c>
      <c r="J663" s="4">
        <v>-0.2413189151629074</v>
      </c>
      <c r="K663" s="5">
        <v>1</v>
      </c>
      <c r="L663" s="5">
        <v>0</v>
      </c>
      <c r="M663" s="5">
        <v>0</v>
      </c>
    </row>
    <row r="664" spans="1:13" hidden="1" x14ac:dyDescent="0.25">
      <c r="A664" t="s">
        <v>675</v>
      </c>
      <c r="B664" s="1">
        <v>0.1075240429443842</v>
      </c>
      <c r="C664" s="2">
        <v>3.063739389060685E-5</v>
      </c>
      <c r="D664" s="2"/>
      <c r="E664" s="2">
        <v>3.624517490894021</v>
      </c>
      <c r="F664" s="3">
        <v>416.60759144067259</v>
      </c>
      <c r="G664" s="3">
        <v>1</v>
      </c>
      <c r="H664" s="2">
        <v>5.4188793757450959E-5</v>
      </c>
      <c r="I664" s="4">
        <v>4.4408920985006262E-16</v>
      </c>
      <c r="J664" s="4">
        <v>3.624517490894021</v>
      </c>
      <c r="K664" s="5">
        <v>1</v>
      </c>
      <c r="L664" s="5">
        <v>0</v>
      </c>
      <c r="M664" s="5">
        <v>1</v>
      </c>
    </row>
    <row r="665" spans="1:13" hidden="1" x14ac:dyDescent="0.25">
      <c r="A665" t="s">
        <v>676</v>
      </c>
      <c r="B665" s="1">
        <v>0.1073051037240098</v>
      </c>
      <c r="C665" s="2">
        <v>3.0575010381309471E-5</v>
      </c>
      <c r="D665" s="2"/>
      <c r="E665" s="2">
        <v>-0.15350711192093719</v>
      </c>
      <c r="F665" s="3">
        <v>76.257763965360454</v>
      </c>
      <c r="G665" s="3">
        <v>1</v>
      </c>
      <c r="H665" s="2">
        <v>5.4188793757450959E-5</v>
      </c>
      <c r="I665" s="4">
        <v>0</v>
      </c>
      <c r="J665" s="4">
        <v>-0.15350711192093719</v>
      </c>
      <c r="K665" s="5">
        <v>1</v>
      </c>
      <c r="L665" s="5">
        <v>0</v>
      </c>
      <c r="M665" s="5">
        <v>0</v>
      </c>
    </row>
    <row r="666" spans="1:13" hidden="1" x14ac:dyDescent="0.25">
      <c r="A666" t="s">
        <v>677</v>
      </c>
      <c r="B666" s="1">
        <v>0.1071191278171419</v>
      </c>
      <c r="C666" s="2">
        <v>3.0522019283162039E-5</v>
      </c>
      <c r="D666" s="2"/>
      <c r="E666" s="2">
        <v>0.26057373038610948</v>
      </c>
      <c r="F666" s="3">
        <v>113.560946992551</v>
      </c>
      <c r="G666" s="3">
        <v>3</v>
      </c>
      <c r="H666" s="2">
        <v>1.6256638127235291E-4</v>
      </c>
      <c r="I666" s="4">
        <v>1.110223024625157E-16</v>
      </c>
      <c r="J666" s="4">
        <v>0.26057373038610943</v>
      </c>
      <c r="K666" s="5">
        <v>2</v>
      </c>
      <c r="L666" s="5">
        <v>0</v>
      </c>
      <c r="M666" s="5">
        <v>0</v>
      </c>
    </row>
    <row r="667" spans="1:13" hidden="1" x14ac:dyDescent="0.25">
      <c r="A667" t="s">
        <v>678</v>
      </c>
      <c r="B667" s="1">
        <v>0.10694961871048179</v>
      </c>
      <c r="C667" s="2">
        <v>3.0473720157435551E-5</v>
      </c>
      <c r="D667" s="2"/>
      <c r="E667" s="2">
        <v>0.48735491355240801</v>
      </c>
      <c r="F667" s="3">
        <v>133.99091891697611</v>
      </c>
      <c r="G667" s="3">
        <v>1</v>
      </c>
      <c r="H667" s="2">
        <v>5.4188793757450959E-5</v>
      </c>
      <c r="I667" s="4">
        <v>-1.110223024625157E-16</v>
      </c>
      <c r="J667" s="4">
        <v>0.48735491355240812</v>
      </c>
      <c r="K667" s="5">
        <v>1</v>
      </c>
      <c r="L667" s="5">
        <v>0</v>
      </c>
      <c r="M667" s="5">
        <v>0</v>
      </c>
    </row>
    <row r="668" spans="1:13" hidden="1" x14ac:dyDescent="0.25">
      <c r="A668" t="s">
        <v>679</v>
      </c>
      <c r="B668" s="1">
        <v>0.10678318644071021</v>
      </c>
      <c r="C668" s="2">
        <v>3.0426297731106801E-5</v>
      </c>
      <c r="D668" s="2"/>
      <c r="E668" s="2">
        <v>0.40439081321205639</v>
      </c>
      <c r="F668" s="3">
        <v>126.5169556144491</v>
      </c>
      <c r="G668" s="3">
        <v>1</v>
      </c>
      <c r="H668" s="2">
        <v>5.4188793757450959E-5</v>
      </c>
      <c r="I668" s="4">
        <v>0</v>
      </c>
      <c r="J668" s="4">
        <v>0.40439081321205639</v>
      </c>
      <c r="K668" s="5">
        <v>1</v>
      </c>
      <c r="L668" s="5">
        <v>0</v>
      </c>
      <c r="M668" s="5">
        <v>0</v>
      </c>
    </row>
    <row r="669" spans="1:13" hidden="1" x14ac:dyDescent="0.25">
      <c r="A669" t="s">
        <v>680</v>
      </c>
      <c r="B669" s="1">
        <v>0.10672279215113439</v>
      </c>
      <c r="C669" s="2">
        <v>3.0409089266954881E-5</v>
      </c>
      <c r="D669" s="2"/>
      <c r="E669" s="2">
        <v>0.60314989386592099</v>
      </c>
      <c r="F669" s="3">
        <v>144.42250836264751</v>
      </c>
      <c r="G669" s="3">
        <v>1</v>
      </c>
      <c r="H669" s="2">
        <v>5.4188793757450959E-5</v>
      </c>
      <c r="I669" s="4">
        <v>0</v>
      </c>
      <c r="J669" s="4">
        <v>0.60314989386592099</v>
      </c>
      <c r="K669" s="5">
        <v>1</v>
      </c>
      <c r="L669" s="5">
        <v>0</v>
      </c>
      <c r="M669" s="5">
        <v>0</v>
      </c>
    </row>
    <row r="670" spans="1:13" hidden="1" x14ac:dyDescent="0.25">
      <c r="A670" t="s">
        <v>681</v>
      </c>
      <c r="B670" s="1">
        <v>0.10664443883013799</v>
      </c>
      <c r="C670" s="2">
        <v>3.0386763641055159E-5</v>
      </c>
      <c r="D670" s="2"/>
      <c r="E670" s="2">
        <v>0.14465178438024659</v>
      </c>
      <c r="F670" s="3">
        <v>103.117919624677</v>
      </c>
      <c r="G670" s="3">
        <v>2</v>
      </c>
      <c r="H670" s="2">
        <v>1.083775875149019E-4</v>
      </c>
      <c r="I670" s="4">
        <v>-2.2204460492503131E-16</v>
      </c>
      <c r="J670" s="4">
        <v>0.14465178438024681</v>
      </c>
      <c r="K670" s="5">
        <v>2</v>
      </c>
      <c r="L670" s="5">
        <v>0</v>
      </c>
      <c r="M670" s="5">
        <v>0</v>
      </c>
    </row>
    <row r="671" spans="1:13" hidden="1" x14ac:dyDescent="0.25">
      <c r="A671" t="s">
        <v>682</v>
      </c>
      <c r="B671" s="1">
        <v>0.1065343525575816</v>
      </c>
      <c r="C671" s="2">
        <v>3.0355396177538139E-5</v>
      </c>
      <c r="D671" s="2"/>
      <c r="E671" s="2">
        <v>-0.46812605104005639</v>
      </c>
      <c r="F671" s="3">
        <v>47.914777111893798</v>
      </c>
      <c r="G671" s="3">
        <v>2</v>
      </c>
      <c r="H671" s="2">
        <v>1.083775875149019E-4</v>
      </c>
      <c r="I671" s="4">
        <v>-2.2204460492503131E-16</v>
      </c>
      <c r="J671" s="4">
        <v>-0.46812605104005622</v>
      </c>
      <c r="K671" s="5">
        <v>2</v>
      </c>
      <c r="L671" s="5">
        <v>0</v>
      </c>
      <c r="M671" s="5">
        <v>1</v>
      </c>
    </row>
    <row r="672" spans="1:13" hidden="1" x14ac:dyDescent="0.25">
      <c r="A672" t="s">
        <v>683</v>
      </c>
      <c r="B672" s="1">
        <v>0.1062940419668657</v>
      </c>
      <c r="C672" s="2">
        <v>3.028692321072778E-5</v>
      </c>
      <c r="D672" s="2"/>
      <c r="E672" s="2">
        <v>0.35315283940845071</v>
      </c>
      <c r="F672" s="3">
        <v>121.9010948465631</v>
      </c>
      <c r="G672" s="3">
        <v>1</v>
      </c>
      <c r="H672" s="2">
        <v>5.4188793757450959E-5</v>
      </c>
      <c r="I672" s="4">
        <v>5.5511151231257827E-17</v>
      </c>
      <c r="J672" s="4">
        <v>0.3531528394084506</v>
      </c>
      <c r="K672" s="5">
        <v>1</v>
      </c>
      <c r="L672" s="5">
        <v>0</v>
      </c>
      <c r="M672" s="5">
        <v>0</v>
      </c>
    </row>
    <row r="673" spans="1:13" hidden="1" x14ac:dyDescent="0.25">
      <c r="A673" t="s">
        <v>684</v>
      </c>
      <c r="B673" s="1">
        <v>0.1058209535828262</v>
      </c>
      <c r="C673" s="2">
        <v>3.0152123636883739E-5</v>
      </c>
      <c r="D673" s="2"/>
      <c r="E673" s="2">
        <v>0.85734724087245251</v>
      </c>
      <c r="F673" s="3">
        <v>167.32231243853761</v>
      </c>
      <c r="G673" s="3">
        <v>1</v>
      </c>
      <c r="H673" s="2">
        <v>5.4188793757450959E-5</v>
      </c>
      <c r="I673" s="4">
        <v>1.110223024625157E-16</v>
      </c>
      <c r="J673" s="4">
        <v>0.8573472408724524</v>
      </c>
      <c r="K673" s="5">
        <v>1</v>
      </c>
      <c r="L673" s="5">
        <v>0</v>
      </c>
      <c r="M673" s="5">
        <v>0</v>
      </c>
    </row>
    <row r="674" spans="1:13" hidden="1" x14ac:dyDescent="0.25">
      <c r="A674" t="s">
        <v>685</v>
      </c>
      <c r="B674" s="1">
        <v>0.10490868738005089</v>
      </c>
      <c r="C674" s="2">
        <v>2.9892186805807081E-5</v>
      </c>
      <c r="D674" s="2"/>
      <c r="E674" s="2">
        <v>7.5226283214815837E-2</v>
      </c>
      <c r="F674" s="3">
        <v>96.863604254037071</v>
      </c>
      <c r="G674" s="3">
        <v>1</v>
      </c>
      <c r="H674" s="2">
        <v>5.4188793757450959E-5</v>
      </c>
      <c r="I674" s="4">
        <v>0</v>
      </c>
      <c r="J674" s="4">
        <v>7.5226283214815837E-2</v>
      </c>
      <c r="K674" s="5">
        <v>1</v>
      </c>
      <c r="L674" s="5">
        <v>0</v>
      </c>
      <c r="M674" s="5">
        <v>0</v>
      </c>
    </row>
    <row r="675" spans="1:13" hidden="1" x14ac:dyDescent="0.25">
      <c r="A675" t="s">
        <v>686</v>
      </c>
      <c r="B675" s="1">
        <v>0.10412320244596231</v>
      </c>
      <c r="C675" s="2">
        <v>2.9668374431738728E-5</v>
      </c>
      <c r="D675" s="2"/>
      <c r="E675" s="2">
        <v>0.2309482520769803</v>
      </c>
      <c r="F675" s="3">
        <v>110.8920849571177</v>
      </c>
      <c r="G675" s="3">
        <v>1</v>
      </c>
      <c r="H675" s="2">
        <v>5.4188793757450959E-5</v>
      </c>
      <c r="I675" s="4">
        <v>-8.3266726846886741E-17</v>
      </c>
      <c r="J675" s="4">
        <v>0.23094825207698039</v>
      </c>
      <c r="K675" s="5">
        <v>1</v>
      </c>
      <c r="L675" s="5">
        <v>0</v>
      </c>
      <c r="M675" s="5">
        <v>0</v>
      </c>
    </row>
    <row r="676" spans="1:13" hidden="1" x14ac:dyDescent="0.25">
      <c r="A676" t="s">
        <v>687</v>
      </c>
      <c r="B676" s="1">
        <v>0.1040900455223767</v>
      </c>
      <c r="C676" s="2">
        <v>2.9658926854245591E-5</v>
      </c>
      <c r="D676" s="2"/>
      <c r="E676" s="2">
        <v>0.2085389281184675</v>
      </c>
      <c r="F676" s="3">
        <v>108.8733025655379</v>
      </c>
      <c r="G676" s="3">
        <v>1</v>
      </c>
      <c r="H676" s="2">
        <v>5.4188793757450959E-5</v>
      </c>
      <c r="I676" s="4">
        <v>0</v>
      </c>
      <c r="J676" s="4">
        <v>0.2085389281184675</v>
      </c>
      <c r="K676" s="5">
        <v>1</v>
      </c>
      <c r="L676" s="5">
        <v>1</v>
      </c>
      <c r="M676" s="5">
        <v>0</v>
      </c>
    </row>
    <row r="677" spans="1:13" hidden="1" x14ac:dyDescent="0.25">
      <c r="A677" t="s">
        <v>688</v>
      </c>
      <c r="B677" s="1">
        <v>0.1039560325037495</v>
      </c>
      <c r="C677" s="2">
        <v>2.9620741816502229E-5</v>
      </c>
      <c r="D677" s="2"/>
      <c r="E677" s="2">
        <v>-0.50668205074920558</v>
      </c>
      <c r="F677" s="3">
        <v>44.441393735996861</v>
      </c>
      <c r="G677" s="3">
        <v>3</v>
      </c>
      <c r="H677" s="2">
        <v>1.6256638127235291E-4</v>
      </c>
      <c r="I677" s="4">
        <v>1.110223024625157E-16</v>
      </c>
      <c r="J677" s="4">
        <v>-0.50668205074920569</v>
      </c>
      <c r="K677" s="5">
        <v>3</v>
      </c>
      <c r="L677" s="5">
        <v>0</v>
      </c>
      <c r="M677" s="5">
        <v>0</v>
      </c>
    </row>
    <row r="678" spans="1:13" hidden="1" x14ac:dyDescent="0.25">
      <c r="A678" t="s">
        <v>689</v>
      </c>
      <c r="B678" s="1">
        <v>0.10385357780549979</v>
      </c>
      <c r="C678" s="2">
        <v>2.959154885779025E-5</v>
      </c>
      <c r="D678" s="2"/>
      <c r="E678" s="2" t="s">
        <v>303</v>
      </c>
      <c r="F678" s="3" t="s">
        <v>303</v>
      </c>
      <c r="G678" s="3">
        <v>1</v>
      </c>
      <c r="H678" s="2">
        <v>5.4188793757450959E-5</v>
      </c>
      <c r="I678" s="4" t="s">
        <v>303</v>
      </c>
      <c r="J678" s="4">
        <v>0</v>
      </c>
      <c r="K678" s="5">
        <v>1</v>
      </c>
      <c r="L678" s="5">
        <v>0</v>
      </c>
      <c r="M678" s="5">
        <v>1</v>
      </c>
    </row>
    <row r="679" spans="1:13" hidden="1" x14ac:dyDescent="0.25">
      <c r="A679" t="s">
        <v>690</v>
      </c>
      <c r="B679" s="1">
        <v>0.10374019927799211</v>
      </c>
      <c r="C679" s="2">
        <v>2.9559243314668251E-5</v>
      </c>
      <c r="D679" s="2"/>
      <c r="E679" s="2">
        <v>-0.13431541972769931</v>
      </c>
      <c r="F679" s="3">
        <v>77.986680479578212</v>
      </c>
      <c r="G679" s="3">
        <v>3</v>
      </c>
      <c r="H679" s="2">
        <v>1.6256638127235291E-4</v>
      </c>
      <c r="I679" s="4">
        <v>-1.3877787807814459E-16</v>
      </c>
      <c r="J679" s="4">
        <v>-0.1343154197276992</v>
      </c>
      <c r="K679" s="5">
        <v>3</v>
      </c>
      <c r="L679" s="5">
        <v>0</v>
      </c>
      <c r="M679" s="5">
        <v>0</v>
      </c>
    </row>
    <row r="680" spans="1:13" hidden="1" x14ac:dyDescent="0.25">
      <c r="A680" t="s">
        <v>691</v>
      </c>
      <c r="B680" s="1">
        <v>0.10368552991566229</v>
      </c>
      <c r="C680" s="2">
        <v>2.9543666084296509E-5</v>
      </c>
      <c r="D680" s="2"/>
      <c r="E680" s="2">
        <v>-0.82887115148632617</v>
      </c>
      <c r="F680" s="3">
        <v>15.4164358867015</v>
      </c>
      <c r="G680" s="3">
        <v>15</v>
      </c>
      <c r="H680" s="2">
        <v>8.1283190636176437E-4</v>
      </c>
      <c r="I680" s="4">
        <v>-0.30332465979432438</v>
      </c>
      <c r="J680" s="4">
        <v>-0.52554649169200174</v>
      </c>
      <c r="K680" s="5">
        <v>10</v>
      </c>
      <c r="L680" s="5">
        <v>0</v>
      </c>
      <c r="M680" s="5">
        <v>1</v>
      </c>
    </row>
    <row r="681" spans="1:13" hidden="1" x14ac:dyDescent="0.25">
      <c r="A681" t="s">
        <v>692</v>
      </c>
      <c r="B681" s="1">
        <v>0.1032900613849331</v>
      </c>
      <c r="C681" s="2">
        <v>2.9430983145527599E-5</v>
      </c>
      <c r="D681" s="2"/>
      <c r="E681" s="2">
        <v>-0.82047003822308895</v>
      </c>
      <c r="F681" s="3">
        <v>16.17326458697331</v>
      </c>
      <c r="G681" s="3">
        <v>1</v>
      </c>
      <c r="H681" s="2">
        <v>5.4188793757450959E-5</v>
      </c>
      <c r="I681" s="4">
        <v>0</v>
      </c>
      <c r="J681" s="4">
        <v>-0.82047003822308895</v>
      </c>
      <c r="K681" s="5">
        <v>1</v>
      </c>
      <c r="L681" s="5">
        <v>0</v>
      </c>
      <c r="M681" s="5">
        <v>0</v>
      </c>
    </row>
    <row r="682" spans="1:13" hidden="1" x14ac:dyDescent="0.25">
      <c r="A682" t="s">
        <v>693</v>
      </c>
      <c r="B682" s="1">
        <v>0.1030629879964701</v>
      </c>
      <c r="C682" s="2">
        <v>2.936628192472235E-5</v>
      </c>
      <c r="D682" s="2"/>
      <c r="E682" s="2">
        <v>0.30621728090162392</v>
      </c>
      <c r="F682" s="3">
        <v>117.6728245414006</v>
      </c>
      <c r="G682" s="3">
        <v>1</v>
      </c>
      <c r="H682" s="2">
        <v>5.4188793757450959E-5</v>
      </c>
      <c r="I682" s="4">
        <v>-1.110223024625157E-16</v>
      </c>
      <c r="J682" s="4">
        <v>0.30621728090162409</v>
      </c>
      <c r="K682" s="5">
        <v>1</v>
      </c>
      <c r="L682" s="5">
        <v>0</v>
      </c>
      <c r="M682" s="5">
        <v>0</v>
      </c>
    </row>
    <row r="683" spans="1:13" hidden="1" x14ac:dyDescent="0.25">
      <c r="A683" t="s">
        <v>694</v>
      </c>
      <c r="B683" s="1">
        <v>0.10294036666244299</v>
      </c>
      <c r="C683" s="2">
        <v>2.9331342779884549E-5</v>
      </c>
      <c r="D683" s="2"/>
      <c r="E683" s="2">
        <v>-1.579675120076063E-3</v>
      </c>
      <c r="F683" s="3">
        <v>89.944407738249637</v>
      </c>
      <c r="G683" s="3">
        <v>1</v>
      </c>
      <c r="H683" s="2">
        <v>5.4188793757450959E-5</v>
      </c>
      <c r="I683" s="4">
        <v>4.7704895589362201E-17</v>
      </c>
      <c r="J683" s="4">
        <v>-1.5796751200761101E-3</v>
      </c>
      <c r="K683" s="5">
        <v>1</v>
      </c>
      <c r="L683" s="5">
        <v>0</v>
      </c>
      <c r="M683" s="5">
        <v>0</v>
      </c>
    </row>
    <row r="684" spans="1:13" hidden="1" x14ac:dyDescent="0.25">
      <c r="A684" t="s">
        <v>695</v>
      </c>
      <c r="B684" s="1">
        <v>0.1028929105652264</v>
      </c>
      <c r="C684" s="2">
        <v>2.9317820863268299E-5</v>
      </c>
      <c r="D684" s="2"/>
      <c r="E684" s="2">
        <v>0.47594539632849009</v>
      </c>
      <c r="F684" s="3">
        <v>132.9630729850455</v>
      </c>
      <c r="G684" s="3">
        <v>1</v>
      </c>
      <c r="H684" s="2">
        <v>5.4188793757450959E-5</v>
      </c>
      <c r="I684" s="4">
        <v>0</v>
      </c>
      <c r="J684" s="4">
        <v>0.47594539632849009</v>
      </c>
      <c r="K684" s="5">
        <v>1</v>
      </c>
      <c r="L684" s="5">
        <v>0</v>
      </c>
      <c r="M684" s="5">
        <v>0</v>
      </c>
    </row>
    <row r="685" spans="1:13" hidden="1" x14ac:dyDescent="0.25">
      <c r="A685" t="s">
        <v>696</v>
      </c>
      <c r="B685" s="1">
        <v>0.1027473376959341</v>
      </c>
      <c r="C685" s="2">
        <v>2.9276342016173601E-5</v>
      </c>
      <c r="D685" s="2"/>
      <c r="E685" s="2">
        <v>0.52355232918586725</v>
      </c>
      <c r="F685" s="3">
        <v>137.25182520030751</v>
      </c>
      <c r="G685" s="3">
        <v>3</v>
      </c>
      <c r="H685" s="2">
        <v>1.6256638127235291E-4</v>
      </c>
      <c r="I685" s="4">
        <v>-2.2204460492503131E-16</v>
      </c>
      <c r="J685" s="4">
        <v>0.52355232918586747</v>
      </c>
      <c r="K685" s="5">
        <v>3</v>
      </c>
      <c r="L685" s="5">
        <v>0</v>
      </c>
      <c r="M685" s="5">
        <v>0</v>
      </c>
    </row>
    <row r="686" spans="1:13" hidden="1" x14ac:dyDescent="0.25">
      <c r="A686" t="s">
        <v>697</v>
      </c>
      <c r="B686" s="1">
        <v>0.1027273303651046</v>
      </c>
      <c r="C686" s="2">
        <v>2.9270641221648599E-5</v>
      </c>
      <c r="D686" s="2"/>
      <c r="E686" s="2">
        <v>0.13445941652368409</v>
      </c>
      <c r="F686" s="3">
        <v>102.1997226815017</v>
      </c>
      <c r="G686" s="3">
        <v>1</v>
      </c>
      <c r="H686" s="2">
        <v>5.4188793757450959E-5</v>
      </c>
      <c r="I686" s="4">
        <v>0</v>
      </c>
      <c r="J686" s="4">
        <v>0.13445941652368409</v>
      </c>
      <c r="K686" s="5">
        <v>1</v>
      </c>
      <c r="L686" s="5">
        <v>0</v>
      </c>
      <c r="M686" s="5">
        <v>0</v>
      </c>
    </row>
    <row r="687" spans="1:13" hidden="1" x14ac:dyDescent="0.25">
      <c r="A687" t="s">
        <v>698</v>
      </c>
      <c r="B687" s="1">
        <v>0.1026578607541352</v>
      </c>
      <c r="C687" s="2">
        <v>2.9250846878203049E-5</v>
      </c>
      <c r="D687" s="2"/>
      <c r="E687" s="2">
        <v>-0.1123698925155078</v>
      </c>
      <c r="F687" s="3">
        <v>79.963680945631026</v>
      </c>
      <c r="G687" s="3">
        <v>1</v>
      </c>
      <c r="H687" s="2">
        <v>5.4188793757450959E-5</v>
      </c>
      <c r="I687" s="4">
        <v>5.5511151231257827E-17</v>
      </c>
      <c r="J687" s="4">
        <v>-0.1123698925155078</v>
      </c>
      <c r="K687" s="5">
        <v>1</v>
      </c>
      <c r="L687" s="5">
        <v>0</v>
      </c>
      <c r="M687" s="5">
        <v>0</v>
      </c>
    </row>
    <row r="688" spans="1:13" hidden="1" x14ac:dyDescent="0.25">
      <c r="A688" t="s">
        <v>699</v>
      </c>
      <c r="B688" s="1">
        <v>0.102624146384829</v>
      </c>
      <c r="C688" s="2">
        <v>2.9241240464754269E-5</v>
      </c>
      <c r="D688" s="2"/>
      <c r="E688" s="2">
        <v>6.7418224235873181E-2</v>
      </c>
      <c r="F688" s="3">
        <v>96.160201866339506</v>
      </c>
      <c r="G688" s="3">
        <v>3</v>
      </c>
      <c r="H688" s="2">
        <v>1.6256638127235291E-4</v>
      </c>
      <c r="I688" s="4">
        <v>-4.163336342344337E-17</v>
      </c>
      <c r="J688" s="4">
        <v>6.7418224235873223E-2</v>
      </c>
      <c r="K688" s="5">
        <v>3</v>
      </c>
      <c r="L688" s="5">
        <v>0</v>
      </c>
      <c r="M688" s="5">
        <v>0</v>
      </c>
    </row>
    <row r="689" spans="1:13" hidden="1" x14ac:dyDescent="0.25">
      <c r="A689" t="s">
        <v>700</v>
      </c>
      <c r="B689" s="1">
        <v>0.10247038495671409</v>
      </c>
      <c r="C689" s="2">
        <v>2.9197428408312391E-5</v>
      </c>
      <c r="D689" s="2"/>
      <c r="E689" s="2">
        <v>0.70150523794178032</v>
      </c>
      <c r="F689" s="3">
        <v>153.2830182604792</v>
      </c>
      <c r="G689" s="3">
        <v>6</v>
      </c>
      <c r="H689" s="2">
        <v>3.2513276254470582E-4</v>
      </c>
      <c r="I689" s="4">
        <v>-4.4408920985006262E-16</v>
      </c>
      <c r="J689" s="4">
        <v>0.70150523794178077</v>
      </c>
      <c r="K689" s="5">
        <v>6</v>
      </c>
      <c r="L689" s="5">
        <v>0</v>
      </c>
      <c r="M689" s="5">
        <v>0</v>
      </c>
    </row>
    <row r="690" spans="1:13" hidden="1" x14ac:dyDescent="0.25">
      <c r="A690" t="s">
        <v>701</v>
      </c>
      <c r="B690" s="1">
        <v>0.1020112629638059</v>
      </c>
      <c r="C690" s="2">
        <v>2.9066608352114872E-5</v>
      </c>
      <c r="D690" s="2"/>
      <c r="E690" s="2">
        <v>1.5077732999328419</v>
      </c>
      <c r="F690" s="3">
        <v>225.9170597627633</v>
      </c>
      <c r="G690" s="3">
        <v>1</v>
      </c>
      <c r="H690" s="2">
        <v>5.4188793757450959E-5</v>
      </c>
      <c r="I690" s="4">
        <v>-0.13950701184978809</v>
      </c>
      <c r="J690" s="4">
        <v>1.6472803117826289</v>
      </c>
      <c r="K690" s="5">
        <v>1</v>
      </c>
      <c r="L690" s="5">
        <v>0</v>
      </c>
      <c r="M690" s="5">
        <v>0</v>
      </c>
    </row>
    <row r="691" spans="1:13" hidden="1" x14ac:dyDescent="0.25">
      <c r="A691" t="s">
        <v>702</v>
      </c>
      <c r="B691" s="1">
        <v>0.1019301863665944</v>
      </c>
      <c r="C691" s="2">
        <v>2.9043506768728889E-5</v>
      </c>
      <c r="D691" s="2"/>
      <c r="E691" s="2">
        <v>-0.36519385809768118</v>
      </c>
      <c r="F691" s="3">
        <v>57.187600291364461</v>
      </c>
      <c r="G691" s="3">
        <v>1</v>
      </c>
      <c r="H691" s="2">
        <v>5.4188793757450959E-5</v>
      </c>
      <c r="I691" s="4">
        <v>-5.5511151231257827E-17</v>
      </c>
      <c r="J691" s="4">
        <v>-0.36519385809768112</v>
      </c>
      <c r="K691" s="5">
        <v>1</v>
      </c>
      <c r="L691" s="5">
        <v>0</v>
      </c>
      <c r="M691" s="5">
        <v>0</v>
      </c>
    </row>
    <row r="692" spans="1:13" hidden="1" x14ac:dyDescent="0.25">
      <c r="A692" t="s">
        <v>703</v>
      </c>
      <c r="B692" s="1">
        <v>0.1016293438561064</v>
      </c>
      <c r="C692" s="2">
        <v>2.8957786122067291E-5</v>
      </c>
      <c r="D692" s="2"/>
      <c r="E692" s="2">
        <v>-0.73244456483383058</v>
      </c>
      <c r="F692" s="3">
        <v>24.103190363302119</v>
      </c>
      <c r="G692" s="3">
        <v>2</v>
      </c>
      <c r="H692" s="2">
        <v>1.083775875149019E-4</v>
      </c>
      <c r="I692" s="4">
        <v>0</v>
      </c>
      <c r="J692" s="4">
        <v>-0.73244456483383058</v>
      </c>
      <c r="K692" s="5">
        <v>2</v>
      </c>
      <c r="L692" s="5">
        <v>0</v>
      </c>
      <c r="M692" s="5">
        <v>1</v>
      </c>
    </row>
    <row r="693" spans="1:13" hidden="1" x14ac:dyDescent="0.25">
      <c r="A693" t="s">
        <v>704</v>
      </c>
      <c r="B693" s="1">
        <v>0.1016168419582047</v>
      </c>
      <c r="C693" s="2">
        <v>2.895422389021751E-5</v>
      </c>
      <c r="D693" s="2"/>
      <c r="E693" s="2">
        <v>-3.0626069769899459E-2</v>
      </c>
      <c r="F693" s="3">
        <v>87.327713447672124</v>
      </c>
      <c r="G693" s="3">
        <v>1</v>
      </c>
      <c r="H693" s="2">
        <v>5.4188793757450959E-5</v>
      </c>
      <c r="I693" s="4">
        <v>1.6653345369377351E-16</v>
      </c>
      <c r="J693" s="4">
        <v>-3.0626069769899619E-2</v>
      </c>
      <c r="K693" s="5">
        <v>1</v>
      </c>
      <c r="L693" s="5">
        <v>0</v>
      </c>
      <c r="M693" s="5">
        <v>1</v>
      </c>
    </row>
    <row r="694" spans="1:13" hidden="1" x14ac:dyDescent="0.25">
      <c r="A694" t="s">
        <v>705</v>
      </c>
      <c r="B694" s="1">
        <v>0.10141779594080361</v>
      </c>
      <c r="C694" s="2">
        <v>2.8897508656391819E-5</v>
      </c>
      <c r="D694" s="2"/>
      <c r="E694" s="2">
        <v>0.13519074005368489</v>
      </c>
      <c r="F694" s="3">
        <v>102.2656052162736</v>
      </c>
      <c r="G694" s="3">
        <v>1</v>
      </c>
      <c r="H694" s="2">
        <v>5.4188793757450959E-5</v>
      </c>
      <c r="I694" s="4">
        <v>0</v>
      </c>
      <c r="J694" s="4">
        <v>0.13519074005368489</v>
      </c>
      <c r="K694" s="5">
        <v>1</v>
      </c>
      <c r="L694" s="5">
        <v>0</v>
      </c>
      <c r="M694" s="5">
        <v>0</v>
      </c>
    </row>
    <row r="695" spans="1:13" hidden="1" x14ac:dyDescent="0.25">
      <c r="A695" t="s">
        <v>706</v>
      </c>
      <c r="B695" s="1">
        <v>0.10141152141170751</v>
      </c>
      <c r="C695" s="2">
        <v>2.889572082165151E-5</v>
      </c>
      <c r="D695" s="2"/>
      <c r="E695" s="2">
        <v>-0.53093242722975587</v>
      </c>
      <c r="F695" s="3">
        <v>42.25675696967803</v>
      </c>
      <c r="G695" s="3">
        <v>3</v>
      </c>
      <c r="H695" s="2">
        <v>1.6256638127235291E-4</v>
      </c>
      <c r="I695" s="4">
        <v>-0.3968376096016254</v>
      </c>
      <c r="J695" s="4">
        <v>-0.1340948176281305</v>
      </c>
      <c r="K695" s="5">
        <v>3</v>
      </c>
      <c r="L695" s="5">
        <v>0</v>
      </c>
      <c r="M695" s="5">
        <v>0</v>
      </c>
    </row>
    <row r="696" spans="1:13" hidden="1" x14ac:dyDescent="0.25">
      <c r="A696" t="s">
        <v>707</v>
      </c>
      <c r="B696" s="1">
        <v>0.1013468115811363</v>
      </c>
      <c r="C696" s="2">
        <v>2.8877282707593329E-5</v>
      </c>
      <c r="D696" s="2"/>
      <c r="E696" s="2">
        <v>0.91805039183078097</v>
      </c>
      <c r="F696" s="3">
        <v>172.79085992774159</v>
      </c>
      <c r="G696" s="3">
        <v>1</v>
      </c>
      <c r="H696" s="2">
        <v>5.4188793757450959E-5</v>
      </c>
      <c r="I696" s="4">
        <v>-1.110223024625157E-16</v>
      </c>
      <c r="J696" s="4">
        <v>0.91805039183078108</v>
      </c>
      <c r="K696" s="5">
        <v>1</v>
      </c>
      <c r="L696" s="5">
        <v>0</v>
      </c>
      <c r="M696" s="5">
        <v>0</v>
      </c>
    </row>
    <row r="697" spans="1:13" hidden="1" x14ac:dyDescent="0.25">
      <c r="A697" t="s">
        <v>708</v>
      </c>
      <c r="B697" s="1">
        <v>0.10067262957700709</v>
      </c>
      <c r="C697" s="2">
        <v>2.868518446566667E-5</v>
      </c>
      <c r="D697" s="2"/>
      <c r="E697" s="2">
        <v>0.50838256992026931</v>
      </c>
      <c r="F697" s="3">
        <v>135.88523141342711</v>
      </c>
      <c r="G697" s="3">
        <v>1</v>
      </c>
      <c r="H697" s="2">
        <v>5.4188793757450959E-5</v>
      </c>
      <c r="I697" s="4">
        <v>0</v>
      </c>
      <c r="J697" s="4">
        <v>0.50838256992026931</v>
      </c>
      <c r="K697" s="5">
        <v>1</v>
      </c>
      <c r="L697" s="5">
        <v>0</v>
      </c>
      <c r="M697" s="5">
        <v>1</v>
      </c>
    </row>
    <row r="698" spans="1:13" hidden="1" x14ac:dyDescent="0.25">
      <c r="A698" t="s">
        <v>709</v>
      </c>
      <c r="B698" s="1">
        <v>0.1005663647467652</v>
      </c>
      <c r="C698" s="2">
        <v>2.8654905865907131E-5</v>
      </c>
      <c r="D698" s="2"/>
      <c r="E698" s="2">
        <v>-0.1229313803511722</v>
      </c>
      <c r="F698" s="3">
        <v>79.012231195919838</v>
      </c>
      <c r="G698" s="3">
        <v>2</v>
      </c>
      <c r="H698" s="2">
        <v>1.083775875149019E-4</v>
      </c>
      <c r="I698" s="4">
        <v>4.163336342344337E-17</v>
      </c>
      <c r="J698" s="4">
        <v>-0.12293138035117231</v>
      </c>
      <c r="K698" s="5">
        <v>2</v>
      </c>
      <c r="L698" s="5">
        <v>0</v>
      </c>
      <c r="M698" s="5">
        <v>2</v>
      </c>
    </row>
    <row r="699" spans="1:13" hidden="1" x14ac:dyDescent="0.25">
      <c r="A699" t="s">
        <v>710</v>
      </c>
      <c r="B699" s="1">
        <v>9.9730608045566646E-2</v>
      </c>
      <c r="C699" s="2">
        <v>2.841676929151716E-5</v>
      </c>
      <c r="D699" s="2"/>
      <c r="E699" s="2">
        <v>1.121369530562921E-2</v>
      </c>
      <c r="F699" s="3">
        <v>91.096920459837605</v>
      </c>
      <c r="G699" s="3">
        <v>2</v>
      </c>
      <c r="H699" s="2">
        <v>1.083775875149019E-4</v>
      </c>
      <c r="I699" s="4">
        <v>-3.660266534311063E-16</v>
      </c>
      <c r="J699" s="4">
        <v>1.121369530562958E-2</v>
      </c>
      <c r="K699" s="5">
        <v>2</v>
      </c>
      <c r="L699" s="5">
        <v>0</v>
      </c>
      <c r="M699" s="5">
        <v>1</v>
      </c>
    </row>
    <row r="700" spans="1:13" hidden="1" x14ac:dyDescent="0.25">
      <c r="A700" t="s">
        <v>711</v>
      </c>
      <c r="B700" s="1">
        <v>9.963568381146648E-2</v>
      </c>
      <c r="C700" s="2">
        <v>2.838972202775872E-5</v>
      </c>
      <c r="D700" s="2"/>
      <c r="E700" s="2">
        <v>1.706055449983229</v>
      </c>
      <c r="F700" s="3">
        <v>243.77964739938179</v>
      </c>
      <c r="G700" s="3">
        <v>1</v>
      </c>
      <c r="H700" s="2">
        <v>5.4188793757450959E-5</v>
      </c>
      <c r="I700" s="4">
        <v>-2.2204460492503131E-16</v>
      </c>
      <c r="J700" s="4">
        <v>1.706055449983229</v>
      </c>
      <c r="K700" s="5">
        <v>1</v>
      </c>
      <c r="L700" s="5">
        <v>0</v>
      </c>
      <c r="M700" s="5">
        <v>0</v>
      </c>
    </row>
    <row r="701" spans="1:13" hidden="1" x14ac:dyDescent="0.25">
      <c r="A701" t="s">
        <v>712</v>
      </c>
      <c r="B701" s="1">
        <v>9.9553045818618374E-2</v>
      </c>
      <c r="C701" s="2">
        <v>2.8366175547661002E-5</v>
      </c>
      <c r="D701" s="2"/>
      <c r="E701" s="2">
        <v>0.1126264492499556</v>
      </c>
      <c r="F701" s="3">
        <v>100.2328623705998</v>
      </c>
      <c r="G701" s="3">
        <v>1</v>
      </c>
      <c r="H701" s="2">
        <v>5.4188793757450959E-5</v>
      </c>
      <c r="I701" s="4">
        <v>1.387778780781446E-17</v>
      </c>
      <c r="J701" s="4">
        <v>0.1126264492499555</v>
      </c>
      <c r="K701" s="5">
        <v>1</v>
      </c>
      <c r="L701" s="5">
        <v>0</v>
      </c>
      <c r="M701" s="5">
        <v>0</v>
      </c>
    </row>
    <row r="702" spans="1:13" hidden="1" x14ac:dyDescent="0.25">
      <c r="A702" t="s">
        <v>713</v>
      </c>
      <c r="B702" s="1">
        <v>9.9402951572756221E-2</v>
      </c>
      <c r="C702" s="2">
        <v>2.8323408400841841E-5</v>
      </c>
      <c r="D702" s="2"/>
      <c r="E702" s="2">
        <v>0.33718677936698921</v>
      </c>
      <c r="F702" s="3">
        <v>120.4627649382499</v>
      </c>
      <c r="G702" s="3">
        <v>1</v>
      </c>
      <c r="H702" s="2">
        <v>5.4188793757450959E-5</v>
      </c>
      <c r="I702" s="4">
        <v>5.5511151231257827E-17</v>
      </c>
      <c r="J702" s="4">
        <v>0.3371867793669891</v>
      </c>
      <c r="K702" s="5">
        <v>1</v>
      </c>
      <c r="L702" s="5">
        <v>0</v>
      </c>
      <c r="M702" s="5">
        <v>0</v>
      </c>
    </row>
    <row r="703" spans="1:13" hidden="1" x14ac:dyDescent="0.25">
      <c r="A703" t="s">
        <v>714</v>
      </c>
      <c r="B703" s="1">
        <v>9.938502328202975E-2</v>
      </c>
      <c r="C703" s="2">
        <v>2.831829999820247E-5</v>
      </c>
      <c r="D703" s="2"/>
      <c r="E703" s="2">
        <v>3.381972023355925</v>
      </c>
      <c r="F703" s="3">
        <v>394.75746691527848</v>
      </c>
      <c r="G703" s="3">
        <v>1</v>
      </c>
      <c r="H703" s="2">
        <v>5.4188793757450959E-5</v>
      </c>
      <c r="I703" s="4">
        <v>0</v>
      </c>
      <c r="J703" s="4">
        <v>3.381972023355925</v>
      </c>
      <c r="K703" s="5">
        <v>1</v>
      </c>
      <c r="L703" s="5">
        <v>0</v>
      </c>
      <c r="M703" s="5">
        <v>0</v>
      </c>
    </row>
    <row r="704" spans="1:13" hidden="1" x14ac:dyDescent="0.25">
      <c r="A704" t="s">
        <v>715</v>
      </c>
      <c r="B704" s="1">
        <v>9.9280351265158343E-2</v>
      </c>
      <c r="C704" s="2">
        <v>2.8288475247175649E-5</v>
      </c>
      <c r="D704" s="2"/>
      <c r="E704" s="2">
        <v>0.73567134738275652</v>
      </c>
      <c r="F704" s="3">
        <v>156.36093084079289</v>
      </c>
      <c r="G704" s="3">
        <v>1</v>
      </c>
      <c r="H704" s="2">
        <v>5.4188793757450959E-5</v>
      </c>
      <c r="I704" s="4">
        <v>0</v>
      </c>
      <c r="J704" s="4">
        <v>0.73567134738275652</v>
      </c>
      <c r="K704" s="5">
        <v>1</v>
      </c>
      <c r="L704" s="5">
        <v>0</v>
      </c>
      <c r="M704" s="5">
        <v>0</v>
      </c>
    </row>
    <row r="705" spans="1:13" hidden="1" x14ac:dyDescent="0.25">
      <c r="A705" t="s">
        <v>716</v>
      </c>
      <c r="B705" s="1">
        <v>9.91397298711168E-2</v>
      </c>
      <c r="C705" s="2">
        <v>2.8248407250095912E-5</v>
      </c>
      <c r="D705" s="2"/>
      <c r="E705" s="2">
        <v>0.5778164004236076</v>
      </c>
      <c r="F705" s="3">
        <v>142.1402971467613</v>
      </c>
      <c r="G705" s="3">
        <v>2</v>
      </c>
      <c r="H705" s="2">
        <v>1.083775875149019E-4</v>
      </c>
      <c r="I705" s="4">
        <v>0</v>
      </c>
      <c r="J705" s="4">
        <v>0.5778164004236076</v>
      </c>
      <c r="K705" s="5">
        <v>2</v>
      </c>
      <c r="L705" s="5">
        <v>0</v>
      </c>
      <c r="M705" s="5">
        <v>2</v>
      </c>
    </row>
    <row r="706" spans="1:13" hidden="1" x14ac:dyDescent="0.25">
      <c r="A706" t="s">
        <v>717</v>
      </c>
      <c r="B706" s="1">
        <v>9.8667131076750028E-2</v>
      </c>
      <c r="C706" s="2">
        <v>2.811374717762515E-5</v>
      </c>
      <c r="D706" s="2"/>
      <c r="E706" s="2">
        <v>-6.0844833912990781E-3</v>
      </c>
      <c r="F706" s="3">
        <v>89.538584357221964</v>
      </c>
      <c r="G706" s="3">
        <v>2</v>
      </c>
      <c r="H706" s="2">
        <v>1.083775875149019E-4</v>
      </c>
      <c r="I706" s="4">
        <v>-4.3107878378023661E-16</v>
      </c>
      <c r="J706" s="4">
        <v>-6.084483391298647E-3</v>
      </c>
      <c r="K706" s="5">
        <v>2</v>
      </c>
      <c r="L706" s="5">
        <v>0</v>
      </c>
      <c r="M706" s="5">
        <v>0</v>
      </c>
    </row>
    <row r="707" spans="1:13" hidden="1" x14ac:dyDescent="0.25">
      <c r="A707" t="s">
        <v>718</v>
      </c>
      <c r="B707" s="1">
        <v>9.8569959864922035E-2</v>
      </c>
      <c r="C707" s="2">
        <v>2.8086059670625979E-5</v>
      </c>
      <c r="D707" s="2"/>
      <c r="E707" s="2">
        <v>-0.19236016748176871</v>
      </c>
      <c r="F707" s="3">
        <v>72.757619803470959</v>
      </c>
      <c r="G707" s="3">
        <v>2</v>
      </c>
      <c r="H707" s="2">
        <v>1.083775875149019E-4</v>
      </c>
      <c r="I707" s="4">
        <v>0</v>
      </c>
      <c r="J707" s="4">
        <v>-0.19236016748176871</v>
      </c>
      <c r="K707" s="5">
        <v>2</v>
      </c>
      <c r="L707" s="5">
        <v>0</v>
      </c>
      <c r="M707" s="5">
        <v>0</v>
      </c>
    </row>
    <row r="708" spans="1:13" hidden="1" x14ac:dyDescent="0.25">
      <c r="A708" t="s">
        <v>719</v>
      </c>
      <c r="B708" s="1">
        <v>9.8386335268541569E-2</v>
      </c>
      <c r="C708" s="2">
        <v>2.803373854380393E-5</v>
      </c>
      <c r="D708" s="2"/>
      <c r="E708" s="2">
        <v>0.1231910521861663</v>
      </c>
      <c r="F708" s="3">
        <v>101.18459274948761</v>
      </c>
      <c r="G708" s="3">
        <v>1</v>
      </c>
      <c r="H708" s="2">
        <v>5.4188793757450959E-5</v>
      </c>
      <c r="I708" s="4">
        <v>-2.775557561562891E-17</v>
      </c>
      <c r="J708" s="4">
        <v>0.1231910521861664</v>
      </c>
      <c r="K708" s="5">
        <v>1</v>
      </c>
      <c r="L708" s="5">
        <v>0</v>
      </c>
      <c r="M708" s="5">
        <v>0</v>
      </c>
    </row>
    <row r="709" spans="1:13" hidden="1" x14ac:dyDescent="0.25">
      <c r="A709" t="s">
        <v>720</v>
      </c>
      <c r="B709" s="1">
        <v>9.8171286604653379E-2</v>
      </c>
      <c r="C709" s="2">
        <v>2.7972463591330291E-5</v>
      </c>
      <c r="D709" s="2"/>
      <c r="E709" s="2">
        <v>-0.37958783961928838</v>
      </c>
      <c r="F709" s="3">
        <v>55.890893773383667</v>
      </c>
      <c r="G709" s="3">
        <v>1</v>
      </c>
      <c r="H709" s="2">
        <v>5.4188793757450959E-5</v>
      </c>
      <c r="I709" s="4">
        <v>-5.5511151231257827E-17</v>
      </c>
      <c r="J709" s="4">
        <v>-0.37958783961928838</v>
      </c>
      <c r="K709" s="5">
        <v>1</v>
      </c>
      <c r="L709" s="5">
        <v>0</v>
      </c>
      <c r="M709" s="5">
        <v>0</v>
      </c>
    </row>
    <row r="710" spans="1:13" hidden="1" x14ac:dyDescent="0.25">
      <c r="A710" t="s">
        <v>721</v>
      </c>
      <c r="B710" s="1">
        <v>9.8103903130626863E-2</v>
      </c>
      <c r="C710" s="2">
        <v>2.7953263661910448E-5</v>
      </c>
      <c r="D710" s="2"/>
      <c r="E710" s="2">
        <v>-8.7428670196986413E-2</v>
      </c>
      <c r="F710" s="3">
        <v>82.210553744396648</v>
      </c>
      <c r="G710" s="3">
        <v>1</v>
      </c>
      <c r="H710" s="2">
        <v>5.4188793757450959E-5</v>
      </c>
      <c r="I710" s="4">
        <v>1.387778780781446E-17</v>
      </c>
      <c r="J710" s="4">
        <v>-8.7428670196986427E-2</v>
      </c>
      <c r="K710" s="5">
        <v>1</v>
      </c>
      <c r="L710" s="5">
        <v>0</v>
      </c>
      <c r="M710" s="5">
        <v>0</v>
      </c>
    </row>
    <row r="711" spans="1:13" hidden="1" x14ac:dyDescent="0.25">
      <c r="A711" t="s">
        <v>722</v>
      </c>
      <c r="B711" s="1">
        <v>9.7949222935748578E-2</v>
      </c>
      <c r="C711" s="2">
        <v>2.7909189816398398E-5</v>
      </c>
      <c r="D711" s="2"/>
      <c r="E711" s="2">
        <v>1.1587849598108919</v>
      </c>
      <c r="F711" s="3">
        <v>194.47784645989029</v>
      </c>
      <c r="G711" s="3">
        <v>1</v>
      </c>
      <c r="H711" s="2">
        <v>5.4188793757450959E-5</v>
      </c>
      <c r="I711" s="4">
        <v>2.2204460492503131E-16</v>
      </c>
      <c r="J711" s="4">
        <v>1.1587849598108919</v>
      </c>
      <c r="K711" s="5">
        <v>1</v>
      </c>
      <c r="L711" s="5">
        <v>0</v>
      </c>
      <c r="M711" s="5">
        <v>0</v>
      </c>
    </row>
    <row r="712" spans="1:13" hidden="1" x14ac:dyDescent="0.25">
      <c r="A712" t="s">
        <v>723</v>
      </c>
      <c r="B712" s="1">
        <v>9.7309798463667885E-2</v>
      </c>
      <c r="C712" s="2">
        <v>2.7726995221794449E-5</v>
      </c>
      <c r="D712" s="2"/>
      <c r="E712" s="2">
        <v>1.608877631186755</v>
      </c>
      <c r="F712" s="3">
        <v>235.0252168863662</v>
      </c>
      <c r="G712" s="3">
        <v>1</v>
      </c>
      <c r="H712" s="2">
        <v>5.4188793757450959E-5</v>
      </c>
      <c r="I712" s="4">
        <v>0</v>
      </c>
      <c r="J712" s="4">
        <v>1.608877631186755</v>
      </c>
      <c r="K712" s="5">
        <v>1</v>
      </c>
      <c r="L712" s="5">
        <v>0</v>
      </c>
      <c r="M712" s="5">
        <v>0</v>
      </c>
    </row>
    <row r="713" spans="1:13" hidden="1" x14ac:dyDescent="0.25">
      <c r="A713" t="s">
        <v>724</v>
      </c>
      <c r="B713" s="1">
        <v>9.7149218019081093E-2</v>
      </c>
      <c r="C713" s="2">
        <v>2.7681240186946298E-5</v>
      </c>
      <c r="D713" s="2"/>
      <c r="E713" s="2">
        <v>0.16185682042400359</v>
      </c>
      <c r="F713" s="3">
        <v>104.6678648115973</v>
      </c>
      <c r="G713" s="3">
        <v>3</v>
      </c>
      <c r="H713" s="2">
        <v>1.6256638127235291E-4</v>
      </c>
      <c r="I713" s="4">
        <v>-0.40084910166666982</v>
      </c>
      <c r="J713" s="4">
        <v>0.56270592209067338</v>
      </c>
      <c r="K713" s="5">
        <v>3</v>
      </c>
      <c r="L713" s="5">
        <v>0</v>
      </c>
      <c r="M713" s="5">
        <v>2</v>
      </c>
    </row>
    <row r="714" spans="1:13" hidden="1" x14ac:dyDescent="0.25">
      <c r="A714" t="s">
        <v>725</v>
      </c>
      <c r="B714" s="1">
        <v>9.6877819963725964E-2</v>
      </c>
      <c r="C714" s="2">
        <v>2.760390930451882E-5</v>
      </c>
      <c r="D714" s="2"/>
      <c r="E714" s="2">
        <v>-0.46090904900703689</v>
      </c>
      <c r="F714" s="3">
        <v>48.564933120670709</v>
      </c>
      <c r="G714" s="3">
        <v>6</v>
      </c>
      <c r="H714" s="2">
        <v>3.2513276254470582E-4</v>
      </c>
      <c r="I714" s="4">
        <v>5.5511151231257827E-17</v>
      </c>
      <c r="J714" s="4">
        <v>-0.46090904900703689</v>
      </c>
      <c r="K714" s="5">
        <v>6</v>
      </c>
      <c r="L714" s="5">
        <v>0</v>
      </c>
      <c r="M714" s="5">
        <v>0</v>
      </c>
    </row>
    <row r="715" spans="1:13" hidden="1" x14ac:dyDescent="0.25">
      <c r="A715" t="s">
        <v>726</v>
      </c>
      <c r="B715" s="1">
        <v>9.6694719032686796E-2</v>
      </c>
      <c r="C715" s="2">
        <v>2.755173738843038E-5</v>
      </c>
      <c r="D715" s="2"/>
      <c r="E715" s="2">
        <v>0.59416397772992635</v>
      </c>
      <c r="F715" s="3">
        <v>143.6129966923649</v>
      </c>
      <c r="G715" s="3">
        <v>1</v>
      </c>
      <c r="H715" s="2">
        <v>5.4188793757450959E-5</v>
      </c>
      <c r="I715" s="4">
        <v>0</v>
      </c>
      <c r="J715" s="4">
        <v>0.59416397772992635</v>
      </c>
      <c r="K715" s="5">
        <v>1</v>
      </c>
      <c r="L715" s="5">
        <v>0</v>
      </c>
      <c r="M715" s="5">
        <v>0</v>
      </c>
    </row>
    <row r="716" spans="1:13" hidden="1" x14ac:dyDescent="0.25">
      <c r="A716" t="s">
        <v>727</v>
      </c>
      <c r="B716" s="1">
        <v>9.6471320459325938E-2</v>
      </c>
      <c r="C716" s="2">
        <v>2.7488083252115991E-5</v>
      </c>
      <c r="D716" s="2"/>
      <c r="E716" s="2">
        <v>0.1246146875526586</v>
      </c>
      <c r="F716" s="3">
        <v>101.312843383698</v>
      </c>
      <c r="G716" s="3">
        <v>1</v>
      </c>
      <c r="H716" s="2">
        <v>5.4188793757450959E-5</v>
      </c>
      <c r="I716" s="4">
        <v>-6.9388939039072284E-17</v>
      </c>
      <c r="J716" s="4">
        <v>0.1246146875526587</v>
      </c>
      <c r="K716" s="5">
        <v>1</v>
      </c>
      <c r="L716" s="5">
        <v>0</v>
      </c>
      <c r="M716" s="5">
        <v>0</v>
      </c>
    </row>
    <row r="717" spans="1:13" hidden="1" x14ac:dyDescent="0.25">
      <c r="A717" t="s">
        <v>728</v>
      </c>
      <c r="B717" s="1">
        <v>9.6341938691871437E-2</v>
      </c>
      <c r="C717" s="2">
        <v>2.745121782124843E-5</v>
      </c>
      <c r="D717" s="2"/>
      <c r="E717" s="2">
        <v>2.0819649180593669</v>
      </c>
      <c r="F717" s="3">
        <v>277.64409669670061</v>
      </c>
      <c r="G717" s="3">
        <v>2</v>
      </c>
      <c r="H717" s="2">
        <v>1.083775875149019E-4</v>
      </c>
      <c r="I717" s="4">
        <v>1.5511867776224899</v>
      </c>
      <c r="J717" s="4">
        <v>0.53077814043687732</v>
      </c>
      <c r="K717" s="5">
        <v>2</v>
      </c>
      <c r="L717" s="5">
        <v>0</v>
      </c>
      <c r="M717" s="5">
        <v>2</v>
      </c>
    </row>
    <row r="718" spans="1:13" hidden="1" x14ac:dyDescent="0.25">
      <c r="A718" t="s">
        <v>729</v>
      </c>
      <c r="B718" s="1">
        <v>9.6120913763182575E-2</v>
      </c>
      <c r="C718" s="2">
        <v>2.7388240020056689E-5</v>
      </c>
      <c r="D718" s="2"/>
      <c r="E718" s="2">
        <v>1.069399179865669</v>
      </c>
      <c r="F718" s="3">
        <v>186.42537513388689</v>
      </c>
      <c r="G718" s="3">
        <v>2</v>
      </c>
      <c r="H718" s="2">
        <v>1.083775875149019E-4</v>
      </c>
      <c r="I718" s="4">
        <v>4.4408920985006262E-16</v>
      </c>
      <c r="J718" s="4">
        <v>1.0693991798656679</v>
      </c>
      <c r="K718" s="5">
        <v>2</v>
      </c>
      <c r="L718" s="5">
        <v>0</v>
      </c>
      <c r="M718" s="5">
        <v>0</v>
      </c>
    </row>
    <row r="719" spans="1:13" hidden="1" x14ac:dyDescent="0.25">
      <c r="A719" t="s">
        <v>730</v>
      </c>
      <c r="B719" s="1">
        <v>9.6073498754586317E-2</v>
      </c>
      <c r="C719" s="2">
        <v>2.7374729811038211E-5</v>
      </c>
      <c r="D719" s="2"/>
      <c r="E719" s="2" t="s">
        <v>303</v>
      </c>
      <c r="F719" s="3" t="s">
        <v>303</v>
      </c>
      <c r="G719" s="3">
        <v>1</v>
      </c>
      <c r="H719" s="2">
        <v>5.4188793757450959E-5</v>
      </c>
      <c r="I719" s="4" t="s">
        <v>303</v>
      </c>
      <c r="J719" s="4">
        <v>0</v>
      </c>
      <c r="K719" s="5">
        <v>1</v>
      </c>
      <c r="L719" s="5">
        <v>0</v>
      </c>
      <c r="M719" s="5">
        <v>0</v>
      </c>
    </row>
    <row r="720" spans="1:13" hidden="1" x14ac:dyDescent="0.25">
      <c r="A720" t="s">
        <v>731</v>
      </c>
      <c r="B720" s="1">
        <v>9.5952823128411566E-2</v>
      </c>
      <c r="C720" s="2">
        <v>2.7340345067023111E-5</v>
      </c>
      <c r="D720" s="2"/>
      <c r="E720" s="2">
        <v>-0.28981728791811451</v>
      </c>
      <c r="F720" s="3">
        <v>63.9780279230907</v>
      </c>
      <c r="G720" s="3">
        <v>2</v>
      </c>
      <c r="H720" s="2">
        <v>1.083775875149019E-4</v>
      </c>
      <c r="I720" s="4">
        <v>1.110223024625157E-16</v>
      </c>
      <c r="J720" s="4">
        <v>-0.28981728791811462</v>
      </c>
      <c r="K720" s="5">
        <v>2</v>
      </c>
      <c r="L720" s="5">
        <v>0</v>
      </c>
      <c r="M720" s="5">
        <v>1</v>
      </c>
    </row>
    <row r="721" spans="1:13" hidden="1" x14ac:dyDescent="0.25">
      <c r="A721" t="s">
        <v>732</v>
      </c>
      <c r="B721" s="1">
        <v>9.5788892065576559E-2</v>
      </c>
      <c r="C721" s="2">
        <v>2.72936353228073E-5</v>
      </c>
      <c r="D721" s="2"/>
      <c r="E721" s="2">
        <v>0.1838817002557642</v>
      </c>
      <c r="F721" s="3">
        <v>106.6520138945119</v>
      </c>
      <c r="G721" s="3">
        <v>1</v>
      </c>
      <c r="H721" s="2">
        <v>5.4188793757450959E-5</v>
      </c>
      <c r="I721" s="4">
        <v>2.775557561562891E-17</v>
      </c>
      <c r="J721" s="4">
        <v>0.1838817002557642</v>
      </c>
      <c r="K721" s="5">
        <v>1</v>
      </c>
      <c r="L721" s="5">
        <v>0</v>
      </c>
      <c r="M721" s="5">
        <v>0</v>
      </c>
    </row>
    <row r="722" spans="1:13" hidden="1" x14ac:dyDescent="0.25">
      <c r="A722" t="s">
        <v>733</v>
      </c>
      <c r="B722" s="1">
        <v>9.5728201707303742E-2</v>
      </c>
      <c r="C722" s="2">
        <v>2.7276342498236631E-5</v>
      </c>
      <c r="D722" s="2"/>
      <c r="E722" s="2">
        <v>-0.16044730727810089</v>
      </c>
      <c r="F722" s="3">
        <v>75.632544560834688</v>
      </c>
      <c r="G722" s="3">
        <v>4</v>
      </c>
      <c r="H722" s="2">
        <v>2.1675517502980381E-4</v>
      </c>
      <c r="I722" s="4">
        <v>0</v>
      </c>
      <c r="J722" s="4">
        <v>-0.16044730727810089</v>
      </c>
      <c r="K722" s="5">
        <v>4</v>
      </c>
      <c r="L722" s="5">
        <v>0</v>
      </c>
      <c r="M722" s="5">
        <v>0</v>
      </c>
    </row>
    <row r="723" spans="1:13" hidden="1" x14ac:dyDescent="0.25">
      <c r="A723" t="s">
        <v>734</v>
      </c>
      <c r="B723" s="1">
        <v>9.5524059972885947E-2</v>
      </c>
      <c r="C723" s="2">
        <v>2.7218175314827199E-5</v>
      </c>
      <c r="D723" s="2"/>
      <c r="E723" s="2">
        <v>1.2308818040217591</v>
      </c>
      <c r="F723" s="3">
        <v>200.97281435141761</v>
      </c>
      <c r="G723" s="3">
        <v>1</v>
      </c>
      <c r="H723" s="2">
        <v>5.4188793757450959E-5</v>
      </c>
      <c r="I723" s="4">
        <v>2.2204460492503131E-16</v>
      </c>
      <c r="J723" s="4">
        <v>1.230881804021758</v>
      </c>
      <c r="K723" s="5">
        <v>1</v>
      </c>
      <c r="L723" s="5">
        <v>0</v>
      </c>
      <c r="M723" s="5">
        <v>0</v>
      </c>
    </row>
    <row r="724" spans="1:13" hidden="1" x14ac:dyDescent="0.25">
      <c r="A724" t="s">
        <v>735</v>
      </c>
      <c r="B724" s="1">
        <v>9.5411805706495489E-2</v>
      </c>
      <c r="C724" s="2">
        <v>2.7186190113367801E-5</v>
      </c>
      <c r="D724" s="2"/>
      <c r="E724" s="2">
        <v>4.0589531721808132E-2</v>
      </c>
      <c r="F724" s="3">
        <v>93.743293077088452</v>
      </c>
      <c r="G724" s="3">
        <v>1</v>
      </c>
      <c r="H724" s="2">
        <v>5.4188793757450959E-5</v>
      </c>
      <c r="I724" s="4">
        <v>-2.775557561562891E-17</v>
      </c>
      <c r="J724" s="4">
        <v>4.0589531721808153E-2</v>
      </c>
      <c r="K724" s="5">
        <v>1</v>
      </c>
      <c r="L724" s="5">
        <v>0</v>
      </c>
      <c r="M724" s="5">
        <v>0</v>
      </c>
    </row>
    <row r="725" spans="1:13" hidden="1" x14ac:dyDescent="0.25">
      <c r="A725" t="s">
        <v>736</v>
      </c>
      <c r="B725" s="1">
        <v>9.5379830721480485E-2</v>
      </c>
      <c r="C725" s="2">
        <v>2.717707931187889E-5</v>
      </c>
      <c r="D725" s="2"/>
      <c r="E725" s="2">
        <v>0.48475919231892978</v>
      </c>
      <c r="F725" s="3">
        <v>133.75707891674691</v>
      </c>
      <c r="G725" s="3">
        <v>2</v>
      </c>
      <c r="H725" s="2">
        <v>1.083775875149019E-4</v>
      </c>
      <c r="I725" s="4">
        <v>0</v>
      </c>
      <c r="J725" s="4">
        <v>0.48475919231892978</v>
      </c>
      <c r="K725" s="5">
        <v>2</v>
      </c>
      <c r="L725" s="5">
        <v>0</v>
      </c>
      <c r="M725" s="5">
        <v>0</v>
      </c>
    </row>
    <row r="726" spans="1:13" hidden="1" x14ac:dyDescent="0.25">
      <c r="A726" t="s">
        <v>737</v>
      </c>
      <c r="B726" s="1">
        <v>9.5221179998050451E-2</v>
      </c>
      <c r="C726" s="2">
        <v>2.7131874122679769E-5</v>
      </c>
      <c r="D726" s="2"/>
      <c r="E726" s="2">
        <v>1.59008220646054</v>
      </c>
      <c r="F726" s="3">
        <v>233.33199880670469</v>
      </c>
      <c r="G726" s="3">
        <v>1</v>
      </c>
      <c r="H726" s="2">
        <v>5.4188793757450959E-5</v>
      </c>
      <c r="I726" s="4">
        <v>2.2204460492503131E-16</v>
      </c>
      <c r="J726" s="4">
        <v>1.59008220646054</v>
      </c>
      <c r="K726" s="5">
        <v>1</v>
      </c>
      <c r="L726" s="5">
        <v>0</v>
      </c>
      <c r="M726" s="5">
        <v>0</v>
      </c>
    </row>
    <row r="727" spans="1:13" hidden="1" x14ac:dyDescent="0.25">
      <c r="A727" t="s">
        <v>738</v>
      </c>
      <c r="B727" s="1">
        <v>9.5220413491116096E-2</v>
      </c>
      <c r="C727" s="2">
        <v>2.713165571780748E-5</v>
      </c>
      <c r="D727" s="2"/>
      <c r="E727" s="2">
        <v>-7.21218766841627E-2</v>
      </c>
      <c r="F727" s="3">
        <v>83.589492496518076</v>
      </c>
      <c r="G727" s="3">
        <v>2</v>
      </c>
      <c r="H727" s="2">
        <v>1.083775875149019E-4</v>
      </c>
      <c r="I727" s="4">
        <v>-8.3266726846886741E-17</v>
      </c>
      <c r="J727" s="4">
        <v>-7.2121876684162617E-2</v>
      </c>
      <c r="K727" s="5">
        <v>2</v>
      </c>
      <c r="L727" s="5">
        <v>0</v>
      </c>
      <c r="M727" s="5">
        <v>0</v>
      </c>
    </row>
    <row r="728" spans="1:13" hidden="1" x14ac:dyDescent="0.25">
      <c r="A728" t="s">
        <v>739</v>
      </c>
      <c r="B728" s="1">
        <v>9.5150759051939968E-2</v>
      </c>
      <c r="C728" s="2">
        <v>2.711180871028403E-5</v>
      </c>
      <c r="D728" s="2"/>
      <c r="E728" s="2">
        <v>5.9164505032932393</v>
      </c>
      <c r="F728" s="3">
        <v>623.08030863098247</v>
      </c>
      <c r="G728" s="3">
        <v>1</v>
      </c>
      <c r="H728" s="2">
        <v>5.4188793757450959E-5</v>
      </c>
      <c r="I728" s="4">
        <v>0</v>
      </c>
      <c r="J728" s="4">
        <v>5.9164505032932393</v>
      </c>
      <c r="K728" s="5">
        <v>1</v>
      </c>
      <c r="L728" s="5">
        <v>0</v>
      </c>
      <c r="M728" s="5">
        <v>0</v>
      </c>
    </row>
    <row r="729" spans="1:13" hidden="1" x14ac:dyDescent="0.25">
      <c r="A729" t="s">
        <v>740</v>
      </c>
      <c r="B729" s="1">
        <v>9.4967102294835723E-2</v>
      </c>
      <c r="C729" s="2">
        <v>2.7059478419736969E-5</v>
      </c>
      <c r="D729" s="2"/>
      <c r="E729" s="2">
        <v>-0.33265077909668489</v>
      </c>
      <c r="F729" s="3">
        <v>60.119299390214131</v>
      </c>
      <c r="G729" s="3">
        <v>2</v>
      </c>
      <c r="H729" s="2">
        <v>1.083775875149019E-4</v>
      </c>
      <c r="I729" s="4">
        <v>1.6653345369377351E-16</v>
      </c>
      <c r="J729" s="4">
        <v>-0.332650779096685</v>
      </c>
      <c r="K729" s="5">
        <v>2</v>
      </c>
      <c r="L729" s="5">
        <v>0</v>
      </c>
      <c r="M729" s="5">
        <v>0</v>
      </c>
    </row>
    <row r="730" spans="1:13" hidden="1" x14ac:dyDescent="0.25">
      <c r="A730" t="s">
        <v>741</v>
      </c>
      <c r="B730" s="1">
        <v>9.4956232074809244E-2</v>
      </c>
      <c r="C730" s="2">
        <v>2.705638111048865E-5</v>
      </c>
      <c r="D730" s="2"/>
      <c r="E730" s="2">
        <v>3.9579195517089438E-2</v>
      </c>
      <c r="F730" s="3">
        <v>93.652275206873441</v>
      </c>
      <c r="G730" s="3">
        <v>1</v>
      </c>
      <c r="H730" s="2">
        <v>5.4188793757450959E-5</v>
      </c>
      <c r="I730" s="4">
        <v>0</v>
      </c>
      <c r="J730" s="4">
        <v>3.9579195517089438E-2</v>
      </c>
      <c r="K730" s="5">
        <v>1</v>
      </c>
      <c r="L730" s="5">
        <v>0</v>
      </c>
      <c r="M730" s="5">
        <v>0</v>
      </c>
    </row>
    <row r="731" spans="1:13" hidden="1" x14ac:dyDescent="0.25">
      <c r="A731" t="s">
        <v>742</v>
      </c>
      <c r="B731" s="1">
        <v>9.4911452948819849E-2</v>
      </c>
      <c r="C731" s="2">
        <v>2.7043621957433701E-5</v>
      </c>
      <c r="D731" s="2"/>
      <c r="E731" s="2">
        <v>-0.14999229873038619</v>
      </c>
      <c r="F731" s="3">
        <v>76.574401941227705</v>
      </c>
      <c r="G731" s="3">
        <v>3</v>
      </c>
      <c r="H731" s="2">
        <v>1.6256638127235291E-4</v>
      </c>
      <c r="I731" s="4">
        <v>8.3266726846886741E-17</v>
      </c>
      <c r="J731" s="4">
        <v>-0.1499922987303863</v>
      </c>
      <c r="K731" s="5">
        <v>3</v>
      </c>
      <c r="L731" s="5">
        <v>0</v>
      </c>
      <c r="M731" s="5">
        <v>0</v>
      </c>
    </row>
    <row r="732" spans="1:13" hidden="1" x14ac:dyDescent="0.25">
      <c r="A732" t="s">
        <v>743</v>
      </c>
      <c r="B732" s="1">
        <v>9.4821090047483347E-2</v>
      </c>
      <c r="C732" s="2">
        <v>2.7017874378329221E-5</v>
      </c>
      <c r="D732" s="2"/>
      <c r="E732" s="2">
        <v>0.6980707671085451</v>
      </c>
      <c r="F732" s="3">
        <v>152.97361806369651</v>
      </c>
      <c r="G732" s="3">
        <v>1</v>
      </c>
      <c r="H732" s="2">
        <v>5.4188793757450959E-5</v>
      </c>
      <c r="I732" s="4">
        <v>1.110223024625157E-16</v>
      </c>
      <c r="J732" s="4">
        <v>0.69807076710854499</v>
      </c>
      <c r="K732" s="5">
        <v>1</v>
      </c>
      <c r="L732" s="5">
        <v>0</v>
      </c>
      <c r="M732" s="5">
        <v>0</v>
      </c>
    </row>
    <row r="733" spans="1:13" hidden="1" x14ac:dyDescent="0.25">
      <c r="A733" t="s">
        <v>744</v>
      </c>
      <c r="B733" s="1">
        <v>9.4725854909081239E-2</v>
      </c>
      <c r="C733" s="2">
        <v>2.6990738526964688E-5</v>
      </c>
      <c r="D733" s="2"/>
      <c r="E733" s="2">
        <v>-0.16943059861549009</v>
      </c>
      <c r="F733" s="3">
        <v>74.823269350037279</v>
      </c>
      <c r="G733" s="3">
        <v>2</v>
      </c>
      <c r="H733" s="2">
        <v>1.083775875149019E-4</v>
      </c>
      <c r="I733" s="4">
        <v>-2.775557561562891E-17</v>
      </c>
      <c r="J733" s="4">
        <v>-0.16943059861549009</v>
      </c>
      <c r="K733" s="5">
        <v>2</v>
      </c>
      <c r="L733" s="5">
        <v>0</v>
      </c>
      <c r="M733" s="5">
        <v>0</v>
      </c>
    </row>
    <row r="734" spans="1:13" hidden="1" x14ac:dyDescent="0.25">
      <c r="A734" t="s">
        <v>745</v>
      </c>
      <c r="B734" s="1">
        <v>9.4626583331222328E-2</v>
      </c>
      <c r="C734" s="2">
        <v>2.6962452551570528E-5</v>
      </c>
      <c r="D734" s="2"/>
      <c r="E734" s="2">
        <v>0.56783166160251142</v>
      </c>
      <c r="F734" s="3">
        <v>141.24080482142961</v>
      </c>
      <c r="G734" s="3">
        <v>1</v>
      </c>
      <c r="H734" s="2">
        <v>5.4188793757450959E-5</v>
      </c>
      <c r="I734" s="4">
        <v>1.110223024625157E-16</v>
      </c>
      <c r="J734" s="4">
        <v>0.56783166160251131</v>
      </c>
      <c r="K734" s="5">
        <v>1</v>
      </c>
      <c r="L734" s="5">
        <v>0</v>
      </c>
      <c r="M734" s="5">
        <v>0</v>
      </c>
    </row>
    <row r="735" spans="1:13" hidden="1" x14ac:dyDescent="0.25">
      <c r="A735" t="s">
        <v>746</v>
      </c>
      <c r="B735" s="1">
        <v>9.448166607700853E-2</v>
      </c>
      <c r="C735" s="2">
        <v>2.6921160512345499E-5</v>
      </c>
      <c r="D735" s="2"/>
      <c r="E735" s="2">
        <v>2.442255191035696</v>
      </c>
      <c r="F735" s="3">
        <v>310.10146400901527</v>
      </c>
      <c r="G735" s="3">
        <v>2</v>
      </c>
      <c r="H735" s="2">
        <v>1.083775875149019E-4</v>
      </c>
      <c r="I735" s="4">
        <v>2.2505046540436351</v>
      </c>
      <c r="J735" s="4">
        <v>0.19175053699206129</v>
      </c>
      <c r="K735" s="5">
        <v>2</v>
      </c>
      <c r="L735" s="5">
        <v>0</v>
      </c>
      <c r="M735" s="5">
        <v>2</v>
      </c>
    </row>
    <row r="736" spans="1:13" hidden="1" x14ac:dyDescent="0.25">
      <c r="A736" t="s">
        <v>747</v>
      </c>
      <c r="B736" s="1">
        <v>9.4336178679354205E-2</v>
      </c>
      <c r="C736" s="2">
        <v>2.6879706019136381E-5</v>
      </c>
      <c r="D736" s="2"/>
      <c r="E736" s="2">
        <v>-0.48828265723327802</v>
      </c>
      <c r="F736" s="3">
        <v>46.098934664695527</v>
      </c>
      <c r="G736" s="3">
        <v>2</v>
      </c>
      <c r="H736" s="2">
        <v>1.083775875149019E-4</v>
      </c>
      <c r="I736" s="4">
        <v>5.5511151231257827E-17</v>
      </c>
      <c r="J736" s="4">
        <v>-0.48828265723327807</v>
      </c>
      <c r="K736" s="5">
        <v>2</v>
      </c>
      <c r="L736" s="5">
        <v>0</v>
      </c>
      <c r="M736" s="5">
        <v>1</v>
      </c>
    </row>
    <row r="737" spans="1:13" hidden="1" x14ac:dyDescent="0.25">
      <c r="A737" t="s">
        <v>748</v>
      </c>
      <c r="B737" s="1">
        <v>9.4220753830410051E-2</v>
      </c>
      <c r="C737" s="2">
        <v>2.6846817406831359E-5</v>
      </c>
      <c r="D737" s="2"/>
      <c r="E737" s="2">
        <v>0.64869362211800197</v>
      </c>
      <c r="F737" s="3">
        <v>148.52539325165239</v>
      </c>
      <c r="G737" s="3">
        <v>2</v>
      </c>
      <c r="H737" s="2">
        <v>1.083775875149019E-4</v>
      </c>
      <c r="I737" s="4">
        <v>2.2204460492503131E-16</v>
      </c>
      <c r="J737" s="4">
        <v>0.64869362211800174</v>
      </c>
      <c r="K737" s="5">
        <v>2</v>
      </c>
      <c r="L737" s="5">
        <v>0</v>
      </c>
      <c r="M737" s="5">
        <v>0</v>
      </c>
    </row>
    <row r="738" spans="1:13" hidden="1" x14ac:dyDescent="0.25">
      <c r="A738" t="s">
        <v>749</v>
      </c>
      <c r="B738" s="1">
        <v>9.4054643456049164E-2</v>
      </c>
      <c r="C738" s="2">
        <v>2.679948669986341E-5</v>
      </c>
      <c r="D738" s="2"/>
      <c r="E738" s="2">
        <v>0.25445951618082918</v>
      </c>
      <c r="F738" s="3">
        <v>113.01013751704789</v>
      </c>
      <c r="G738" s="3">
        <v>2</v>
      </c>
      <c r="H738" s="2">
        <v>1.083775875149019E-4</v>
      </c>
      <c r="I738" s="4">
        <v>0</v>
      </c>
      <c r="J738" s="4">
        <v>0.25445951618082918</v>
      </c>
      <c r="K738" s="5">
        <v>2</v>
      </c>
      <c r="L738" s="5">
        <v>0</v>
      </c>
      <c r="M738" s="5">
        <v>0</v>
      </c>
    </row>
    <row r="739" spans="1:13" hidden="1" x14ac:dyDescent="0.25">
      <c r="A739" t="s">
        <v>750</v>
      </c>
      <c r="B739" s="1">
        <v>9.3869766279392364E-2</v>
      </c>
      <c r="C739" s="2">
        <v>2.6746808668722528E-5</v>
      </c>
      <c r="D739" s="2"/>
      <c r="E739" s="2">
        <v>2.4609757550532878</v>
      </c>
      <c r="F739" s="3">
        <v>311.78793813331828</v>
      </c>
      <c r="G739" s="3">
        <v>1</v>
      </c>
      <c r="H739" s="2">
        <v>5.4188793757450959E-5</v>
      </c>
      <c r="I739" s="4">
        <v>-4.4408920985006262E-16</v>
      </c>
      <c r="J739" s="4">
        <v>2.4609757550532878</v>
      </c>
      <c r="K739" s="5">
        <v>1</v>
      </c>
      <c r="L739" s="5">
        <v>0</v>
      </c>
      <c r="M739" s="5">
        <v>1</v>
      </c>
    </row>
    <row r="740" spans="1:13" hidden="1" x14ac:dyDescent="0.25">
      <c r="A740" t="s">
        <v>751</v>
      </c>
      <c r="B740" s="1">
        <v>9.381350607895006E-2</v>
      </c>
      <c r="C740" s="2">
        <v>2.6730778152438769E-5</v>
      </c>
      <c r="D740" s="2"/>
      <c r="E740" s="2">
        <v>0.57552052942031384</v>
      </c>
      <c r="F740" s="3">
        <v>141.9334696689057</v>
      </c>
      <c r="G740" s="3">
        <v>1</v>
      </c>
      <c r="H740" s="2">
        <v>5.4188793757450959E-5</v>
      </c>
      <c r="I740" s="4">
        <v>0</v>
      </c>
      <c r="J740" s="4">
        <v>0.57552052942031384</v>
      </c>
      <c r="K740" s="5">
        <v>1</v>
      </c>
      <c r="L740" s="5">
        <v>0</v>
      </c>
      <c r="M740" s="5">
        <v>0</v>
      </c>
    </row>
    <row r="741" spans="1:13" hidden="1" x14ac:dyDescent="0.25">
      <c r="A741" t="s">
        <v>752</v>
      </c>
      <c r="B741" s="1">
        <v>9.3678382304453856E-2</v>
      </c>
      <c r="C741" s="2">
        <v>2.6692276621154579E-5</v>
      </c>
      <c r="D741" s="2"/>
      <c r="E741" s="2">
        <v>0.79785635939893162</v>
      </c>
      <c r="F741" s="3">
        <v>161.9629743254981</v>
      </c>
      <c r="G741" s="3">
        <v>1</v>
      </c>
      <c r="H741" s="2">
        <v>5.4188793757450959E-5</v>
      </c>
      <c r="I741" s="4">
        <v>0</v>
      </c>
      <c r="J741" s="4">
        <v>0.79785635939893162</v>
      </c>
      <c r="K741" s="5">
        <v>1</v>
      </c>
      <c r="L741" s="5">
        <v>0</v>
      </c>
      <c r="M741" s="5">
        <v>0</v>
      </c>
    </row>
    <row r="742" spans="1:13" hidden="1" x14ac:dyDescent="0.25">
      <c r="A742" t="s">
        <v>753</v>
      </c>
      <c r="B742" s="1">
        <v>9.3327271997859854E-2</v>
      </c>
      <c r="C742" s="2">
        <v>2.6592232905650541E-5</v>
      </c>
      <c r="D742" s="2"/>
      <c r="E742" s="2">
        <v>3.618689115372494</v>
      </c>
      <c r="F742" s="3">
        <v>416.08253223334629</v>
      </c>
      <c r="G742" s="3">
        <v>1</v>
      </c>
      <c r="H742" s="2">
        <v>5.4188793757450959E-5</v>
      </c>
      <c r="I742" s="4">
        <v>4.4408920985006262E-16</v>
      </c>
      <c r="J742" s="4">
        <v>3.618689115372494</v>
      </c>
      <c r="K742" s="5">
        <v>1</v>
      </c>
      <c r="L742" s="5">
        <v>0</v>
      </c>
      <c r="M742" s="5">
        <v>0</v>
      </c>
    </row>
    <row r="743" spans="1:13" hidden="1" x14ac:dyDescent="0.25">
      <c r="A743" t="s">
        <v>754</v>
      </c>
      <c r="B743" s="1">
        <v>9.3306511884909571E-2</v>
      </c>
      <c r="C743" s="2">
        <v>2.6586317616936921E-5</v>
      </c>
      <c r="D743" s="2"/>
      <c r="E743" s="2">
        <v>0.26254973948970362</v>
      </c>
      <c r="F743" s="3">
        <v>113.738959162455</v>
      </c>
      <c r="G743" s="3">
        <v>1</v>
      </c>
      <c r="H743" s="2">
        <v>5.4188793757450959E-5</v>
      </c>
      <c r="I743" s="4">
        <v>0</v>
      </c>
      <c r="J743" s="4">
        <v>0.26254973948970362</v>
      </c>
      <c r="K743" s="5">
        <v>1</v>
      </c>
      <c r="L743" s="5">
        <v>0</v>
      </c>
      <c r="M743" s="5">
        <v>0</v>
      </c>
    </row>
    <row r="744" spans="1:13" hidden="1" x14ac:dyDescent="0.25">
      <c r="A744" t="s">
        <v>755</v>
      </c>
      <c r="B744" s="1">
        <v>9.3270796679999782E-2</v>
      </c>
      <c r="C744" s="2">
        <v>2.6576141094823899E-5</v>
      </c>
      <c r="D744" s="2"/>
      <c r="E744" s="2">
        <v>-0.1003411135692734</v>
      </c>
      <c r="F744" s="3">
        <v>81.047314132148443</v>
      </c>
      <c r="G744" s="3">
        <v>2</v>
      </c>
      <c r="H744" s="2">
        <v>1.083775875149019E-4</v>
      </c>
      <c r="I744" s="4">
        <v>4.163336342344337E-17</v>
      </c>
      <c r="J744" s="4">
        <v>-0.1003411135692735</v>
      </c>
      <c r="K744" s="5">
        <v>2</v>
      </c>
      <c r="L744" s="5">
        <v>0</v>
      </c>
      <c r="M744" s="5">
        <v>0</v>
      </c>
    </row>
    <row r="745" spans="1:13" hidden="1" x14ac:dyDescent="0.25">
      <c r="A745" t="s">
        <v>756</v>
      </c>
      <c r="B745" s="1">
        <v>9.3024579609116725E-2</v>
      </c>
      <c r="C745" s="2">
        <v>2.6505985163399919E-5</v>
      </c>
      <c r="D745" s="2"/>
      <c r="E745" s="2">
        <v>0.38004456352131649</v>
      </c>
      <c r="F745" s="3">
        <v>124.3236819455216</v>
      </c>
      <c r="G745" s="3">
        <v>2</v>
      </c>
      <c r="H745" s="2">
        <v>1.083775875149019E-4</v>
      </c>
      <c r="I745" s="4">
        <v>0.29383197688036689</v>
      </c>
      <c r="J745" s="4">
        <v>8.6212586640949648E-2</v>
      </c>
      <c r="K745" s="5">
        <v>2</v>
      </c>
      <c r="L745" s="5">
        <v>0</v>
      </c>
      <c r="M745" s="5">
        <v>0</v>
      </c>
    </row>
    <row r="746" spans="1:13" hidden="1" x14ac:dyDescent="0.25">
      <c r="A746" t="s">
        <v>757</v>
      </c>
      <c r="B746" s="1">
        <v>9.2768626090781722E-2</v>
      </c>
      <c r="C746" s="2">
        <v>2.6433054974539998E-5</v>
      </c>
      <c r="D746" s="2"/>
      <c r="E746" s="2">
        <v>2.2328641404211438</v>
      </c>
      <c r="F746" s="3">
        <v>291.23811200796229</v>
      </c>
      <c r="G746" s="3">
        <v>1</v>
      </c>
      <c r="H746" s="2">
        <v>5.4188793757450959E-5</v>
      </c>
      <c r="I746" s="4">
        <v>0</v>
      </c>
      <c r="J746" s="4">
        <v>2.2328641404211438</v>
      </c>
      <c r="K746" s="5">
        <v>1</v>
      </c>
      <c r="L746" s="5">
        <v>0</v>
      </c>
      <c r="M746" s="5">
        <v>0</v>
      </c>
    </row>
    <row r="747" spans="1:13" hidden="1" x14ac:dyDescent="0.25">
      <c r="A747" t="s">
        <v>758</v>
      </c>
      <c r="B747" s="1">
        <v>9.2724710704893243E-2</v>
      </c>
      <c r="C747" s="2">
        <v>2.6420541931517431E-5</v>
      </c>
      <c r="D747" s="2"/>
      <c r="E747" s="2">
        <v>0.69447529890369175</v>
      </c>
      <c r="F747" s="3">
        <v>152.64971414250371</v>
      </c>
      <c r="G747" s="3">
        <v>1</v>
      </c>
      <c r="H747" s="2">
        <v>5.4188793757450959E-5</v>
      </c>
      <c r="I747" s="4">
        <v>-0.38374232602896557</v>
      </c>
      <c r="J747" s="4">
        <v>1.0782176249326569</v>
      </c>
      <c r="K747" s="5">
        <v>1</v>
      </c>
      <c r="L747" s="5">
        <v>0</v>
      </c>
      <c r="M747" s="5">
        <v>0</v>
      </c>
    </row>
    <row r="748" spans="1:13" hidden="1" x14ac:dyDescent="0.25">
      <c r="A748" t="s">
        <v>759</v>
      </c>
      <c r="B748" s="1">
        <v>9.2469137748127761E-2</v>
      </c>
      <c r="C748" s="2">
        <v>2.6347720178077029E-5</v>
      </c>
      <c r="D748" s="2"/>
      <c r="E748" s="2">
        <v>-0.49836343393058052</v>
      </c>
      <c r="F748" s="3">
        <v>45.190790602534669</v>
      </c>
      <c r="G748" s="3">
        <v>1</v>
      </c>
      <c r="H748" s="2">
        <v>5.4188793757450959E-5</v>
      </c>
      <c r="I748" s="4">
        <v>-0.52053746234102427</v>
      </c>
      <c r="J748" s="4">
        <v>2.2174028410443761E-2</v>
      </c>
      <c r="K748" s="5">
        <v>1</v>
      </c>
      <c r="L748" s="5">
        <v>0</v>
      </c>
      <c r="M748" s="5">
        <v>0</v>
      </c>
    </row>
    <row r="749" spans="1:13" hidden="1" x14ac:dyDescent="0.25">
      <c r="A749" t="s">
        <v>760</v>
      </c>
      <c r="B749" s="1">
        <v>9.226303026266236E-2</v>
      </c>
      <c r="C749" s="2">
        <v>2.6288992882831331E-5</v>
      </c>
      <c r="D749" s="2"/>
      <c r="E749" s="2" t="s">
        <v>303</v>
      </c>
      <c r="F749" s="3" t="s">
        <v>303</v>
      </c>
      <c r="G749" s="3">
        <v>1</v>
      </c>
      <c r="H749" s="2">
        <v>5.4188793757450959E-5</v>
      </c>
      <c r="I749" s="4" t="s">
        <v>303</v>
      </c>
      <c r="J749" s="4">
        <v>0</v>
      </c>
      <c r="K749" s="5">
        <v>1</v>
      </c>
      <c r="L749" s="5">
        <v>0</v>
      </c>
      <c r="M749" s="5">
        <v>0</v>
      </c>
    </row>
    <row r="750" spans="1:13" hidden="1" x14ac:dyDescent="0.25">
      <c r="A750" t="s">
        <v>761</v>
      </c>
      <c r="B750" s="1">
        <v>9.1978781022540188E-2</v>
      </c>
      <c r="C750" s="2">
        <v>2.6208000244401312E-5</v>
      </c>
      <c r="D750" s="2"/>
      <c r="E750" s="2">
        <v>1.3217169576267731E-2</v>
      </c>
      <c r="F750" s="3">
        <v>91.277406876430803</v>
      </c>
      <c r="G750" s="3">
        <v>2</v>
      </c>
      <c r="H750" s="2">
        <v>1.083775875149019E-4</v>
      </c>
      <c r="I750" s="4">
        <v>1.8735013540549519E-16</v>
      </c>
      <c r="J750" s="4">
        <v>1.321716957626754E-2</v>
      </c>
      <c r="K750" s="5">
        <v>2</v>
      </c>
      <c r="L750" s="5">
        <v>0</v>
      </c>
      <c r="M750" s="5">
        <v>0</v>
      </c>
    </row>
    <row r="751" spans="1:13" hidden="1" x14ac:dyDescent="0.25">
      <c r="A751" t="s">
        <v>762</v>
      </c>
      <c r="B751" s="1">
        <v>9.1889833389527553E-2</v>
      </c>
      <c r="C751" s="2">
        <v>2.6182655925180959E-5</v>
      </c>
      <c r="D751" s="2"/>
      <c r="E751" s="2">
        <v>-0.44784200796589479</v>
      </c>
      <c r="F751" s="3">
        <v>49.742099929127143</v>
      </c>
      <c r="G751" s="3">
        <v>1</v>
      </c>
      <c r="H751" s="2">
        <v>5.4188793757450959E-5</v>
      </c>
      <c r="I751" s="4">
        <v>5.5511151231257827E-17</v>
      </c>
      <c r="J751" s="4">
        <v>-0.44784200796589491</v>
      </c>
      <c r="K751" s="5">
        <v>1</v>
      </c>
      <c r="L751" s="5">
        <v>0</v>
      </c>
      <c r="M751" s="5">
        <v>0</v>
      </c>
    </row>
    <row r="752" spans="1:13" hidden="1" x14ac:dyDescent="0.25">
      <c r="A752" t="s">
        <v>763</v>
      </c>
      <c r="B752" s="1">
        <v>9.1555524679327177E-2</v>
      </c>
      <c r="C752" s="2">
        <v>2.6087399577344708E-5</v>
      </c>
      <c r="D752" s="2"/>
      <c r="E752" s="2">
        <v>-9.3769515435364936E-2</v>
      </c>
      <c r="F752" s="3">
        <v>81.639327823495591</v>
      </c>
      <c r="G752" s="3">
        <v>3</v>
      </c>
      <c r="H752" s="2">
        <v>1.6256638127235291E-4</v>
      </c>
      <c r="I752" s="4">
        <v>0.32437635609164728</v>
      </c>
      <c r="J752" s="4">
        <v>-0.41814587152701232</v>
      </c>
      <c r="K752" s="5">
        <v>3</v>
      </c>
      <c r="L752" s="5">
        <v>0</v>
      </c>
      <c r="M752" s="5">
        <v>0</v>
      </c>
    </row>
    <row r="753" spans="1:13" hidden="1" x14ac:dyDescent="0.25">
      <c r="A753" t="s">
        <v>764</v>
      </c>
      <c r="B753" s="1">
        <v>9.1547608355866283E-2</v>
      </c>
      <c r="C753" s="2">
        <v>2.6085143937458081E-5</v>
      </c>
      <c r="D753" s="2"/>
      <c r="E753" s="2">
        <v>-0.22149884556300611</v>
      </c>
      <c r="F753" s="3">
        <v>70.132612001664015</v>
      </c>
      <c r="G753" s="3">
        <v>1</v>
      </c>
      <c r="H753" s="2">
        <v>5.4188793757450959E-5</v>
      </c>
      <c r="I753" s="4">
        <v>-5.5511151231257827E-17</v>
      </c>
      <c r="J753" s="4">
        <v>-0.22149884556300611</v>
      </c>
      <c r="K753" s="5">
        <v>1</v>
      </c>
      <c r="L753" s="5">
        <v>0</v>
      </c>
      <c r="M753" s="5">
        <v>0</v>
      </c>
    </row>
    <row r="754" spans="1:13" hidden="1" x14ac:dyDescent="0.25">
      <c r="A754" t="s">
        <v>765</v>
      </c>
      <c r="B754" s="1">
        <v>9.1325707855233404E-2</v>
      </c>
      <c r="C754" s="2">
        <v>2.602191665492436E-5</v>
      </c>
      <c r="D754" s="2"/>
      <c r="E754" s="2">
        <v>-4.9531646357134917E-2</v>
      </c>
      <c r="F754" s="3">
        <v>85.624572148647076</v>
      </c>
      <c r="G754" s="3">
        <v>1</v>
      </c>
      <c r="H754" s="2">
        <v>5.4188793757450959E-5</v>
      </c>
      <c r="I754" s="4">
        <v>2.012279232133096E-16</v>
      </c>
      <c r="J754" s="4">
        <v>-4.9531646357135119E-2</v>
      </c>
      <c r="K754" s="5">
        <v>1</v>
      </c>
      <c r="L754" s="5">
        <v>0</v>
      </c>
      <c r="M754" s="5">
        <v>0</v>
      </c>
    </row>
    <row r="755" spans="1:13" hidden="1" x14ac:dyDescent="0.25">
      <c r="A755" t="s">
        <v>766</v>
      </c>
      <c r="B755" s="1">
        <v>9.1265937540784103E-2</v>
      </c>
      <c r="C755" s="2">
        <v>2.6004885983303358E-5</v>
      </c>
      <c r="D755" s="2"/>
      <c r="E755" s="2">
        <v>0.61163773818181588</v>
      </c>
      <c r="F755" s="3">
        <v>145.18715037858351</v>
      </c>
      <c r="G755" s="3">
        <v>1</v>
      </c>
      <c r="H755" s="2">
        <v>5.4188793757450959E-5</v>
      </c>
      <c r="I755" s="4">
        <v>0</v>
      </c>
      <c r="J755" s="4">
        <v>0.61163773818181588</v>
      </c>
      <c r="K755" s="5">
        <v>1</v>
      </c>
      <c r="L755" s="5">
        <v>0</v>
      </c>
      <c r="M755" s="5">
        <v>0</v>
      </c>
    </row>
    <row r="756" spans="1:13" hidden="1" x14ac:dyDescent="0.25">
      <c r="A756" t="s">
        <v>767</v>
      </c>
      <c r="B756" s="1">
        <v>9.1239183580120092E-2</v>
      </c>
      <c r="C756" s="2">
        <v>2.5997262835879291E-5</v>
      </c>
      <c r="D756" s="2"/>
      <c r="E756" s="2">
        <v>2.051234880750585E-2</v>
      </c>
      <c r="F756" s="3">
        <v>91.934605612220764</v>
      </c>
      <c r="G756" s="3">
        <v>2</v>
      </c>
      <c r="H756" s="2">
        <v>1.083775875149019E-4</v>
      </c>
      <c r="I756" s="4">
        <v>-1.457167719820518E-16</v>
      </c>
      <c r="J756" s="4">
        <v>2.0512348807505999E-2</v>
      </c>
      <c r="K756" s="5">
        <v>2</v>
      </c>
      <c r="L756" s="5">
        <v>1</v>
      </c>
      <c r="M756" s="5">
        <v>1</v>
      </c>
    </row>
    <row r="757" spans="1:13" hidden="1" x14ac:dyDescent="0.25">
      <c r="A757" t="s">
        <v>768</v>
      </c>
      <c r="B757" s="1">
        <v>9.0796349674200139E-2</v>
      </c>
      <c r="C757" s="2">
        <v>2.587108383040046E-5</v>
      </c>
      <c r="D757" s="2"/>
      <c r="E757" s="2">
        <v>5.7905827953114786</v>
      </c>
      <c r="F757" s="3">
        <v>611.74130023374096</v>
      </c>
      <c r="G757" s="3">
        <v>1</v>
      </c>
      <c r="H757" s="2">
        <v>5.4188793757450959E-5</v>
      </c>
      <c r="I757" s="4">
        <v>0</v>
      </c>
      <c r="J757" s="4">
        <v>5.7905827953114786</v>
      </c>
      <c r="K757" s="5">
        <v>1</v>
      </c>
      <c r="L757" s="5">
        <v>0</v>
      </c>
      <c r="M757" s="5">
        <v>1</v>
      </c>
    </row>
    <row r="758" spans="1:13" hidden="1" x14ac:dyDescent="0.25">
      <c r="A758" t="s">
        <v>769</v>
      </c>
      <c r="B758" s="1">
        <v>9.0621037097210144E-2</v>
      </c>
      <c r="C758" s="2">
        <v>2.5821131091197761E-5</v>
      </c>
      <c r="D758" s="2"/>
      <c r="E758" s="2">
        <v>0.471009013426263</v>
      </c>
      <c r="F758" s="3">
        <v>132.5183704630256</v>
      </c>
      <c r="G758" s="3">
        <v>1</v>
      </c>
      <c r="H758" s="2">
        <v>5.4188793757450959E-5</v>
      </c>
      <c r="I758" s="4">
        <v>-5.5511151231257827E-17</v>
      </c>
      <c r="J758" s="4">
        <v>0.47100901342626311</v>
      </c>
      <c r="K758" s="5">
        <v>1</v>
      </c>
      <c r="L758" s="5">
        <v>0</v>
      </c>
      <c r="M758" s="5">
        <v>0</v>
      </c>
    </row>
    <row r="759" spans="1:13" hidden="1" x14ac:dyDescent="0.25">
      <c r="A759" t="s">
        <v>770</v>
      </c>
      <c r="B759" s="1">
        <v>9.0407413210070925E-2</v>
      </c>
      <c r="C759" s="2">
        <v>2.5760262107894078E-5</v>
      </c>
      <c r="D759" s="2"/>
      <c r="E759" s="2">
        <v>-5.6312052613090358E-2</v>
      </c>
      <c r="F759" s="3">
        <v>85.013747619418893</v>
      </c>
      <c r="G759" s="3">
        <v>1</v>
      </c>
      <c r="H759" s="2">
        <v>5.4188793757450959E-5</v>
      </c>
      <c r="I759" s="4">
        <v>-2.0816681711721691E-17</v>
      </c>
      <c r="J759" s="4">
        <v>-5.6312052613090337E-2</v>
      </c>
      <c r="K759" s="5">
        <v>1</v>
      </c>
      <c r="L759" s="5">
        <v>0</v>
      </c>
      <c r="M759" s="5">
        <v>0</v>
      </c>
    </row>
    <row r="760" spans="1:13" hidden="1" x14ac:dyDescent="0.25">
      <c r="A760" t="s">
        <v>771</v>
      </c>
      <c r="B760" s="1">
        <v>9.0348843424826797E-2</v>
      </c>
      <c r="C760" s="2">
        <v>2.5743573509405081E-5</v>
      </c>
      <c r="D760" s="2"/>
      <c r="E760" s="2">
        <v>0.14735307285303861</v>
      </c>
      <c r="F760" s="3">
        <v>103.3612698307585</v>
      </c>
      <c r="G760" s="3">
        <v>2</v>
      </c>
      <c r="H760" s="2">
        <v>1.083775875149019E-4</v>
      </c>
      <c r="I760" s="4">
        <v>8.3266726846886741E-17</v>
      </c>
      <c r="J760" s="4">
        <v>0.1473530728530385</v>
      </c>
      <c r="K760" s="5">
        <v>2</v>
      </c>
      <c r="L760" s="5">
        <v>0</v>
      </c>
      <c r="M760" s="5">
        <v>2</v>
      </c>
    </row>
    <row r="761" spans="1:13" hidden="1" x14ac:dyDescent="0.25">
      <c r="A761" t="s">
        <v>772</v>
      </c>
      <c r="B761" s="1">
        <v>9.0201521710886606E-2</v>
      </c>
      <c r="C761" s="2">
        <v>2.5701596354761078E-5</v>
      </c>
      <c r="D761" s="2"/>
      <c r="E761" s="2">
        <v>3.2239833223176813E-2</v>
      </c>
      <c r="F761" s="3">
        <v>92.991096164087239</v>
      </c>
      <c r="G761" s="3">
        <v>1</v>
      </c>
      <c r="H761" s="2">
        <v>5.4188793757450959E-5</v>
      </c>
      <c r="I761" s="4">
        <v>-9.7144514654701197E-17</v>
      </c>
      <c r="J761" s="4">
        <v>3.2239833223176903E-2</v>
      </c>
      <c r="K761" s="5">
        <v>1</v>
      </c>
      <c r="L761" s="5">
        <v>0</v>
      </c>
      <c r="M761" s="5">
        <v>0</v>
      </c>
    </row>
    <row r="762" spans="1:13" hidden="1" x14ac:dyDescent="0.25">
      <c r="A762" t="s">
        <v>773</v>
      </c>
      <c r="B762" s="1">
        <v>9.007376879202042E-2</v>
      </c>
      <c r="C762" s="2">
        <v>2.566519504033131E-5</v>
      </c>
      <c r="D762" s="2"/>
      <c r="E762" s="2">
        <v>-0.73631614857052075</v>
      </c>
      <c r="F762" s="3">
        <v>23.75441210075271</v>
      </c>
      <c r="G762" s="3">
        <v>1</v>
      </c>
      <c r="H762" s="2">
        <v>5.4188793757450959E-5</v>
      </c>
      <c r="I762" s="4">
        <v>-0.80565377000377725</v>
      </c>
      <c r="J762" s="4">
        <v>6.9337621433256461E-2</v>
      </c>
      <c r="K762" s="5">
        <v>1</v>
      </c>
      <c r="L762" s="5">
        <v>0</v>
      </c>
      <c r="M762" s="5">
        <v>0</v>
      </c>
    </row>
    <row r="763" spans="1:13" hidden="1" x14ac:dyDescent="0.25">
      <c r="A763" t="s">
        <v>774</v>
      </c>
      <c r="B763" s="1">
        <v>8.9962870652836271E-2</v>
      </c>
      <c r="C763" s="2">
        <v>2.5633596247364819E-5</v>
      </c>
      <c r="D763" s="2"/>
      <c r="E763" s="2">
        <v>-0.42891631373521222</v>
      </c>
      <c r="F763" s="3">
        <v>51.447053560573558</v>
      </c>
      <c r="G763" s="3">
        <v>4</v>
      </c>
      <c r="H763" s="2">
        <v>2.1675517502980381E-4</v>
      </c>
      <c r="I763" s="4">
        <v>5.5511151231257827E-17</v>
      </c>
      <c r="J763" s="4">
        <v>-0.42891631373521227</v>
      </c>
      <c r="K763" s="5">
        <v>4</v>
      </c>
      <c r="L763" s="5">
        <v>0</v>
      </c>
      <c r="M763" s="5">
        <v>1</v>
      </c>
    </row>
    <row r="764" spans="1:13" hidden="1" x14ac:dyDescent="0.25">
      <c r="A764" t="s">
        <v>775</v>
      </c>
      <c r="B764" s="1">
        <v>8.9778075667292456E-2</v>
      </c>
      <c r="C764" s="2">
        <v>2.558094163537219E-5</v>
      </c>
      <c r="D764" s="2"/>
      <c r="E764" s="2">
        <v>0.59939959890278094</v>
      </c>
      <c r="F764" s="3">
        <v>144.08465660733199</v>
      </c>
      <c r="G764" s="3">
        <v>1</v>
      </c>
      <c r="H764" s="2">
        <v>5.4188793757450959E-5</v>
      </c>
      <c r="I764" s="4">
        <v>-4.4408920985006262E-16</v>
      </c>
      <c r="J764" s="4">
        <v>0.59939959890278149</v>
      </c>
      <c r="K764" s="5">
        <v>1</v>
      </c>
      <c r="L764" s="5">
        <v>0</v>
      </c>
      <c r="M764" s="5">
        <v>0</v>
      </c>
    </row>
    <row r="765" spans="1:13" hidden="1" x14ac:dyDescent="0.25">
      <c r="A765" t="s">
        <v>776</v>
      </c>
      <c r="B765" s="1">
        <v>8.9727285480671062E-2</v>
      </c>
      <c r="C765" s="2">
        <v>2.5566469719039E-5</v>
      </c>
      <c r="D765" s="2"/>
      <c r="E765" s="2">
        <v>0.13560190914287601</v>
      </c>
      <c r="F765" s="3">
        <v>102.3026460890263</v>
      </c>
      <c r="G765" s="3">
        <v>1</v>
      </c>
      <c r="H765" s="2">
        <v>5.4188793757450959E-5</v>
      </c>
      <c r="I765" s="4">
        <v>-5.5511151231257827E-17</v>
      </c>
      <c r="J765" s="4">
        <v>0.13560190914287601</v>
      </c>
      <c r="K765" s="5">
        <v>1</v>
      </c>
      <c r="L765" s="5">
        <v>0</v>
      </c>
      <c r="M765" s="5">
        <v>0</v>
      </c>
    </row>
    <row r="766" spans="1:13" hidden="1" x14ac:dyDescent="0.25">
      <c r="A766" t="s">
        <v>777</v>
      </c>
      <c r="B766" s="1">
        <v>8.9432579386867744E-2</v>
      </c>
      <c r="C766" s="2">
        <v>2.5482497554018349E-5</v>
      </c>
      <c r="D766" s="2"/>
      <c r="E766" s="2">
        <v>0.26641662868609162</v>
      </c>
      <c r="F766" s="3">
        <v>114.08731450928791</v>
      </c>
      <c r="G766" s="3">
        <v>1</v>
      </c>
      <c r="H766" s="2">
        <v>5.4188793757450959E-5</v>
      </c>
      <c r="I766" s="4">
        <v>2.2204460492503131E-16</v>
      </c>
      <c r="J766" s="4">
        <v>0.26641662868609139</v>
      </c>
      <c r="K766" s="5">
        <v>1</v>
      </c>
      <c r="L766" s="5">
        <v>0</v>
      </c>
      <c r="M766" s="5">
        <v>1</v>
      </c>
    </row>
    <row r="767" spans="1:13" hidden="1" x14ac:dyDescent="0.25">
      <c r="A767" t="s">
        <v>778</v>
      </c>
      <c r="B767" s="1">
        <v>8.8703826465737629E-2</v>
      </c>
      <c r="C767" s="2">
        <v>2.5274850132267821E-5</v>
      </c>
      <c r="D767" s="2"/>
      <c r="E767" s="2">
        <v>6.1596801697657577E-2</v>
      </c>
      <c r="F767" s="3">
        <v>95.635769030442603</v>
      </c>
      <c r="G767" s="3">
        <v>2</v>
      </c>
      <c r="H767" s="2">
        <v>1.083775875149019E-4</v>
      </c>
      <c r="I767" s="4">
        <v>-1.040834085586084E-16</v>
      </c>
      <c r="J767" s="4">
        <v>6.1596801697657667E-2</v>
      </c>
      <c r="K767" s="5">
        <v>2</v>
      </c>
      <c r="L767" s="5">
        <v>0</v>
      </c>
      <c r="M767" s="5">
        <v>0</v>
      </c>
    </row>
    <row r="768" spans="1:13" hidden="1" x14ac:dyDescent="0.25">
      <c r="A768" t="s">
        <v>779</v>
      </c>
      <c r="B768" s="1">
        <v>8.8295534129100919E-2</v>
      </c>
      <c r="C768" s="2">
        <v>2.5158513238699511E-5</v>
      </c>
      <c r="D768" s="2"/>
      <c r="E768" s="2">
        <v>4.6988444232810602</v>
      </c>
      <c r="F768" s="3">
        <v>513.39017613256988</v>
      </c>
      <c r="G768" s="3">
        <v>2</v>
      </c>
      <c r="H768" s="2">
        <v>1.083775875149019E-4</v>
      </c>
      <c r="I768" s="4">
        <v>5.141547162260788</v>
      </c>
      <c r="J768" s="4">
        <v>-0.44270273897972751</v>
      </c>
      <c r="K768" s="5">
        <v>2</v>
      </c>
      <c r="L768" s="5">
        <v>0</v>
      </c>
      <c r="M768" s="5">
        <v>0</v>
      </c>
    </row>
    <row r="769" spans="1:13" hidden="1" x14ac:dyDescent="0.25">
      <c r="A769" t="s">
        <v>780</v>
      </c>
      <c r="B769" s="1">
        <v>8.829520466177361E-2</v>
      </c>
      <c r="C769" s="2">
        <v>2.515841936183249E-5</v>
      </c>
      <c r="D769" s="2"/>
      <c r="E769" s="2">
        <v>2.2497617527051998</v>
      </c>
      <c r="F769" s="3">
        <v>292.76036239810998</v>
      </c>
      <c r="G769" s="3">
        <v>1</v>
      </c>
      <c r="H769" s="2">
        <v>5.4188793757450959E-5</v>
      </c>
      <c r="I769" s="4">
        <v>0</v>
      </c>
      <c r="J769" s="4">
        <v>2.2497617527051998</v>
      </c>
      <c r="K769" s="5">
        <v>1</v>
      </c>
      <c r="L769" s="5">
        <v>0</v>
      </c>
      <c r="M769" s="5">
        <v>0</v>
      </c>
    </row>
    <row r="770" spans="1:13" hidden="1" x14ac:dyDescent="0.25">
      <c r="A770" t="s">
        <v>781</v>
      </c>
      <c r="B770" s="1">
        <v>8.7651389958679243E-2</v>
      </c>
      <c r="C770" s="2">
        <v>2.4974973835500601E-5</v>
      </c>
      <c r="D770" s="2"/>
      <c r="E770" s="2">
        <v>1.213404329876179</v>
      </c>
      <c r="F770" s="3">
        <v>199.3983261107322</v>
      </c>
      <c r="G770" s="3">
        <v>1</v>
      </c>
      <c r="H770" s="2">
        <v>5.4188793757450959E-5</v>
      </c>
      <c r="I770" s="4">
        <v>2.2204460492503131E-16</v>
      </c>
      <c r="J770" s="4">
        <v>1.213404329876179</v>
      </c>
      <c r="K770" s="5">
        <v>1</v>
      </c>
      <c r="L770" s="5">
        <v>0</v>
      </c>
      <c r="M770" s="5">
        <v>0</v>
      </c>
    </row>
    <row r="771" spans="1:13" hidden="1" x14ac:dyDescent="0.25">
      <c r="A771" t="s">
        <v>782</v>
      </c>
      <c r="B771" s="1">
        <v>8.7546886476834257E-2</v>
      </c>
      <c r="C771" s="2">
        <v>2.4945197106049672E-5</v>
      </c>
      <c r="D771" s="2"/>
      <c r="E771" s="2">
        <v>-0.30762403876093369</v>
      </c>
      <c r="F771" s="3">
        <v>62.373876226266461</v>
      </c>
      <c r="G771" s="3">
        <v>3</v>
      </c>
      <c r="H771" s="2">
        <v>1.6256638127235291E-4</v>
      </c>
      <c r="I771" s="4">
        <v>-2.7755575615628909E-16</v>
      </c>
      <c r="J771" s="4">
        <v>-0.30762403876093342</v>
      </c>
      <c r="K771" s="5">
        <v>3</v>
      </c>
      <c r="L771" s="5">
        <v>0</v>
      </c>
      <c r="M771" s="5">
        <v>0</v>
      </c>
    </row>
    <row r="772" spans="1:13" hidden="1" x14ac:dyDescent="0.25">
      <c r="A772" t="s">
        <v>783</v>
      </c>
      <c r="B772" s="1">
        <v>8.7523086286818708E-2</v>
      </c>
      <c r="C772" s="2">
        <v>2.493841559210906E-5</v>
      </c>
      <c r="D772" s="2"/>
      <c r="E772" s="2">
        <v>-0.51263809179941389</v>
      </c>
      <c r="F772" s="3">
        <v>43.904833560511527</v>
      </c>
      <c r="G772" s="3">
        <v>3</v>
      </c>
      <c r="H772" s="2">
        <v>1.6256638127235291E-4</v>
      </c>
      <c r="I772" s="4">
        <v>1.110223024625157E-16</v>
      </c>
      <c r="J772" s="4">
        <v>-0.512638091799414</v>
      </c>
      <c r="K772" s="5">
        <v>3</v>
      </c>
      <c r="L772" s="5">
        <v>0</v>
      </c>
      <c r="M772" s="5">
        <v>0</v>
      </c>
    </row>
    <row r="773" spans="1:13" hidden="1" x14ac:dyDescent="0.25">
      <c r="A773" t="s">
        <v>784</v>
      </c>
      <c r="B773" s="1">
        <v>8.7435367615001008E-2</v>
      </c>
      <c r="C773" s="2">
        <v>2.491342144729784E-5</v>
      </c>
      <c r="D773" s="2"/>
      <c r="E773" s="2">
        <v>-0.36370072170184481</v>
      </c>
      <c r="F773" s="3">
        <v>57.322112045031012</v>
      </c>
      <c r="G773" s="3">
        <v>2</v>
      </c>
      <c r="H773" s="2">
        <v>1.083775875149019E-4</v>
      </c>
      <c r="I773" s="4">
        <v>0</v>
      </c>
      <c r="J773" s="4">
        <v>-0.36370072170184481</v>
      </c>
      <c r="K773" s="5">
        <v>2</v>
      </c>
      <c r="L773" s="5">
        <v>0</v>
      </c>
      <c r="M773" s="5">
        <v>1</v>
      </c>
    </row>
    <row r="774" spans="1:13" hidden="1" x14ac:dyDescent="0.25">
      <c r="A774" t="s">
        <v>785</v>
      </c>
      <c r="B774" s="1">
        <v>8.7311134100835158E-2</v>
      </c>
      <c r="C774" s="2">
        <v>2.4878022935451689E-5</v>
      </c>
      <c r="D774" s="2"/>
      <c r="E774" s="2" t="s">
        <v>303</v>
      </c>
      <c r="F774" s="3" t="s">
        <v>303</v>
      </c>
      <c r="G774" s="3">
        <v>2</v>
      </c>
      <c r="H774" s="2">
        <v>1.083775875149019E-4</v>
      </c>
      <c r="I774" s="4" t="s">
        <v>303</v>
      </c>
      <c r="J774" s="4">
        <v>0</v>
      </c>
      <c r="K774" s="5">
        <v>2</v>
      </c>
      <c r="L774" s="5">
        <v>0</v>
      </c>
      <c r="M774" s="5">
        <v>0</v>
      </c>
    </row>
    <row r="775" spans="1:13" hidden="1" x14ac:dyDescent="0.25">
      <c r="A775" t="s">
        <v>786</v>
      </c>
      <c r="B775" s="1">
        <v>8.7178691814306181E-2</v>
      </c>
      <c r="C775" s="2">
        <v>2.4840285454707411E-5</v>
      </c>
      <c r="D775" s="2"/>
      <c r="E775" s="2">
        <v>0.54765102085066952</v>
      </c>
      <c r="F775" s="3">
        <v>139.42279717978721</v>
      </c>
      <c r="G775" s="3">
        <v>1</v>
      </c>
      <c r="H775" s="2">
        <v>5.4188793757450959E-5</v>
      </c>
      <c r="I775" s="4">
        <v>-1.110223024625157E-16</v>
      </c>
      <c r="J775" s="4">
        <v>0.54765102085066963</v>
      </c>
      <c r="K775" s="5">
        <v>1</v>
      </c>
      <c r="L775" s="5">
        <v>0</v>
      </c>
      <c r="M775" s="5">
        <v>0</v>
      </c>
    </row>
    <row r="776" spans="1:13" hidden="1" x14ac:dyDescent="0.25">
      <c r="A776" t="s">
        <v>787</v>
      </c>
      <c r="B776" s="1">
        <v>8.7102110060390592E-2</v>
      </c>
      <c r="C776" s="2">
        <v>2.4818464610779891E-5</v>
      </c>
      <c r="D776" s="2"/>
      <c r="E776" s="2">
        <v>0.84835001675579313</v>
      </c>
      <c r="F776" s="3">
        <v>166.51178206941819</v>
      </c>
      <c r="G776" s="3">
        <v>2</v>
      </c>
      <c r="H776" s="2">
        <v>1.083775875149019E-4</v>
      </c>
      <c r="I776" s="4">
        <v>0</v>
      </c>
      <c r="J776" s="4">
        <v>0.84835001675579313</v>
      </c>
      <c r="K776" s="5">
        <v>2</v>
      </c>
      <c r="L776" s="5">
        <v>0</v>
      </c>
      <c r="M776" s="5">
        <v>0</v>
      </c>
    </row>
    <row r="777" spans="1:13" hidden="1" x14ac:dyDescent="0.25">
      <c r="A777" t="s">
        <v>788</v>
      </c>
      <c r="B777" s="1">
        <v>8.6900377658475247E-2</v>
      </c>
      <c r="C777" s="2">
        <v>2.4760983931215262E-5</v>
      </c>
      <c r="D777" s="2"/>
      <c r="E777" s="2">
        <v>-0.74151175181008666</v>
      </c>
      <c r="F777" s="3">
        <v>23.286357269955989</v>
      </c>
      <c r="G777" s="3">
        <v>1</v>
      </c>
      <c r="H777" s="2">
        <v>5.4188793757450959E-5</v>
      </c>
      <c r="I777" s="4">
        <v>0</v>
      </c>
      <c r="J777" s="4">
        <v>-0.74151175181008666</v>
      </c>
      <c r="K777" s="5">
        <v>1</v>
      </c>
      <c r="L777" s="5">
        <v>0</v>
      </c>
      <c r="M777" s="5">
        <v>0</v>
      </c>
    </row>
    <row r="778" spans="1:13" hidden="1" x14ac:dyDescent="0.25">
      <c r="A778" t="s">
        <v>789</v>
      </c>
      <c r="B778" s="1">
        <v>8.6848517573915165E-2</v>
      </c>
      <c r="C778" s="2">
        <v>2.47462071632073E-5</v>
      </c>
      <c r="D778" s="2"/>
      <c r="E778" s="2">
        <v>-8.171720436845975E-2</v>
      </c>
      <c r="F778" s="3">
        <v>82.725080941472555</v>
      </c>
      <c r="G778" s="3">
        <v>3</v>
      </c>
      <c r="H778" s="2">
        <v>1.6256638127235291E-4</v>
      </c>
      <c r="I778" s="4">
        <v>9.7144514654701197E-17</v>
      </c>
      <c r="J778" s="4">
        <v>-8.1717204368459848E-2</v>
      </c>
      <c r="K778" s="5">
        <v>3</v>
      </c>
      <c r="L778" s="5">
        <v>0</v>
      </c>
      <c r="M778" s="5">
        <v>0</v>
      </c>
    </row>
    <row r="779" spans="1:13" hidden="1" x14ac:dyDescent="0.25">
      <c r="A779" t="s">
        <v>790</v>
      </c>
      <c r="B779" s="1">
        <v>8.6764373016789964E-2</v>
      </c>
      <c r="C779" s="2">
        <v>2.472223140978694E-5</v>
      </c>
      <c r="D779" s="2"/>
      <c r="E779" s="2">
        <v>3.3882966899424258</v>
      </c>
      <c r="F779" s="3">
        <v>395.32723535457092</v>
      </c>
      <c r="G779" s="3">
        <v>1</v>
      </c>
      <c r="H779" s="2">
        <v>5.4188793757450959E-5</v>
      </c>
      <c r="I779" s="4">
        <v>0</v>
      </c>
      <c r="J779" s="4">
        <v>3.3882966899424258</v>
      </c>
      <c r="K779" s="5">
        <v>1</v>
      </c>
      <c r="L779" s="5">
        <v>0</v>
      </c>
      <c r="M779" s="5">
        <v>0</v>
      </c>
    </row>
    <row r="780" spans="1:13" hidden="1" x14ac:dyDescent="0.25">
      <c r="A780" t="s">
        <v>791</v>
      </c>
      <c r="B780" s="1">
        <v>8.6718354333143982E-2</v>
      </c>
      <c r="C780" s="2">
        <v>2.4709119063017031E-5</v>
      </c>
      <c r="D780" s="2"/>
      <c r="E780" s="2" t="s">
        <v>303</v>
      </c>
      <c r="F780" s="3" t="s">
        <v>303</v>
      </c>
      <c r="G780" s="3">
        <v>1</v>
      </c>
      <c r="H780" s="2">
        <v>5.4188793757450959E-5</v>
      </c>
      <c r="I780" s="4" t="s">
        <v>303</v>
      </c>
      <c r="J780" s="4">
        <v>0</v>
      </c>
      <c r="K780" s="5">
        <v>1</v>
      </c>
      <c r="L780" s="5">
        <v>0</v>
      </c>
      <c r="M780" s="5">
        <v>0</v>
      </c>
    </row>
    <row r="781" spans="1:13" hidden="1" x14ac:dyDescent="0.25">
      <c r="A781" t="s">
        <v>792</v>
      </c>
      <c r="B781" s="1">
        <v>8.6711459436579305E-2</v>
      </c>
      <c r="C781" s="2">
        <v>2.4707154463694842E-5</v>
      </c>
      <c r="D781" s="2"/>
      <c r="E781" s="2" t="s">
        <v>303</v>
      </c>
      <c r="F781" s="3" t="s">
        <v>303</v>
      </c>
      <c r="G781" s="3">
        <v>1</v>
      </c>
      <c r="H781" s="2">
        <v>5.4188793757450959E-5</v>
      </c>
      <c r="I781" s="4" t="s">
        <v>303</v>
      </c>
      <c r="J781" s="4">
        <v>0</v>
      </c>
      <c r="K781" s="5">
        <v>1</v>
      </c>
      <c r="L781" s="5">
        <v>0</v>
      </c>
      <c r="M781" s="5">
        <v>0</v>
      </c>
    </row>
    <row r="782" spans="1:13" hidden="1" x14ac:dyDescent="0.25">
      <c r="A782" t="s">
        <v>793</v>
      </c>
      <c r="B782" s="1">
        <v>8.6582162521311623E-2</v>
      </c>
      <c r="C782" s="2">
        <v>2.4670313210209382E-5</v>
      </c>
      <c r="D782" s="2"/>
      <c r="E782" s="2">
        <v>2.310697233087355</v>
      </c>
      <c r="F782" s="3">
        <v>298.24983968201627</v>
      </c>
      <c r="G782" s="3">
        <v>1</v>
      </c>
      <c r="H782" s="2">
        <v>5.4188793757450959E-5</v>
      </c>
      <c r="I782" s="4">
        <v>0</v>
      </c>
      <c r="J782" s="4">
        <v>2.310697233087355</v>
      </c>
      <c r="K782" s="5">
        <v>1</v>
      </c>
      <c r="L782" s="5">
        <v>0</v>
      </c>
      <c r="M782" s="5">
        <v>0</v>
      </c>
    </row>
    <row r="783" spans="1:13" hidden="1" x14ac:dyDescent="0.25">
      <c r="A783" t="s">
        <v>794</v>
      </c>
      <c r="B783" s="1">
        <v>8.6573124408404395E-2</v>
      </c>
      <c r="C783" s="2">
        <v>2.466773793292642E-5</v>
      </c>
      <c r="D783" s="2"/>
      <c r="E783" s="2">
        <v>0.31591873026837169</v>
      </c>
      <c r="F783" s="3">
        <v>118.5467962502594</v>
      </c>
      <c r="G783" s="3">
        <v>1</v>
      </c>
      <c r="H783" s="2">
        <v>5.4188793757450959E-5</v>
      </c>
      <c r="I783" s="4">
        <v>0</v>
      </c>
      <c r="J783" s="4">
        <v>0.31591873026837169</v>
      </c>
      <c r="K783" s="5">
        <v>1</v>
      </c>
      <c r="L783" s="5">
        <v>0</v>
      </c>
      <c r="M783" s="5">
        <v>0</v>
      </c>
    </row>
    <row r="784" spans="1:13" hidden="1" x14ac:dyDescent="0.25">
      <c r="A784" t="s">
        <v>795</v>
      </c>
      <c r="B784" s="1">
        <v>8.656533649052979E-2</v>
      </c>
      <c r="C784" s="2">
        <v>2.4665518880322201E-5</v>
      </c>
      <c r="D784" s="2"/>
      <c r="E784" s="2">
        <v>-0.18695295229901249</v>
      </c>
      <c r="F784" s="3">
        <v>73.244738059186304</v>
      </c>
      <c r="G784" s="3">
        <v>1</v>
      </c>
      <c r="H784" s="2">
        <v>5.4188793757450959E-5</v>
      </c>
      <c r="I784" s="4">
        <v>5.5511151231257827E-17</v>
      </c>
      <c r="J784" s="4">
        <v>-0.1869529522990126</v>
      </c>
      <c r="K784" s="5">
        <v>1</v>
      </c>
      <c r="L784" s="5">
        <v>0</v>
      </c>
      <c r="M784" s="5">
        <v>0</v>
      </c>
    </row>
    <row r="785" spans="1:13" hidden="1" x14ac:dyDescent="0.25">
      <c r="A785" t="s">
        <v>796</v>
      </c>
      <c r="B785" s="1">
        <v>8.6549308042083911E-2</v>
      </c>
      <c r="C785" s="2">
        <v>2.466095180978575E-5</v>
      </c>
      <c r="D785" s="2"/>
      <c r="E785" s="2">
        <v>-0.4306604740904787</v>
      </c>
      <c r="F785" s="3">
        <v>51.289927882894837</v>
      </c>
      <c r="G785" s="3">
        <v>1</v>
      </c>
      <c r="H785" s="2">
        <v>5.4188793757450959E-5</v>
      </c>
      <c r="I785" s="4">
        <v>0</v>
      </c>
      <c r="J785" s="4">
        <v>-0.4306604740904787</v>
      </c>
      <c r="K785" s="5">
        <v>1</v>
      </c>
      <c r="L785" s="5">
        <v>0</v>
      </c>
      <c r="M785" s="5">
        <v>0</v>
      </c>
    </row>
    <row r="786" spans="1:13" hidden="1" x14ac:dyDescent="0.25">
      <c r="A786" t="s">
        <v>797</v>
      </c>
      <c r="B786" s="1">
        <v>8.6515811151202063E-2</v>
      </c>
      <c r="C786" s="2">
        <v>2.4651407363613939E-5</v>
      </c>
      <c r="D786" s="2"/>
      <c r="E786" s="2">
        <v>0.51415632665394728</v>
      </c>
      <c r="F786" s="3">
        <v>136.4053701935525</v>
      </c>
      <c r="G786" s="3">
        <v>4</v>
      </c>
      <c r="H786" s="2">
        <v>2.1675517502980381E-4</v>
      </c>
      <c r="I786" s="4">
        <v>1.110223024625157E-16</v>
      </c>
      <c r="J786" s="4">
        <v>0.51415632665394717</v>
      </c>
      <c r="K786" s="5">
        <v>4</v>
      </c>
      <c r="L786" s="5">
        <v>0</v>
      </c>
      <c r="M786" s="5">
        <v>0</v>
      </c>
    </row>
    <row r="787" spans="1:13" hidden="1" x14ac:dyDescent="0.25">
      <c r="A787" t="s">
        <v>798</v>
      </c>
      <c r="B787" s="1">
        <v>8.6274080336799716E-2</v>
      </c>
      <c r="C787" s="2">
        <v>2.4582529724961781E-5</v>
      </c>
      <c r="D787" s="2"/>
      <c r="E787" s="2">
        <v>0.1068715043243911</v>
      </c>
      <c r="F787" s="3">
        <v>99.714418284479635</v>
      </c>
      <c r="G787" s="3">
        <v>1</v>
      </c>
      <c r="H787" s="2">
        <v>5.4188793757450959E-5</v>
      </c>
      <c r="I787" s="4">
        <v>-8.3266726846886741E-17</v>
      </c>
      <c r="J787" s="4">
        <v>0.1068715043243912</v>
      </c>
      <c r="K787" s="5">
        <v>1</v>
      </c>
      <c r="L787" s="5">
        <v>0</v>
      </c>
      <c r="M787" s="5">
        <v>0</v>
      </c>
    </row>
    <row r="788" spans="1:13" hidden="1" x14ac:dyDescent="0.25">
      <c r="A788" t="s">
        <v>799</v>
      </c>
      <c r="B788" s="1">
        <v>8.5888573147185801E-2</v>
      </c>
      <c r="C788" s="2">
        <v>2.4472685123768999E-5</v>
      </c>
      <c r="D788" s="2"/>
      <c r="E788" s="2">
        <v>0.25104887061614051</v>
      </c>
      <c r="F788" s="3">
        <v>112.70288366045411</v>
      </c>
      <c r="G788" s="3">
        <v>3</v>
      </c>
      <c r="H788" s="2">
        <v>1.6256638127235291E-4</v>
      </c>
      <c r="I788" s="4">
        <v>0</v>
      </c>
      <c r="J788" s="4">
        <v>0.25104887061614051</v>
      </c>
      <c r="K788" s="5">
        <v>3</v>
      </c>
      <c r="L788" s="5">
        <v>0</v>
      </c>
      <c r="M788" s="5">
        <v>2</v>
      </c>
    </row>
    <row r="789" spans="1:13" hidden="1" x14ac:dyDescent="0.25">
      <c r="A789" t="s">
        <v>800</v>
      </c>
      <c r="B789" s="1">
        <v>8.5771823779076189E-2</v>
      </c>
      <c r="C789" s="2">
        <v>2.4439419109217222E-5</v>
      </c>
      <c r="D789" s="2"/>
      <c r="E789" s="2">
        <v>2.447705729646232E-2</v>
      </c>
      <c r="F789" s="3">
        <v>92.291773177831871</v>
      </c>
      <c r="G789" s="3">
        <v>1</v>
      </c>
      <c r="H789" s="2">
        <v>5.4188793757450959E-5</v>
      </c>
      <c r="I789" s="4">
        <v>-1.0408340855860839E-17</v>
      </c>
      <c r="J789" s="4">
        <v>2.447705729646233E-2</v>
      </c>
      <c r="K789" s="5">
        <v>1</v>
      </c>
      <c r="L789" s="5">
        <v>1</v>
      </c>
      <c r="M789" s="5">
        <v>0</v>
      </c>
    </row>
    <row r="790" spans="1:13" hidden="1" x14ac:dyDescent="0.25">
      <c r="A790" t="s">
        <v>801</v>
      </c>
      <c r="B790" s="1">
        <v>8.5592799357415983E-2</v>
      </c>
      <c r="C790" s="2">
        <v>2.4388408734493131E-5</v>
      </c>
      <c r="D790" s="2"/>
      <c r="E790" s="2">
        <v>-0.34944935605637412</v>
      </c>
      <c r="F790" s="3">
        <v>58.605970767155142</v>
      </c>
      <c r="G790" s="3">
        <v>1</v>
      </c>
      <c r="H790" s="2">
        <v>5.4188793757450959E-5</v>
      </c>
      <c r="I790" s="4">
        <v>-2.2204460492503131E-16</v>
      </c>
      <c r="J790" s="4">
        <v>-0.34944935605637378</v>
      </c>
      <c r="K790" s="5">
        <v>1</v>
      </c>
      <c r="L790" s="5">
        <v>0</v>
      </c>
      <c r="M790" s="5">
        <v>0</v>
      </c>
    </row>
    <row r="791" spans="1:13" hidden="1" x14ac:dyDescent="0.25">
      <c r="A791" t="s">
        <v>802</v>
      </c>
      <c r="B791" s="1">
        <v>8.5171875736660546E-2</v>
      </c>
      <c r="C791" s="2">
        <v>2.4268472742376331E-5</v>
      </c>
      <c r="D791" s="2"/>
      <c r="E791" s="2">
        <v>0.32582293973929749</v>
      </c>
      <c r="F791" s="3">
        <v>119.4390339509344</v>
      </c>
      <c r="G791" s="3">
        <v>3</v>
      </c>
      <c r="H791" s="2">
        <v>1.6256638127235291E-4</v>
      </c>
      <c r="I791" s="4">
        <v>5.5511151231257827E-17</v>
      </c>
      <c r="J791" s="4">
        <v>0.32582293973929749</v>
      </c>
      <c r="K791" s="5">
        <v>3</v>
      </c>
      <c r="L791" s="5">
        <v>0</v>
      </c>
      <c r="M791" s="5">
        <v>0</v>
      </c>
    </row>
    <row r="792" spans="1:13" hidden="1" x14ac:dyDescent="0.25">
      <c r="A792" t="s">
        <v>803</v>
      </c>
      <c r="B792" s="1">
        <v>8.497748834339966E-2</v>
      </c>
      <c r="C792" s="2">
        <v>2.421308491495077E-5</v>
      </c>
      <c r="D792" s="2"/>
      <c r="E792" s="2">
        <v>-0.33750875864957453</v>
      </c>
      <c r="F792" s="3">
        <v>59.681659968418757</v>
      </c>
      <c r="G792" s="3">
        <v>2</v>
      </c>
      <c r="H792" s="2">
        <v>1.083775875149019E-4</v>
      </c>
      <c r="I792" s="4">
        <v>-5.5511151231257827E-17</v>
      </c>
      <c r="J792" s="4">
        <v>-0.33750875864957453</v>
      </c>
      <c r="K792" s="5">
        <v>2</v>
      </c>
      <c r="L792" s="5">
        <v>0</v>
      </c>
      <c r="M792" s="5">
        <v>2</v>
      </c>
    </row>
    <row r="793" spans="1:13" hidden="1" x14ac:dyDescent="0.25">
      <c r="A793" t="s">
        <v>804</v>
      </c>
      <c r="B793" s="1">
        <v>8.4827100927458723E-2</v>
      </c>
      <c r="C793" s="2">
        <v>2.4170234233631461E-5</v>
      </c>
      <c r="D793" s="2"/>
      <c r="E793" s="2">
        <v>0.54598265418406755</v>
      </c>
      <c r="F793" s="3">
        <v>139.27249950657449</v>
      </c>
      <c r="G793" s="3">
        <v>1</v>
      </c>
      <c r="H793" s="2">
        <v>5.4188793757450959E-5</v>
      </c>
      <c r="I793" s="4">
        <v>1.110223024625157E-16</v>
      </c>
      <c r="J793" s="4">
        <v>0.54598265418406744</v>
      </c>
      <c r="K793" s="5">
        <v>1</v>
      </c>
      <c r="L793" s="5">
        <v>0</v>
      </c>
      <c r="M793" s="5">
        <v>0</v>
      </c>
    </row>
    <row r="794" spans="1:13" hidden="1" x14ac:dyDescent="0.25">
      <c r="A794" t="s">
        <v>805</v>
      </c>
      <c r="B794" s="1">
        <v>8.4773718482642035E-2</v>
      </c>
      <c r="C794" s="2">
        <v>2.415502369146892E-5</v>
      </c>
      <c r="D794" s="2"/>
      <c r="E794" s="2">
        <v>-0.47877655351193832</v>
      </c>
      <c r="F794" s="3">
        <v>46.955308325976013</v>
      </c>
      <c r="G794" s="3">
        <v>1</v>
      </c>
      <c r="H794" s="2">
        <v>5.4188793757450959E-5</v>
      </c>
      <c r="I794" s="4">
        <v>-5.5511151231257827E-17</v>
      </c>
      <c r="J794" s="4">
        <v>-0.47877655351193821</v>
      </c>
      <c r="K794" s="5">
        <v>1</v>
      </c>
      <c r="L794" s="5">
        <v>0</v>
      </c>
      <c r="M794" s="5">
        <v>1</v>
      </c>
    </row>
    <row r="795" spans="1:13" hidden="1" x14ac:dyDescent="0.25">
      <c r="A795" t="s">
        <v>806</v>
      </c>
      <c r="B795" s="1">
        <v>8.4643797538850665E-2</v>
      </c>
      <c r="C795" s="2">
        <v>2.4118004630237801E-5</v>
      </c>
      <c r="D795" s="2"/>
      <c r="E795" s="2">
        <v>0.38505012520581938</v>
      </c>
      <c r="F795" s="3">
        <v>124.7746165568178</v>
      </c>
      <c r="G795" s="3">
        <v>3</v>
      </c>
      <c r="H795" s="2">
        <v>1.6256638127235291E-4</v>
      </c>
      <c r="I795" s="4">
        <v>-2.2204460492503131E-16</v>
      </c>
      <c r="J795" s="4">
        <v>0.3850501252058196</v>
      </c>
      <c r="K795" s="5">
        <v>3</v>
      </c>
      <c r="L795" s="5">
        <v>0</v>
      </c>
      <c r="M795" s="5">
        <v>0</v>
      </c>
    </row>
    <row r="796" spans="1:13" hidden="1" x14ac:dyDescent="0.25">
      <c r="A796" t="s">
        <v>807</v>
      </c>
      <c r="B796" s="1">
        <v>8.443786555946993E-2</v>
      </c>
      <c r="C796" s="2">
        <v>2.405932734286847E-5</v>
      </c>
      <c r="D796" s="2"/>
      <c r="E796" s="2">
        <v>9.4194455974941249E-2</v>
      </c>
      <c r="F796" s="3">
        <v>98.572384636679473</v>
      </c>
      <c r="G796" s="3">
        <v>1</v>
      </c>
      <c r="H796" s="2">
        <v>5.4188793757450959E-5</v>
      </c>
      <c r="I796" s="4">
        <v>-1.387778780781446E-17</v>
      </c>
      <c r="J796" s="4">
        <v>9.4194455974941263E-2</v>
      </c>
      <c r="K796" s="5">
        <v>1</v>
      </c>
      <c r="L796" s="5">
        <v>0</v>
      </c>
      <c r="M796" s="5">
        <v>1</v>
      </c>
    </row>
    <row r="797" spans="1:13" hidden="1" x14ac:dyDescent="0.25">
      <c r="A797" t="s">
        <v>808</v>
      </c>
      <c r="B797" s="1">
        <v>8.4341739549028821E-2</v>
      </c>
      <c r="C797" s="2">
        <v>2.4031937650625028E-5</v>
      </c>
      <c r="D797" s="2"/>
      <c r="E797" s="2">
        <v>-0.3204144408534943</v>
      </c>
      <c r="F797" s="3">
        <v>61.22163091206194</v>
      </c>
      <c r="G797" s="3">
        <v>2</v>
      </c>
      <c r="H797" s="2">
        <v>1.083775875149019E-4</v>
      </c>
      <c r="I797" s="4">
        <v>5.5511151231257827E-17</v>
      </c>
      <c r="J797" s="4">
        <v>-0.3204144408534943</v>
      </c>
      <c r="K797" s="5">
        <v>2</v>
      </c>
      <c r="L797" s="5">
        <v>2</v>
      </c>
      <c r="M797" s="5">
        <v>2</v>
      </c>
    </row>
    <row r="798" spans="1:13" hidden="1" x14ac:dyDescent="0.25">
      <c r="A798" t="s">
        <v>809</v>
      </c>
      <c r="B798" s="1">
        <v>8.4285542242523728E-2</v>
      </c>
      <c r="C798" s="2">
        <v>2.401592505504324E-5</v>
      </c>
      <c r="D798" s="2"/>
      <c r="E798" s="2">
        <v>1.1238724023329081</v>
      </c>
      <c r="F798" s="3">
        <v>191.33268882764509</v>
      </c>
      <c r="G798" s="3">
        <v>1</v>
      </c>
      <c r="H798" s="2">
        <v>5.4188793757450959E-5</v>
      </c>
      <c r="I798" s="4">
        <v>2.2204460492503131E-16</v>
      </c>
      <c r="J798" s="4">
        <v>1.1238724023329081</v>
      </c>
      <c r="K798" s="5">
        <v>1</v>
      </c>
      <c r="L798" s="5">
        <v>0</v>
      </c>
      <c r="M798" s="5">
        <v>0</v>
      </c>
    </row>
    <row r="799" spans="1:13" hidden="1" x14ac:dyDescent="0.25">
      <c r="A799" t="s">
        <v>810</v>
      </c>
      <c r="B799" s="1">
        <v>8.3734187168201801E-2</v>
      </c>
      <c r="C799" s="2">
        <v>2.385882453944672E-5</v>
      </c>
      <c r="D799" s="2"/>
      <c r="E799" s="2">
        <v>-0.49912084808971058</v>
      </c>
      <c r="F799" s="3">
        <v>45.122557648679567</v>
      </c>
      <c r="G799" s="3">
        <v>1</v>
      </c>
      <c r="H799" s="2">
        <v>5.4188793757450959E-5</v>
      </c>
      <c r="I799" s="4">
        <v>0</v>
      </c>
      <c r="J799" s="4">
        <v>-0.49912084808971058</v>
      </c>
      <c r="K799" s="5">
        <v>1</v>
      </c>
      <c r="L799" s="5">
        <v>0</v>
      </c>
      <c r="M799" s="5">
        <v>1</v>
      </c>
    </row>
    <row r="800" spans="1:13" hidden="1" x14ac:dyDescent="0.25">
      <c r="A800" t="s">
        <v>811</v>
      </c>
      <c r="B800" s="1">
        <v>8.3717396470353339E-2</v>
      </c>
      <c r="C800" s="2">
        <v>2.3854040277159001E-5</v>
      </c>
      <c r="D800" s="2"/>
      <c r="E800" s="2">
        <v>0.2617354751862444</v>
      </c>
      <c r="F800" s="3">
        <v>113.66560476582271</v>
      </c>
      <c r="G800" s="3">
        <v>2</v>
      </c>
      <c r="H800" s="2">
        <v>1.083775875149019E-4</v>
      </c>
      <c r="I800" s="4">
        <v>0</v>
      </c>
      <c r="J800" s="4">
        <v>0.2617354751862444</v>
      </c>
      <c r="K800" s="5">
        <v>2</v>
      </c>
      <c r="L800" s="5">
        <v>0</v>
      </c>
      <c r="M800" s="5">
        <v>1</v>
      </c>
    </row>
    <row r="801" spans="1:13" hidden="1" x14ac:dyDescent="0.25">
      <c r="A801" t="s">
        <v>812</v>
      </c>
      <c r="B801" s="1">
        <v>8.3581561580074751E-2</v>
      </c>
      <c r="C801" s="2">
        <v>2.3815336123896232E-5</v>
      </c>
      <c r="D801" s="2"/>
      <c r="E801" s="2">
        <v>-8.5436504478664355E-2</v>
      </c>
      <c r="F801" s="3">
        <v>82.390021410654811</v>
      </c>
      <c r="G801" s="3">
        <v>1</v>
      </c>
      <c r="H801" s="2">
        <v>5.4188793757450959E-5</v>
      </c>
      <c r="I801" s="4">
        <v>-2.775557561562891E-17</v>
      </c>
      <c r="J801" s="4">
        <v>-8.5436504478664327E-2</v>
      </c>
      <c r="K801" s="5">
        <v>1</v>
      </c>
      <c r="L801" s="5">
        <v>0</v>
      </c>
      <c r="M801" s="5">
        <v>0</v>
      </c>
    </row>
    <row r="802" spans="1:13" hidden="1" x14ac:dyDescent="0.25">
      <c r="A802" t="s">
        <v>813</v>
      </c>
      <c r="B802" s="1">
        <v>8.3568829375438761E-2</v>
      </c>
      <c r="C802" s="2">
        <v>2.3811708269531311E-5</v>
      </c>
      <c r="D802" s="2"/>
      <c r="E802" s="2">
        <v>-0.49411212853105602</v>
      </c>
      <c r="F802" s="3">
        <v>45.573776742485933</v>
      </c>
      <c r="G802" s="3">
        <v>2</v>
      </c>
      <c r="H802" s="2">
        <v>1.083775875149019E-4</v>
      </c>
      <c r="I802" s="4">
        <v>5.5511151231257827E-17</v>
      </c>
      <c r="J802" s="4">
        <v>-0.49411212853105602</v>
      </c>
      <c r="K802" s="5">
        <v>2</v>
      </c>
      <c r="L802" s="5">
        <v>0</v>
      </c>
      <c r="M802" s="5">
        <v>0</v>
      </c>
    </row>
    <row r="803" spans="1:13" hidden="1" x14ac:dyDescent="0.25">
      <c r="A803" t="s">
        <v>814</v>
      </c>
      <c r="B803" s="1">
        <v>8.3408767801357836E-2</v>
      </c>
      <c r="C803" s="2">
        <v>2.3766101079198968E-5</v>
      </c>
      <c r="D803" s="2"/>
      <c r="E803" s="2">
        <v>0.36631329045111699</v>
      </c>
      <c r="F803" s="3">
        <v>123.0866766552499</v>
      </c>
      <c r="G803" s="3">
        <v>2</v>
      </c>
      <c r="H803" s="2">
        <v>1.083775875149019E-4</v>
      </c>
      <c r="I803" s="4">
        <v>1.110223024625157E-16</v>
      </c>
      <c r="J803" s="4">
        <v>0.36631329045111688</v>
      </c>
      <c r="K803" s="5">
        <v>2</v>
      </c>
      <c r="L803" s="5">
        <v>0</v>
      </c>
      <c r="M803" s="5">
        <v>0</v>
      </c>
    </row>
    <row r="804" spans="1:13" hidden="1" x14ac:dyDescent="0.25">
      <c r="A804" t="s">
        <v>815</v>
      </c>
      <c r="B804" s="1">
        <v>8.332026991936485E-2</v>
      </c>
      <c r="C804" s="2">
        <v>2.3740884909913879E-5</v>
      </c>
      <c r="D804" s="2"/>
      <c r="E804" s="2">
        <v>0.71570403965273544</v>
      </c>
      <c r="F804" s="3">
        <v>154.5621416703901</v>
      </c>
      <c r="G804" s="3">
        <v>1</v>
      </c>
      <c r="H804" s="2">
        <v>5.4188793757450959E-5</v>
      </c>
      <c r="I804" s="4">
        <v>-1.110223024625157E-16</v>
      </c>
      <c r="J804" s="4">
        <v>0.71570403965273544</v>
      </c>
      <c r="K804" s="5">
        <v>1</v>
      </c>
      <c r="L804" s="5">
        <v>0</v>
      </c>
      <c r="M804" s="5">
        <v>0</v>
      </c>
    </row>
    <row r="805" spans="1:13" hidden="1" x14ac:dyDescent="0.25">
      <c r="A805" t="s">
        <v>816</v>
      </c>
      <c r="B805" s="1">
        <v>8.3114374210167541E-2</v>
      </c>
      <c r="C805" s="2">
        <v>2.3682217957199619E-5</v>
      </c>
      <c r="D805" s="2"/>
      <c r="E805" s="2">
        <v>0.66881257260155724</v>
      </c>
      <c r="F805" s="3">
        <v>150.3378434196477</v>
      </c>
      <c r="G805" s="3">
        <v>1</v>
      </c>
      <c r="H805" s="2">
        <v>5.4188793757450959E-5</v>
      </c>
      <c r="I805" s="4">
        <v>0</v>
      </c>
      <c r="J805" s="4">
        <v>0.66881257260155724</v>
      </c>
      <c r="K805" s="5">
        <v>1</v>
      </c>
      <c r="L805" s="5">
        <v>0</v>
      </c>
      <c r="M805" s="5">
        <v>0</v>
      </c>
    </row>
    <row r="806" spans="1:13" hidden="1" x14ac:dyDescent="0.25">
      <c r="A806" t="s">
        <v>817</v>
      </c>
      <c r="B806" s="1">
        <v>8.293644885753676E-2</v>
      </c>
      <c r="C806" s="2">
        <v>2.3631520746023381E-5</v>
      </c>
      <c r="D806" s="2"/>
      <c r="E806" s="2">
        <v>1.459411898327327</v>
      </c>
      <c r="F806" s="3">
        <v>221.56033993604831</v>
      </c>
      <c r="G806" s="3">
        <v>1</v>
      </c>
      <c r="H806" s="2">
        <v>5.4188793757450959E-5</v>
      </c>
      <c r="I806" s="4">
        <v>-2.2204460492503131E-16</v>
      </c>
      <c r="J806" s="4">
        <v>1.4594118983273281</v>
      </c>
      <c r="K806" s="5">
        <v>1</v>
      </c>
      <c r="L806" s="5">
        <v>0</v>
      </c>
      <c r="M806" s="5">
        <v>0</v>
      </c>
    </row>
    <row r="807" spans="1:13" hidden="1" x14ac:dyDescent="0.25">
      <c r="A807" t="s">
        <v>818</v>
      </c>
      <c r="B807" s="1">
        <v>8.2043473679901557E-2</v>
      </c>
      <c r="C807" s="2">
        <v>2.3377080608705481E-5</v>
      </c>
      <c r="D807" s="2"/>
      <c r="E807" s="2">
        <v>0.31174698911184701</v>
      </c>
      <c r="F807" s="3">
        <v>118.1709777916298</v>
      </c>
      <c r="G807" s="3">
        <v>1</v>
      </c>
      <c r="H807" s="2">
        <v>5.4188793757450959E-5</v>
      </c>
      <c r="I807" s="4">
        <v>1.110223024625157E-16</v>
      </c>
      <c r="J807" s="4">
        <v>0.31174698911184678</v>
      </c>
      <c r="K807" s="5">
        <v>1</v>
      </c>
      <c r="L807" s="5">
        <v>0</v>
      </c>
      <c r="M807" s="5">
        <v>0</v>
      </c>
    </row>
    <row r="808" spans="1:13" hidden="1" x14ac:dyDescent="0.25">
      <c r="A808" t="s">
        <v>819</v>
      </c>
      <c r="B808" s="1">
        <v>8.1973012060710559E-2</v>
      </c>
      <c r="C808" s="2">
        <v>2.335700360711393E-5</v>
      </c>
      <c r="D808" s="2"/>
      <c r="E808" s="2">
        <v>0.3933769554525266</v>
      </c>
      <c r="F808" s="3">
        <v>125.5247533441144</v>
      </c>
      <c r="G808" s="3">
        <v>3</v>
      </c>
      <c r="H808" s="2">
        <v>1.6256638127235291E-4</v>
      </c>
      <c r="I808" s="4">
        <v>5.5511151231257827E-17</v>
      </c>
      <c r="J808" s="4">
        <v>0.39337695545252649</v>
      </c>
      <c r="K808" s="5">
        <v>3</v>
      </c>
      <c r="L808" s="5">
        <v>2</v>
      </c>
      <c r="M808" s="5">
        <v>2</v>
      </c>
    </row>
    <row r="809" spans="1:13" hidden="1" x14ac:dyDescent="0.25">
      <c r="A809" t="s">
        <v>820</v>
      </c>
      <c r="B809" s="1">
        <v>8.1807515046920881E-2</v>
      </c>
      <c r="C809" s="2">
        <v>2.3309847668215541E-5</v>
      </c>
      <c r="D809" s="2"/>
      <c r="E809" s="2">
        <v>-0.1344249548556192</v>
      </c>
      <c r="F809" s="3">
        <v>77.976812819674095</v>
      </c>
      <c r="G809" s="3">
        <v>1</v>
      </c>
      <c r="H809" s="2">
        <v>5.4188793757450959E-5</v>
      </c>
      <c r="I809" s="4">
        <v>2.775557561562891E-17</v>
      </c>
      <c r="J809" s="4">
        <v>-0.13442495485561931</v>
      </c>
      <c r="K809" s="5">
        <v>1</v>
      </c>
      <c r="L809" s="5">
        <v>0</v>
      </c>
      <c r="M809" s="5">
        <v>0</v>
      </c>
    </row>
    <row r="810" spans="1:13" hidden="1" x14ac:dyDescent="0.25">
      <c r="A810" t="s">
        <v>821</v>
      </c>
      <c r="B810" s="1">
        <v>8.1782729547936847E-2</v>
      </c>
      <c r="C810" s="2">
        <v>2.3302785404982541E-5</v>
      </c>
      <c r="D810" s="2"/>
      <c r="E810" s="2">
        <v>4.4470660280013119E-2</v>
      </c>
      <c r="F810" s="3">
        <v>94.092931201257969</v>
      </c>
      <c r="G810" s="3">
        <v>2</v>
      </c>
      <c r="H810" s="2">
        <v>1.083775875149019E-4</v>
      </c>
      <c r="I810" s="4">
        <v>0.56409817707917775</v>
      </c>
      <c r="J810" s="4">
        <v>-0.51962751679916463</v>
      </c>
      <c r="K810" s="5">
        <v>2</v>
      </c>
      <c r="L810" s="5">
        <v>0</v>
      </c>
      <c r="M810" s="5">
        <v>2</v>
      </c>
    </row>
    <row r="811" spans="1:13" hidden="1" x14ac:dyDescent="0.25">
      <c r="A811" t="s">
        <v>822</v>
      </c>
      <c r="B811" s="1">
        <v>8.1728543271040191E-2</v>
      </c>
      <c r="C811" s="2">
        <v>2.3287345822696681E-5</v>
      </c>
      <c r="D811" s="2"/>
      <c r="E811" s="2">
        <v>-9.5010258045164941E-2</v>
      </c>
      <c r="F811" s="3">
        <v>81.527553397020966</v>
      </c>
      <c r="G811" s="3">
        <v>2</v>
      </c>
      <c r="H811" s="2">
        <v>1.083775875149019E-4</v>
      </c>
      <c r="I811" s="4">
        <v>-4.163336342344337E-17</v>
      </c>
      <c r="J811" s="4">
        <v>-9.50102580451649E-2</v>
      </c>
      <c r="K811" s="5">
        <v>2</v>
      </c>
      <c r="L811" s="5">
        <v>0</v>
      </c>
      <c r="M811" s="5">
        <v>0</v>
      </c>
    </row>
    <row r="812" spans="1:13" hidden="1" x14ac:dyDescent="0.25">
      <c r="A812" t="s">
        <v>823</v>
      </c>
      <c r="B812" s="1">
        <v>8.1710038326617343E-2</v>
      </c>
      <c r="C812" s="2">
        <v>2.3282073111071622E-5</v>
      </c>
      <c r="D812" s="2"/>
      <c r="E812" s="2">
        <v>0.99446624868620392</v>
      </c>
      <c r="F812" s="3">
        <v>179.6749134825393</v>
      </c>
      <c r="G812" s="3">
        <v>2</v>
      </c>
      <c r="H812" s="2">
        <v>1.083775875149019E-4</v>
      </c>
      <c r="I812" s="4">
        <v>4.4408920985006262E-16</v>
      </c>
      <c r="J812" s="4">
        <v>0.99446624868620348</v>
      </c>
      <c r="K812" s="5">
        <v>2</v>
      </c>
      <c r="L812" s="5">
        <v>0</v>
      </c>
      <c r="M812" s="5">
        <v>0</v>
      </c>
    </row>
    <row r="813" spans="1:13" hidden="1" x14ac:dyDescent="0.25">
      <c r="A813" t="s">
        <v>824</v>
      </c>
      <c r="B813" s="1">
        <v>8.1691249901436197E-2</v>
      </c>
      <c r="C813" s="2">
        <v>2.3276719625775719E-5</v>
      </c>
      <c r="D813" s="2"/>
      <c r="E813" s="2">
        <v>0.28848527450361078</v>
      </c>
      <c r="F813" s="3">
        <v>116.0754063261094</v>
      </c>
      <c r="G813" s="3">
        <v>1</v>
      </c>
      <c r="H813" s="2">
        <v>5.4188793757450959E-5</v>
      </c>
      <c r="I813" s="4">
        <v>-5.5511151231257827E-17</v>
      </c>
      <c r="J813" s="4">
        <v>0.28848527450361089</v>
      </c>
      <c r="K813" s="5">
        <v>1</v>
      </c>
      <c r="L813" s="5">
        <v>1</v>
      </c>
      <c r="M813" s="5">
        <v>0</v>
      </c>
    </row>
    <row r="814" spans="1:13" hidden="1" x14ac:dyDescent="0.25">
      <c r="A814" t="s">
        <v>825</v>
      </c>
      <c r="B814" s="1">
        <v>8.1491167620590416E-2</v>
      </c>
      <c r="C814" s="2">
        <v>2.3219709123929409E-5</v>
      </c>
      <c r="D814" s="2"/>
      <c r="E814" s="2">
        <v>-0.58374477736074626</v>
      </c>
      <c r="F814" s="3">
        <v>37.499065809526329</v>
      </c>
      <c r="G814" s="3">
        <v>2</v>
      </c>
      <c r="H814" s="2">
        <v>1.083775875149019E-4</v>
      </c>
      <c r="I814" s="4">
        <v>-0.43891334787559982</v>
      </c>
      <c r="J814" s="4">
        <v>-0.1448314294851466</v>
      </c>
      <c r="K814" s="5">
        <v>2</v>
      </c>
      <c r="L814" s="5">
        <v>0</v>
      </c>
      <c r="M814" s="5">
        <v>0</v>
      </c>
    </row>
    <row r="815" spans="1:13" hidden="1" x14ac:dyDescent="0.25">
      <c r="A815" t="s">
        <v>826</v>
      </c>
      <c r="B815" s="1">
        <v>8.1420879054065878E-2</v>
      </c>
      <c r="C815" s="2">
        <v>2.3199681431148809E-5</v>
      </c>
      <c r="D815" s="2"/>
      <c r="E815" s="2">
        <v>0.3401523827187205</v>
      </c>
      <c r="F815" s="3">
        <v>120.7299264036278</v>
      </c>
      <c r="G815" s="3">
        <v>1</v>
      </c>
      <c r="H815" s="2">
        <v>5.4188793757450959E-5</v>
      </c>
      <c r="I815" s="4">
        <v>5.5511151231257827E-17</v>
      </c>
      <c r="J815" s="4">
        <v>0.34015238271872039</v>
      </c>
      <c r="K815" s="5">
        <v>1</v>
      </c>
      <c r="L815" s="5">
        <v>0</v>
      </c>
      <c r="M815" s="5">
        <v>0</v>
      </c>
    </row>
    <row r="816" spans="1:13" hidden="1" x14ac:dyDescent="0.25">
      <c r="A816" t="s">
        <v>827</v>
      </c>
      <c r="B816" s="1">
        <v>8.1238722046236167E-2</v>
      </c>
      <c r="C816" s="2">
        <v>2.3147778472089688E-5</v>
      </c>
      <c r="D816" s="2"/>
      <c r="E816" s="2">
        <v>2.01184244140387</v>
      </c>
      <c r="F816" s="3">
        <v>271.32699309338972</v>
      </c>
      <c r="G816" s="3">
        <v>1</v>
      </c>
      <c r="H816" s="2">
        <v>5.4188793757450959E-5</v>
      </c>
      <c r="I816" s="4">
        <v>0</v>
      </c>
      <c r="J816" s="4">
        <v>2.01184244140387</v>
      </c>
      <c r="K816" s="5">
        <v>1</v>
      </c>
      <c r="L816" s="5">
        <v>0</v>
      </c>
      <c r="M816" s="5">
        <v>0</v>
      </c>
    </row>
    <row r="817" spans="1:13" hidden="1" x14ac:dyDescent="0.25">
      <c r="A817" t="s">
        <v>828</v>
      </c>
      <c r="B817" s="1">
        <v>8.0407153543672241E-2</v>
      </c>
      <c r="C817" s="2">
        <v>2.2910835263274049E-5</v>
      </c>
      <c r="D817" s="2"/>
      <c r="E817" s="2">
        <v>0.87692228881805701</v>
      </c>
      <c r="F817" s="3">
        <v>169.08576421334689</v>
      </c>
      <c r="G817" s="3">
        <v>1</v>
      </c>
      <c r="H817" s="2">
        <v>5.4188793757450959E-5</v>
      </c>
      <c r="I817" s="4">
        <v>1.110223024625157E-16</v>
      </c>
      <c r="J817" s="4">
        <v>0.87692228881805678</v>
      </c>
      <c r="K817" s="5">
        <v>1</v>
      </c>
      <c r="L817" s="5">
        <v>0</v>
      </c>
      <c r="M817" s="5">
        <v>0</v>
      </c>
    </row>
    <row r="818" spans="1:13" hidden="1" x14ac:dyDescent="0.25">
      <c r="A818" t="s">
        <v>829</v>
      </c>
      <c r="B818" s="1">
        <v>8.037727641587647E-2</v>
      </c>
      <c r="C818" s="2">
        <v>2.290232221533116E-5</v>
      </c>
      <c r="D818" s="2"/>
      <c r="E818" s="2">
        <v>0.30522138437570429</v>
      </c>
      <c r="F818" s="3">
        <v>117.5831074944212</v>
      </c>
      <c r="G818" s="3">
        <v>1</v>
      </c>
      <c r="H818" s="2">
        <v>5.4188793757450959E-5</v>
      </c>
      <c r="I818" s="4">
        <v>-5.5511151231257827E-17</v>
      </c>
      <c r="J818" s="4">
        <v>0.3052213843757044</v>
      </c>
      <c r="K818" s="5">
        <v>1</v>
      </c>
      <c r="L818" s="5">
        <v>0</v>
      </c>
      <c r="M818" s="5">
        <v>1</v>
      </c>
    </row>
    <row r="819" spans="1:13" hidden="1" x14ac:dyDescent="0.25">
      <c r="A819" t="s">
        <v>830</v>
      </c>
      <c r="B819" s="1">
        <v>8.0270538762263977E-2</v>
      </c>
      <c r="C819" s="2">
        <v>2.287190889150946E-5</v>
      </c>
      <c r="D819" s="2"/>
      <c r="E819" s="2">
        <v>-0.32683598302228928</v>
      </c>
      <c r="F819" s="3">
        <v>60.643135269750232</v>
      </c>
      <c r="G819" s="3">
        <v>2</v>
      </c>
      <c r="H819" s="2">
        <v>1.083775875149019E-4</v>
      </c>
      <c r="I819" s="4">
        <v>0</v>
      </c>
      <c r="J819" s="4">
        <v>-0.32683598302228928</v>
      </c>
      <c r="K819" s="5">
        <v>2</v>
      </c>
      <c r="L819" s="5">
        <v>0</v>
      </c>
      <c r="M819" s="5">
        <v>0</v>
      </c>
    </row>
    <row r="820" spans="1:13" hidden="1" x14ac:dyDescent="0.25">
      <c r="A820" t="s">
        <v>831</v>
      </c>
      <c r="B820" s="1">
        <v>8.0267667424323216E-2</v>
      </c>
      <c r="C820" s="2">
        <v>2.2871090746013119E-5</v>
      </c>
      <c r="D820" s="2"/>
      <c r="E820" s="2">
        <v>0.16524728498296001</v>
      </c>
      <c r="F820" s="3">
        <v>104.9733006276695</v>
      </c>
      <c r="G820" s="3">
        <v>1</v>
      </c>
      <c r="H820" s="2">
        <v>5.4188793757450959E-5</v>
      </c>
      <c r="I820" s="4">
        <v>8.3266726846886741E-17</v>
      </c>
      <c r="J820" s="4">
        <v>0.16524728498296001</v>
      </c>
      <c r="K820" s="5">
        <v>1</v>
      </c>
      <c r="L820" s="5">
        <v>0</v>
      </c>
      <c r="M820" s="5">
        <v>0</v>
      </c>
    </row>
    <row r="821" spans="1:13" hidden="1" x14ac:dyDescent="0.25">
      <c r="A821" t="s">
        <v>832</v>
      </c>
      <c r="B821" s="1">
        <v>8.021061805808033E-2</v>
      </c>
      <c r="C821" s="2">
        <v>2.2854835368546549E-5</v>
      </c>
      <c r="D821" s="2"/>
      <c r="E821" s="2">
        <v>-0.23968671591227481</v>
      </c>
      <c r="F821" s="3">
        <v>68.494126500297853</v>
      </c>
      <c r="G821" s="3">
        <v>3</v>
      </c>
      <c r="H821" s="2">
        <v>1.6256638127235291E-4</v>
      </c>
      <c r="I821" s="4">
        <v>0</v>
      </c>
      <c r="J821" s="4">
        <v>-0.23968671591227481</v>
      </c>
      <c r="K821" s="5">
        <v>3</v>
      </c>
      <c r="L821" s="5">
        <v>0</v>
      </c>
      <c r="M821" s="5">
        <v>0</v>
      </c>
    </row>
    <row r="822" spans="1:13" hidden="1" x14ac:dyDescent="0.25">
      <c r="A822" t="s">
        <v>833</v>
      </c>
      <c r="B822" s="1">
        <v>8.0126466370388658E-2</v>
      </c>
      <c r="C822" s="2">
        <v>2.283085758337619E-5</v>
      </c>
      <c r="D822" s="2"/>
      <c r="E822" s="2">
        <v>0.25349825547596572</v>
      </c>
      <c r="F822" s="3">
        <v>112.92354069742549</v>
      </c>
      <c r="G822" s="3">
        <v>2</v>
      </c>
      <c r="H822" s="2">
        <v>1.083775875149019E-4</v>
      </c>
      <c r="I822" s="4">
        <v>1.110223024625157E-16</v>
      </c>
      <c r="J822" s="4">
        <v>0.25349825547596561</v>
      </c>
      <c r="K822" s="5">
        <v>2</v>
      </c>
      <c r="L822" s="5">
        <v>0</v>
      </c>
      <c r="M822" s="5">
        <v>2</v>
      </c>
    </row>
    <row r="823" spans="1:13" hidden="1" x14ac:dyDescent="0.25">
      <c r="A823" t="s">
        <v>834</v>
      </c>
      <c r="B823" s="1">
        <v>7.996928121993431E-2</v>
      </c>
      <c r="C823" s="2">
        <v>2.278606998763153E-5</v>
      </c>
      <c r="D823" s="2"/>
      <c r="E823" s="2">
        <v>-9.6265766395463026E-2</v>
      </c>
      <c r="F823" s="3">
        <v>81.414448773483201</v>
      </c>
      <c r="G823" s="3">
        <v>1</v>
      </c>
      <c r="H823" s="2">
        <v>5.4188793757450959E-5</v>
      </c>
      <c r="I823" s="4">
        <v>2.775557561562891E-17</v>
      </c>
      <c r="J823" s="4">
        <v>-9.6265766395463054E-2</v>
      </c>
      <c r="K823" s="5">
        <v>1</v>
      </c>
      <c r="L823" s="5">
        <v>0</v>
      </c>
      <c r="M823" s="5">
        <v>0</v>
      </c>
    </row>
    <row r="824" spans="1:13" hidden="1" x14ac:dyDescent="0.25">
      <c r="A824" t="s">
        <v>835</v>
      </c>
      <c r="B824" s="1">
        <v>7.9957027029609537E-2</v>
      </c>
      <c r="C824" s="2">
        <v>2.278257833641093E-5</v>
      </c>
      <c r="D824" s="2"/>
      <c r="E824" s="2">
        <v>1.8959226562655951</v>
      </c>
      <c r="F824" s="3">
        <v>260.88416039097922</v>
      </c>
      <c r="G824" s="3">
        <v>2</v>
      </c>
      <c r="H824" s="2">
        <v>1.083775875149019E-4</v>
      </c>
      <c r="I824" s="4">
        <v>2.05371905980902</v>
      </c>
      <c r="J824" s="4">
        <v>-0.15779640354342589</v>
      </c>
      <c r="K824" s="5">
        <v>2</v>
      </c>
      <c r="L824" s="5">
        <v>0</v>
      </c>
      <c r="M824" s="5">
        <v>1</v>
      </c>
    </row>
    <row r="825" spans="1:13" hidden="1" x14ac:dyDescent="0.25">
      <c r="A825" t="s">
        <v>836</v>
      </c>
      <c r="B825" s="1">
        <v>7.9795025202633693E-2</v>
      </c>
      <c r="C825" s="2">
        <v>2.2736418299565739E-5</v>
      </c>
      <c r="D825" s="2"/>
      <c r="E825" s="2">
        <v>8.2799129259857773E-2</v>
      </c>
      <c r="F825" s="3">
        <v>97.545817081080799</v>
      </c>
      <c r="G825" s="3">
        <v>1</v>
      </c>
      <c r="H825" s="2">
        <v>5.4188793757450959E-5</v>
      </c>
      <c r="I825" s="4">
        <v>-9.7144514654701197E-17</v>
      </c>
      <c r="J825" s="4">
        <v>8.279912925985787E-2</v>
      </c>
      <c r="K825" s="5">
        <v>1</v>
      </c>
      <c r="L825" s="5">
        <v>0</v>
      </c>
      <c r="M825" s="5">
        <v>0</v>
      </c>
    </row>
    <row r="826" spans="1:13" hidden="1" x14ac:dyDescent="0.25">
      <c r="A826" t="s">
        <v>837</v>
      </c>
      <c r="B826" s="1">
        <v>7.9757707209215933E-2</v>
      </c>
      <c r="C826" s="2">
        <v>2.2725785086451361E-5</v>
      </c>
      <c r="D826" s="2"/>
      <c r="E826" s="2">
        <v>0.47720544007002541</v>
      </c>
      <c r="F826" s="3">
        <v>133.07658618708331</v>
      </c>
      <c r="G826" s="3">
        <v>1</v>
      </c>
      <c r="H826" s="2">
        <v>5.4188793757450959E-5</v>
      </c>
      <c r="I826" s="4">
        <v>-5.5511151231257827E-17</v>
      </c>
      <c r="J826" s="4">
        <v>0.47720544007002552</v>
      </c>
      <c r="K826" s="5">
        <v>1</v>
      </c>
      <c r="L826" s="5">
        <v>0</v>
      </c>
      <c r="M826" s="5">
        <v>0</v>
      </c>
    </row>
    <row r="827" spans="1:13" hidden="1" x14ac:dyDescent="0.25">
      <c r="A827" t="s">
        <v>838</v>
      </c>
      <c r="B827" s="1">
        <v>7.975425025860193E-2</v>
      </c>
      <c r="C827" s="2">
        <v>2.2724800079240681E-5</v>
      </c>
      <c r="D827" s="2"/>
      <c r="E827" s="2">
        <v>0.49734474151521457</v>
      </c>
      <c r="F827" s="3">
        <v>134.89086970636899</v>
      </c>
      <c r="G827" s="3">
        <v>1</v>
      </c>
      <c r="H827" s="2">
        <v>5.4188793757450959E-5</v>
      </c>
      <c r="I827" s="4">
        <v>0</v>
      </c>
      <c r="J827" s="4">
        <v>0.49734474151521457</v>
      </c>
      <c r="K827" s="5">
        <v>1</v>
      </c>
      <c r="L827" s="5">
        <v>0</v>
      </c>
      <c r="M827" s="5">
        <v>0</v>
      </c>
    </row>
    <row r="828" spans="1:13" hidden="1" x14ac:dyDescent="0.25">
      <c r="A828" t="s">
        <v>839</v>
      </c>
      <c r="B828" s="1">
        <v>7.9672446223296209E-2</v>
      </c>
      <c r="C828" s="2">
        <v>2.2701491223073521E-5</v>
      </c>
      <c r="D828" s="2"/>
      <c r="E828" s="2" t="s">
        <v>303</v>
      </c>
      <c r="F828" s="3" t="s">
        <v>303</v>
      </c>
      <c r="G828" s="3">
        <v>1</v>
      </c>
      <c r="H828" s="2">
        <v>5.4188793757450959E-5</v>
      </c>
      <c r="I828" s="4" t="s">
        <v>303</v>
      </c>
      <c r="J828" s="4">
        <v>0</v>
      </c>
      <c r="K828" s="5">
        <v>1</v>
      </c>
      <c r="L828" s="5">
        <v>0</v>
      </c>
      <c r="M828" s="5">
        <v>0</v>
      </c>
    </row>
    <row r="829" spans="1:13" hidden="1" x14ac:dyDescent="0.25">
      <c r="A829" t="s">
        <v>840</v>
      </c>
      <c r="B829" s="1">
        <v>7.948806320082441E-2</v>
      </c>
      <c r="C829" s="2">
        <v>2.2648953993896491E-5</v>
      </c>
      <c r="D829" s="2"/>
      <c r="E829" s="2">
        <v>0.2087325782249578</v>
      </c>
      <c r="F829" s="3">
        <v>108.8907478675842</v>
      </c>
      <c r="G829" s="3">
        <v>1</v>
      </c>
      <c r="H829" s="2">
        <v>5.4188793757450959E-5</v>
      </c>
      <c r="I829" s="4">
        <v>-2.775557561562891E-17</v>
      </c>
      <c r="J829" s="4">
        <v>0.20873257822495789</v>
      </c>
      <c r="K829" s="5">
        <v>1</v>
      </c>
      <c r="L829" s="5">
        <v>0</v>
      </c>
      <c r="M829" s="5">
        <v>1</v>
      </c>
    </row>
    <row r="830" spans="1:13" hidden="1" x14ac:dyDescent="0.25">
      <c r="A830" t="s">
        <v>841</v>
      </c>
      <c r="B830" s="1">
        <v>7.945125923027363E-2</v>
      </c>
      <c r="C830" s="2">
        <v>2.2638467244034549E-5</v>
      </c>
      <c r="D830" s="2"/>
      <c r="E830" s="2">
        <v>-0.49772331420360938</v>
      </c>
      <c r="F830" s="3">
        <v>45.248456886252313</v>
      </c>
      <c r="G830" s="3">
        <v>1</v>
      </c>
      <c r="H830" s="2">
        <v>5.4188793757450959E-5</v>
      </c>
      <c r="I830" s="4">
        <v>5.5511151231257827E-17</v>
      </c>
      <c r="J830" s="4">
        <v>-0.49772331420360938</v>
      </c>
      <c r="K830" s="5">
        <v>1</v>
      </c>
      <c r="L830" s="5">
        <v>0</v>
      </c>
      <c r="M830" s="5">
        <v>0</v>
      </c>
    </row>
    <row r="831" spans="1:13" hidden="1" x14ac:dyDescent="0.25">
      <c r="A831" t="s">
        <v>842</v>
      </c>
      <c r="B831" s="1">
        <v>7.9346586054516791E-2</v>
      </c>
      <c r="C831" s="2">
        <v>2.260864216280038E-5</v>
      </c>
      <c r="D831" s="2"/>
      <c r="E831" s="2">
        <v>3.9516702988304786E-3</v>
      </c>
      <c r="F831" s="3">
        <v>90.442708479231712</v>
      </c>
      <c r="G831" s="3">
        <v>2</v>
      </c>
      <c r="H831" s="2">
        <v>1.083775875149019E-4</v>
      </c>
      <c r="I831" s="4">
        <v>-2.5413698923060219E-16</v>
      </c>
      <c r="J831" s="4">
        <v>3.9516702988307327E-3</v>
      </c>
      <c r="K831" s="5">
        <v>2</v>
      </c>
      <c r="L831" s="5">
        <v>0</v>
      </c>
      <c r="M831" s="5">
        <v>2</v>
      </c>
    </row>
    <row r="832" spans="1:13" hidden="1" x14ac:dyDescent="0.25">
      <c r="A832" t="s">
        <v>843</v>
      </c>
      <c r="B832" s="1">
        <v>7.9185374846698048E-2</v>
      </c>
      <c r="C832" s="2">
        <v>2.2562707401250552E-5</v>
      </c>
      <c r="D832" s="2"/>
      <c r="E832" s="2">
        <v>0.41859964943644518</v>
      </c>
      <c r="F832" s="3">
        <v>127.79698300071659</v>
      </c>
      <c r="G832" s="3">
        <v>1</v>
      </c>
      <c r="H832" s="2">
        <v>5.4188793757450959E-5</v>
      </c>
      <c r="I832" s="4">
        <v>5.5511151231257827E-17</v>
      </c>
      <c r="J832" s="4">
        <v>0.41859964943644518</v>
      </c>
      <c r="K832" s="5">
        <v>1</v>
      </c>
      <c r="L832" s="5">
        <v>0</v>
      </c>
      <c r="M832" s="5">
        <v>0</v>
      </c>
    </row>
    <row r="833" spans="1:13" hidden="1" x14ac:dyDescent="0.25">
      <c r="A833" t="s">
        <v>844</v>
      </c>
      <c r="B833" s="1">
        <v>7.9066812708111958E-2</v>
      </c>
      <c r="C833" s="2">
        <v>2.252892486442525E-5</v>
      </c>
      <c r="D833" s="2"/>
      <c r="E833" s="2">
        <v>0.25660303299428971</v>
      </c>
      <c r="F833" s="3">
        <v>113.2032399063516</v>
      </c>
      <c r="G833" s="3">
        <v>2</v>
      </c>
      <c r="H833" s="2">
        <v>1.083775875149019E-4</v>
      </c>
      <c r="I833" s="4">
        <v>2.7755575615628909E-16</v>
      </c>
      <c r="J833" s="4">
        <v>0.25660303299428938</v>
      </c>
      <c r="K833" s="5">
        <v>2</v>
      </c>
      <c r="L833" s="5">
        <v>0</v>
      </c>
      <c r="M833" s="5">
        <v>0</v>
      </c>
    </row>
    <row r="834" spans="1:13" hidden="1" x14ac:dyDescent="0.25">
      <c r="A834" t="s">
        <v>845</v>
      </c>
      <c r="B834" s="1">
        <v>7.9015922281422207E-2</v>
      </c>
      <c r="C834" s="2">
        <v>2.2514424386159551E-5</v>
      </c>
      <c r="D834" s="2"/>
      <c r="E834" s="2">
        <v>0.33124257261611262</v>
      </c>
      <c r="F834" s="3">
        <v>119.92727087592129</v>
      </c>
      <c r="G834" s="3">
        <v>2</v>
      </c>
      <c r="H834" s="2">
        <v>1.083775875149019E-4</v>
      </c>
      <c r="I834" s="4">
        <v>0.1824275460833229</v>
      </c>
      <c r="J834" s="4">
        <v>0.14881502653278969</v>
      </c>
      <c r="K834" s="5">
        <v>2</v>
      </c>
      <c r="L834" s="5">
        <v>0</v>
      </c>
      <c r="M834" s="5">
        <v>2</v>
      </c>
    </row>
    <row r="835" spans="1:13" hidden="1" x14ac:dyDescent="0.25">
      <c r="A835" t="s">
        <v>846</v>
      </c>
      <c r="B835" s="1">
        <v>7.8880690765388797E-2</v>
      </c>
      <c r="C835" s="2">
        <v>2.247589215550968E-5</v>
      </c>
      <c r="D835" s="2"/>
      <c r="E835" s="2">
        <v>0.54434568588837084</v>
      </c>
      <c r="F835" s="3">
        <v>139.12503040946811</v>
      </c>
      <c r="G835" s="3">
        <v>2</v>
      </c>
      <c r="H835" s="2">
        <v>1.083775875149019E-4</v>
      </c>
      <c r="I835" s="4">
        <v>1.110223024625157E-16</v>
      </c>
      <c r="J835" s="4">
        <v>0.54434568588837073</v>
      </c>
      <c r="K835" s="5">
        <v>2</v>
      </c>
      <c r="L835" s="5">
        <v>0</v>
      </c>
      <c r="M835" s="5">
        <v>0</v>
      </c>
    </row>
    <row r="836" spans="1:13" hidden="1" x14ac:dyDescent="0.25">
      <c r="A836" t="s">
        <v>847</v>
      </c>
      <c r="B836" s="1">
        <v>7.8793672464839745E-2</v>
      </c>
      <c r="C836" s="2">
        <v>2.2451097571185949E-5</v>
      </c>
      <c r="D836" s="2"/>
      <c r="E836" s="2">
        <v>-0.1970538991028154</v>
      </c>
      <c r="F836" s="3">
        <v>72.334776938379918</v>
      </c>
      <c r="G836" s="3">
        <v>1</v>
      </c>
      <c r="H836" s="2">
        <v>5.4188793757450959E-5</v>
      </c>
      <c r="I836" s="4">
        <v>0</v>
      </c>
      <c r="J836" s="4">
        <v>-0.1970538991028154</v>
      </c>
      <c r="K836" s="5">
        <v>1</v>
      </c>
      <c r="L836" s="5">
        <v>0</v>
      </c>
      <c r="M836" s="5">
        <v>0</v>
      </c>
    </row>
    <row r="837" spans="1:13" hidden="1" x14ac:dyDescent="0.25">
      <c r="A837" t="s">
        <v>848</v>
      </c>
      <c r="B837" s="1">
        <v>7.8548693370112929E-2</v>
      </c>
      <c r="C837" s="2">
        <v>2.2381294382851681E-5</v>
      </c>
      <c r="D837" s="2"/>
      <c r="E837" s="2">
        <v>0.58095057025681351</v>
      </c>
      <c r="F837" s="3">
        <v>142.42264421279549</v>
      </c>
      <c r="G837" s="3">
        <v>1</v>
      </c>
      <c r="H837" s="2">
        <v>5.4188793757450959E-5</v>
      </c>
      <c r="I837" s="4">
        <v>0</v>
      </c>
      <c r="J837" s="4">
        <v>0.58095057025681351</v>
      </c>
      <c r="K837" s="5">
        <v>1</v>
      </c>
      <c r="L837" s="5">
        <v>0</v>
      </c>
      <c r="M837" s="5">
        <v>0</v>
      </c>
    </row>
    <row r="838" spans="1:13" hidden="1" x14ac:dyDescent="0.25">
      <c r="A838" t="s">
        <v>849</v>
      </c>
      <c r="B838" s="1">
        <v>7.8487037125908488E-2</v>
      </c>
      <c r="C838" s="2">
        <v>2.236372634329717E-5</v>
      </c>
      <c r="D838" s="2"/>
      <c r="E838" s="2">
        <v>2.005376239683518</v>
      </c>
      <c r="F838" s="3">
        <v>270.74447421876329</v>
      </c>
      <c r="G838" s="3">
        <v>1</v>
      </c>
      <c r="H838" s="2">
        <v>5.4188793757450959E-5</v>
      </c>
      <c r="I838" s="4">
        <v>0</v>
      </c>
      <c r="J838" s="4">
        <v>2.005376239683518</v>
      </c>
      <c r="K838" s="5">
        <v>1</v>
      </c>
      <c r="L838" s="5">
        <v>0</v>
      </c>
      <c r="M838" s="5">
        <v>1</v>
      </c>
    </row>
    <row r="839" spans="1:13" hidden="1" x14ac:dyDescent="0.25">
      <c r="A839" t="s">
        <v>850</v>
      </c>
      <c r="B839" s="1">
        <v>7.8323384431823073E-2</v>
      </c>
      <c r="C839" s="2">
        <v>2.2317095916160549E-5</v>
      </c>
      <c r="D839" s="2"/>
      <c r="E839" s="2" t="s">
        <v>303</v>
      </c>
      <c r="F839" s="3" t="s">
        <v>303</v>
      </c>
      <c r="G839" s="3">
        <v>2</v>
      </c>
      <c r="H839" s="2">
        <v>1.083775875149019E-4</v>
      </c>
      <c r="I839" s="4" t="s">
        <v>303</v>
      </c>
      <c r="J839" s="4">
        <v>0</v>
      </c>
      <c r="K839" s="5">
        <v>2</v>
      </c>
      <c r="L839" s="5">
        <v>0</v>
      </c>
      <c r="M839" s="5">
        <v>2</v>
      </c>
    </row>
    <row r="840" spans="1:13" hidden="1" x14ac:dyDescent="0.25">
      <c r="A840" t="s">
        <v>851</v>
      </c>
      <c r="B840" s="1">
        <v>7.8097031381039739E-2</v>
      </c>
      <c r="C840" s="2">
        <v>2.2252599944977839E-5</v>
      </c>
      <c r="D840" s="2"/>
      <c r="E840" s="2">
        <v>4.3789272379707116</v>
      </c>
      <c r="F840" s="3">
        <v>484.56988768192389</v>
      </c>
      <c r="G840" s="3">
        <v>1</v>
      </c>
      <c r="H840" s="2">
        <v>5.4188793757450959E-5</v>
      </c>
      <c r="I840" s="4">
        <v>-8.8817841970012523E-16</v>
      </c>
      <c r="J840" s="4">
        <v>4.3789272379707134</v>
      </c>
      <c r="K840" s="5">
        <v>1</v>
      </c>
      <c r="L840" s="5">
        <v>0</v>
      </c>
      <c r="M840" s="5">
        <v>0</v>
      </c>
    </row>
    <row r="841" spans="1:13" hidden="1" x14ac:dyDescent="0.25">
      <c r="A841" t="s">
        <v>852</v>
      </c>
      <c r="B841" s="1">
        <v>7.8092176666514551E-2</v>
      </c>
      <c r="C841" s="2">
        <v>2.2251216665507849E-5</v>
      </c>
      <c r="D841" s="2"/>
      <c r="E841" s="2">
        <v>1.23678946129659</v>
      </c>
      <c r="F841" s="3">
        <v>201.50501579149659</v>
      </c>
      <c r="G841" s="3">
        <v>2</v>
      </c>
      <c r="H841" s="2">
        <v>1.083775875149019E-4</v>
      </c>
      <c r="I841" s="4">
        <v>0</v>
      </c>
      <c r="J841" s="4">
        <v>1.23678946129659</v>
      </c>
      <c r="K841" s="5">
        <v>2</v>
      </c>
      <c r="L841" s="5">
        <v>0</v>
      </c>
      <c r="M841" s="5">
        <v>0</v>
      </c>
    </row>
    <row r="842" spans="1:13" hidden="1" x14ac:dyDescent="0.25">
      <c r="A842" t="s">
        <v>853</v>
      </c>
      <c r="B842" s="1">
        <v>7.7946063105832603E-2</v>
      </c>
      <c r="C842" s="2">
        <v>2.2209583756357591E-5</v>
      </c>
      <c r="D842" s="2"/>
      <c r="E842" s="2">
        <v>-0.50313293200210052</v>
      </c>
      <c r="F842" s="3">
        <v>44.761122186776817</v>
      </c>
      <c r="G842" s="3">
        <v>4</v>
      </c>
      <c r="H842" s="2">
        <v>2.1675517502980381E-4</v>
      </c>
      <c r="I842" s="4">
        <v>-1.110223024625157E-16</v>
      </c>
      <c r="J842" s="4">
        <v>-0.50313293200210041</v>
      </c>
      <c r="K842" s="5">
        <v>4</v>
      </c>
      <c r="L842" s="5">
        <v>0</v>
      </c>
      <c r="M842" s="5">
        <v>0</v>
      </c>
    </row>
    <row r="843" spans="1:13" hidden="1" x14ac:dyDescent="0.25">
      <c r="A843" t="s">
        <v>854</v>
      </c>
      <c r="B843" s="1">
        <v>7.784836745264187E-2</v>
      </c>
      <c r="C843" s="2">
        <v>2.218174681750892E-5</v>
      </c>
      <c r="D843" s="2"/>
      <c r="E843" s="2">
        <v>-0.48538317773152101</v>
      </c>
      <c r="F843" s="3">
        <v>46.360139249614299</v>
      </c>
      <c r="G843" s="3">
        <v>2</v>
      </c>
      <c r="H843" s="2">
        <v>1.083775875149019E-4</v>
      </c>
      <c r="I843" s="4">
        <v>-5.5511151231257827E-17</v>
      </c>
      <c r="J843" s="4">
        <v>-0.4853831777315209</v>
      </c>
      <c r="K843" s="5">
        <v>2</v>
      </c>
      <c r="L843" s="5">
        <v>0</v>
      </c>
      <c r="M843" s="5">
        <v>0</v>
      </c>
    </row>
    <row r="844" spans="1:13" hidden="1" x14ac:dyDescent="0.25">
      <c r="A844" t="s">
        <v>855</v>
      </c>
      <c r="B844" s="1">
        <v>7.7740669352714009E-2</v>
      </c>
      <c r="C844" s="2">
        <v>2.2151059828642009E-5</v>
      </c>
      <c r="D844" s="2"/>
      <c r="E844" s="2">
        <v>6.2478086354176732E-2</v>
      </c>
      <c r="F844" s="3">
        <v>95.715161070552497</v>
      </c>
      <c r="G844" s="3">
        <v>1</v>
      </c>
      <c r="H844" s="2">
        <v>5.4188793757450959E-5</v>
      </c>
      <c r="I844" s="4">
        <v>9.0205620750793969E-17</v>
      </c>
      <c r="J844" s="4">
        <v>6.2478086354176642E-2</v>
      </c>
      <c r="K844" s="5">
        <v>1</v>
      </c>
      <c r="L844" s="5">
        <v>1</v>
      </c>
      <c r="M844" s="5">
        <v>0</v>
      </c>
    </row>
    <row r="845" spans="1:13" hidden="1" x14ac:dyDescent="0.25">
      <c r="A845" t="s">
        <v>856</v>
      </c>
      <c r="B845" s="1">
        <v>7.7585377293038382E-2</v>
      </c>
      <c r="C845" s="2">
        <v>2.2106811641259151E-5</v>
      </c>
      <c r="D845" s="2"/>
      <c r="E845" s="2">
        <v>-0.53659915985313456</v>
      </c>
      <c r="F845" s="3">
        <v>41.746259640126851</v>
      </c>
      <c r="G845" s="3">
        <v>1</v>
      </c>
      <c r="H845" s="2">
        <v>5.4188793757450959E-5</v>
      </c>
      <c r="I845" s="4">
        <v>0</v>
      </c>
      <c r="J845" s="4">
        <v>-0.53659915985313456</v>
      </c>
      <c r="K845" s="5">
        <v>1</v>
      </c>
      <c r="L845" s="5">
        <v>0</v>
      </c>
      <c r="M845" s="5">
        <v>0</v>
      </c>
    </row>
    <row r="846" spans="1:13" hidden="1" x14ac:dyDescent="0.25">
      <c r="A846" t="s">
        <v>857</v>
      </c>
      <c r="B846" s="1">
        <v>7.7404687371726927E-2</v>
      </c>
      <c r="C846" s="2">
        <v>2.2055326706916181E-5</v>
      </c>
      <c r="D846" s="2"/>
      <c r="E846" s="2">
        <v>-0.1093746005420537</v>
      </c>
      <c r="F846" s="3">
        <v>80.233516961427156</v>
      </c>
      <c r="G846" s="3">
        <v>1</v>
      </c>
      <c r="H846" s="2">
        <v>5.4188793757450959E-5</v>
      </c>
      <c r="I846" s="4">
        <v>-4.163336342344337E-17</v>
      </c>
      <c r="J846" s="4">
        <v>-0.1093746005420537</v>
      </c>
      <c r="K846" s="5">
        <v>1</v>
      </c>
      <c r="L846" s="5">
        <v>0</v>
      </c>
      <c r="M846" s="5">
        <v>1</v>
      </c>
    </row>
    <row r="847" spans="1:13" hidden="1" x14ac:dyDescent="0.25">
      <c r="A847" t="s">
        <v>858</v>
      </c>
      <c r="B847" s="1">
        <v>7.7390362250273861E-2</v>
      </c>
      <c r="C847" s="2">
        <v>2.2051244974342989E-5</v>
      </c>
      <c r="D847" s="2"/>
      <c r="E847" s="2">
        <v>4.5325789031033008E-2</v>
      </c>
      <c r="F847" s="3">
        <v>94.169966941751028</v>
      </c>
      <c r="G847" s="3">
        <v>2</v>
      </c>
      <c r="H847" s="2">
        <v>1.083775875149019E-4</v>
      </c>
      <c r="I847" s="4">
        <v>2.567390744445674E-16</v>
      </c>
      <c r="J847" s="4">
        <v>4.5325789031032758E-2</v>
      </c>
      <c r="K847" s="5">
        <v>2</v>
      </c>
      <c r="L847" s="5">
        <v>0</v>
      </c>
      <c r="M847" s="5">
        <v>0</v>
      </c>
    </row>
    <row r="848" spans="1:13" hidden="1" x14ac:dyDescent="0.25">
      <c r="A848" t="s">
        <v>859</v>
      </c>
      <c r="B848" s="1">
        <v>7.737403472541976E-2</v>
      </c>
      <c r="C848" s="2">
        <v>2.2046592686384721E-5</v>
      </c>
      <c r="D848" s="2"/>
      <c r="E848" s="2">
        <v>1.275796938368305</v>
      </c>
      <c r="F848" s="3">
        <v>205.01907128010129</v>
      </c>
      <c r="G848" s="3">
        <v>2</v>
      </c>
      <c r="H848" s="2">
        <v>1.083775875149019E-4</v>
      </c>
      <c r="I848" s="4">
        <v>-2.2204460492503131E-16</v>
      </c>
      <c r="J848" s="4">
        <v>1.275796938368305</v>
      </c>
      <c r="K848" s="5">
        <v>2</v>
      </c>
      <c r="L848" s="5">
        <v>0</v>
      </c>
      <c r="M848" s="5">
        <v>2</v>
      </c>
    </row>
    <row r="849" spans="1:13" hidden="1" x14ac:dyDescent="0.25">
      <c r="A849" t="s">
        <v>860</v>
      </c>
      <c r="B849" s="1">
        <v>7.728258136518848E-2</v>
      </c>
      <c r="C849" s="2">
        <v>2.202053439706356E-5</v>
      </c>
      <c r="D849" s="2"/>
      <c r="E849" s="2">
        <v>0.4297393473470319</v>
      </c>
      <c r="F849" s="3">
        <v>128.80052179693581</v>
      </c>
      <c r="G849" s="3">
        <v>1</v>
      </c>
      <c r="H849" s="2">
        <v>5.4188793757450959E-5</v>
      </c>
      <c r="I849" s="4">
        <v>-5.5511151231257827E-17</v>
      </c>
      <c r="J849" s="4">
        <v>0.42973934734703201</v>
      </c>
      <c r="K849" s="5">
        <v>1</v>
      </c>
      <c r="L849" s="5">
        <v>0</v>
      </c>
      <c r="M849" s="5">
        <v>0</v>
      </c>
    </row>
    <row r="850" spans="1:13" hidden="1" x14ac:dyDescent="0.25">
      <c r="A850" t="s">
        <v>861</v>
      </c>
      <c r="B850" s="1">
        <v>7.7276788024010459E-2</v>
      </c>
      <c r="C850" s="2">
        <v>2.2018883669740139E-5</v>
      </c>
      <c r="D850" s="2"/>
      <c r="E850" s="2">
        <v>0.2213299543919163</v>
      </c>
      <c r="F850" s="3">
        <v>110.02560411014851</v>
      </c>
      <c r="G850" s="3">
        <v>2</v>
      </c>
      <c r="H850" s="2">
        <v>1.083775875149019E-4</v>
      </c>
      <c r="I850" s="4">
        <v>2.775557561562891E-17</v>
      </c>
      <c r="J850" s="4">
        <v>0.22132995439191619</v>
      </c>
      <c r="K850" s="5">
        <v>2</v>
      </c>
      <c r="L850" s="5">
        <v>0</v>
      </c>
      <c r="M850" s="5">
        <v>0</v>
      </c>
    </row>
    <row r="851" spans="1:13" hidden="1" x14ac:dyDescent="0.25">
      <c r="A851" t="s">
        <v>862</v>
      </c>
      <c r="B851" s="1">
        <v>7.7162093043668112E-2</v>
      </c>
      <c r="C851" s="2">
        <v>2.1986203022753661E-5</v>
      </c>
      <c r="D851" s="2"/>
      <c r="E851" s="2">
        <v>0.391821222119066</v>
      </c>
      <c r="F851" s="3">
        <v>125.384602437938</v>
      </c>
      <c r="G851" s="3">
        <v>3</v>
      </c>
      <c r="H851" s="2">
        <v>1.6256638127235291E-4</v>
      </c>
      <c r="I851" s="4">
        <v>0.80390116475269435</v>
      </c>
      <c r="J851" s="4">
        <v>-0.41207994263362829</v>
      </c>
      <c r="K851" s="5">
        <v>3</v>
      </c>
      <c r="L851" s="5">
        <v>0</v>
      </c>
      <c r="M851" s="5">
        <v>0</v>
      </c>
    </row>
    <row r="852" spans="1:13" hidden="1" x14ac:dyDescent="0.25">
      <c r="A852" t="s">
        <v>863</v>
      </c>
      <c r="B852" s="1">
        <v>7.6967888334181778E-2</v>
      </c>
      <c r="C852" s="2">
        <v>2.193086724838159E-5</v>
      </c>
      <c r="D852" s="2"/>
      <c r="E852" s="2">
        <v>-8.7686563036491694E-2</v>
      </c>
      <c r="F852" s="3">
        <v>82.187321025539461</v>
      </c>
      <c r="G852" s="3">
        <v>2</v>
      </c>
      <c r="H852" s="2">
        <v>1.083775875149019E-4</v>
      </c>
      <c r="I852" s="4">
        <v>1.2490009027033011E-16</v>
      </c>
      <c r="J852" s="4">
        <v>-8.7686563036491819E-2</v>
      </c>
      <c r="K852" s="5">
        <v>2</v>
      </c>
      <c r="L852" s="5">
        <v>0</v>
      </c>
      <c r="M852" s="5">
        <v>0</v>
      </c>
    </row>
    <row r="853" spans="1:13" hidden="1" x14ac:dyDescent="0.25">
      <c r="A853" t="s">
        <v>864</v>
      </c>
      <c r="B853" s="1">
        <v>7.6882295661678673E-2</v>
      </c>
      <c r="C853" s="2">
        <v>2.190647887579237E-5</v>
      </c>
      <c r="D853" s="2"/>
      <c r="E853" s="2">
        <v>0.86215879632672632</v>
      </c>
      <c r="F853" s="3">
        <v>167.75576966576941</v>
      </c>
      <c r="G853" s="3">
        <v>2</v>
      </c>
      <c r="H853" s="2">
        <v>1.083775875149019E-4</v>
      </c>
      <c r="I853" s="4">
        <v>1.110223024625157E-16</v>
      </c>
      <c r="J853" s="4">
        <v>0.8621587963267261</v>
      </c>
      <c r="K853" s="5">
        <v>2</v>
      </c>
      <c r="L853" s="5">
        <v>0</v>
      </c>
      <c r="M853" s="5">
        <v>0</v>
      </c>
    </row>
    <row r="854" spans="1:13" hidden="1" x14ac:dyDescent="0.25">
      <c r="A854" t="s">
        <v>865</v>
      </c>
      <c r="B854" s="1">
        <v>7.6806245140214807E-2</v>
      </c>
      <c r="C854" s="2">
        <v>2.1884809398735219E-5</v>
      </c>
      <c r="D854" s="2"/>
      <c r="E854" s="2">
        <v>-6.5069480898067744E-2</v>
      </c>
      <c r="F854" s="3">
        <v>84.22481966916186</v>
      </c>
      <c r="G854" s="3">
        <v>4</v>
      </c>
      <c r="H854" s="2">
        <v>2.1675517502980381E-4</v>
      </c>
      <c r="I854" s="4">
        <v>2.775557561562891E-17</v>
      </c>
      <c r="J854" s="4">
        <v>-6.5069480898067772E-2</v>
      </c>
      <c r="K854" s="5">
        <v>4</v>
      </c>
      <c r="L854" s="5">
        <v>0</v>
      </c>
      <c r="M854" s="5">
        <v>0</v>
      </c>
    </row>
    <row r="855" spans="1:13" hidden="1" x14ac:dyDescent="0.25">
      <c r="A855" t="s">
        <v>866</v>
      </c>
      <c r="B855" s="1">
        <v>7.6646953588491537E-2</v>
      </c>
      <c r="C855" s="2">
        <v>2.1839421614943311E-5</v>
      </c>
      <c r="D855" s="2"/>
      <c r="E855" s="2" t="s">
        <v>303</v>
      </c>
      <c r="F855" s="3" t="s">
        <v>303</v>
      </c>
      <c r="G855" s="3">
        <v>3</v>
      </c>
      <c r="H855" s="2">
        <v>1.6256638127235291E-4</v>
      </c>
      <c r="I855" s="4" t="s">
        <v>303</v>
      </c>
      <c r="J855" s="4">
        <v>0</v>
      </c>
      <c r="K855" s="5">
        <v>3</v>
      </c>
      <c r="L855" s="5">
        <v>0</v>
      </c>
      <c r="M855" s="5">
        <v>1</v>
      </c>
    </row>
    <row r="856" spans="1:13" hidden="1" x14ac:dyDescent="0.25">
      <c r="A856" t="s">
        <v>867</v>
      </c>
      <c r="B856" s="1">
        <v>7.6417438216258959E-2</v>
      </c>
      <c r="C856" s="2">
        <v>2.177402458679514E-5</v>
      </c>
      <c r="D856" s="2"/>
      <c r="E856" s="2">
        <v>-0.43498972916337142</v>
      </c>
      <c r="F856" s="3">
        <v>50.899919512896957</v>
      </c>
      <c r="G856" s="3">
        <v>4</v>
      </c>
      <c r="H856" s="2">
        <v>2.1675517502980381E-4</v>
      </c>
      <c r="I856" s="4">
        <v>-1.6653345369377351E-16</v>
      </c>
      <c r="J856" s="4">
        <v>-0.43498972916337131</v>
      </c>
      <c r="K856" s="5">
        <v>4</v>
      </c>
      <c r="L856" s="5">
        <v>0</v>
      </c>
      <c r="M856" s="5">
        <v>0</v>
      </c>
    </row>
    <row r="857" spans="1:13" hidden="1" x14ac:dyDescent="0.25">
      <c r="A857" t="s">
        <v>868</v>
      </c>
      <c r="B857" s="1">
        <v>7.6344284377195579E-2</v>
      </c>
      <c r="C857" s="2">
        <v>2.1753180476765219E-5</v>
      </c>
      <c r="D857" s="2"/>
      <c r="E857" s="2">
        <v>-0.15633942481883989</v>
      </c>
      <c r="F857" s="3">
        <v>76.002610199172949</v>
      </c>
      <c r="G857" s="3">
        <v>2</v>
      </c>
      <c r="H857" s="2">
        <v>1.083775875149019E-4</v>
      </c>
      <c r="I857" s="4">
        <v>5.5511151231257827E-17</v>
      </c>
      <c r="J857" s="4">
        <v>-0.15633942481883989</v>
      </c>
      <c r="K857" s="5">
        <v>2</v>
      </c>
      <c r="L857" s="5">
        <v>0</v>
      </c>
      <c r="M857" s="5">
        <v>0</v>
      </c>
    </row>
    <row r="858" spans="1:13" hidden="1" x14ac:dyDescent="0.25">
      <c r="A858" t="s">
        <v>869</v>
      </c>
      <c r="B858" s="1">
        <v>7.6322895072641297E-2</v>
      </c>
      <c r="C858" s="2">
        <v>2.174708590916219E-5</v>
      </c>
      <c r="D858" s="2"/>
      <c r="E858" s="2">
        <v>-0.34030716069330258</v>
      </c>
      <c r="F858" s="3">
        <v>59.429561119703017</v>
      </c>
      <c r="G858" s="3">
        <v>1</v>
      </c>
      <c r="H858" s="2">
        <v>5.4188793757450959E-5</v>
      </c>
      <c r="I858" s="4">
        <v>-5.5511151231257827E-17</v>
      </c>
      <c r="J858" s="4">
        <v>-0.34030716069330252</v>
      </c>
      <c r="K858" s="5">
        <v>1</v>
      </c>
      <c r="L858" s="5">
        <v>1</v>
      </c>
      <c r="M858" s="5">
        <v>1</v>
      </c>
    </row>
    <row r="859" spans="1:13" hidden="1" x14ac:dyDescent="0.25">
      <c r="A859" t="s">
        <v>870</v>
      </c>
      <c r="B859" s="1">
        <v>7.5952849546598644E-2</v>
      </c>
      <c r="C859" s="2">
        <v>2.1641646881495701E-5</v>
      </c>
      <c r="D859" s="2"/>
      <c r="E859" s="2">
        <v>-0.1513733231687695</v>
      </c>
      <c r="F859" s="3">
        <v>76.449989985574291</v>
      </c>
      <c r="G859" s="3">
        <v>2</v>
      </c>
      <c r="H859" s="2">
        <v>1.083775875149019E-4</v>
      </c>
      <c r="I859" s="4">
        <v>-2.775557561562891E-17</v>
      </c>
      <c r="J859" s="4">
        <v>-0.1513733231687695</v>
      </c>
      <c r="K859" s="5">
        <v>2</v>
      </c>
      <c r="L859" s="5">
        <v>0</v>
      </c>
      <c r="M859" s="5">
        <v>0</v>
      </c>
    </row>
    <row r="860" spans="1:13" hidden="1" x14ac:dyDescent="0.25">
      <c r="A860" t="s">
        <v>871</v>
      </c>
      <c r="B860" s="1">
        <v>7.5917944067939516E-2</v>
      </c>
      <c r="C860" s="2">
        <v>2.1631701078963211E-5</v>
      </c>
      <c r="D860" s="2"/>
      <c r="E860" s="2">
        <v>-0.37334319533594618</v>
      </c>
      <c r="F860" s="3">
        <v>56.453453266219341</v>
      </c>
      <c r="G860" s="3">
        <v>1</v>
      </c>
      <c r="H860" s="2">
        <v>5.4188793757450959E-5</v>
      </c>
      <c r="I860" s="4">
        <v>5.5511151231257827E-17</v>
      </c>
      <c r="J860" s="4">
        <v>-0.37334319533594618</v>
      </c>
      <c r="K860" s="5">
        <v>1</v>
      </c>
      <c r="L860" s="5">
        <v>0</v>
      </c>
      <c r="M860" s="5">
        <v>0</v>
      </c>
    </row>
    <row r="861" spans="1:13" hidden="1" x14ac:dyDescent="0.25">
      <c r="A861" t="s">
        <v>872</v>
      </c>
      <c r="B861" s="1">
        <v>7.5884060588864113E-2</v>
      </c>
      <c r="C861" s="2">
        <v>2.162204648017405E-5</v>
      </c>
      <c r="D861" s="2"/>
      <c r="E861" s="2">
        <v>0.56936265610373904</v>
      </c>
      <c r="F861" s="3">
        <v>141.37872708746531</v>
      </c>
      <c r="G861" s="3">
        <v>1</v>
      </c>
      <c r="H861" s="2">
        <v>5.4188793757450959E-5</v>
      </c>
      <c r="I861" s="4">
        <v>1.110223024625157E-16</v>
      </c>
      <c r="J861" s="4">
        <v>0.56936265610373893</v>
      </c>
      <c r="K861" s="5">
        <v>1</v>
      </c>
      <c r="L861" s="5">
        <v>0</v>
      </c>
      <c r="M861" s="5">
        <v>0</v>
      </c>
    </row>
    <row r="862" spans="1:13" hidden="1" x14ac:dyDescent="0.25">
      <c r="A862" t="s">
        <v>873</v>
      </c>
      <c r="B862" s="1">
        <v>7.5794015144737228E-2</v>
      </c>
      <c r="C862" s="2">
        <v>2.1596389355830269E-5</v>
      </c>
      <c r="D862" s="2"/>
      <c r="E862" s="2">
        <v>0.65554576410685672</v>
      </c>
      <c r="F862" s="3">
        <v>149.1426802174401</v>
      </c>
      <c r="G862" s="3">
        <v>1</v>
      </c>
      <c r="H862" s="2">
        <v>5.4188793757450959E-5</v>
      </c>
      <c r="I862" s="4">
        <v>0</v>
      </c>
      <c r="J862" s="4">
        <v>0.65554576410685672</v>
      </c>
      <c r="K862" s="5">
        <v>1</v>
      </c>
      <c r="L862" s="5">
        <v>0</v>
      </c>
      <c r="M862" s="5">
        <v>0</v>
      </c>
    </row>
    <row r="863" spans="1:13" hidden="1" x14ac:dyDescent="0.25">
      <c r="A863" t="s">
        <v>874</v>
      </c>
      <c r="B863" s="1">
        <v>7.5788895842954326E-2</v>
      </c>
      <c r="C863" s="2">
        <v>2.1594930686114428E-5</v>
      </c>
      <c r="D863" s="2"/>
      <c r="E863" s="2">
        <v>0.20584334148833719</v>
      </c>
      <c r="F863" s="3">
        <v>108.630466019734</v>
      </c>
      <c r="G863" s="3">
        <v>2</v>
      </c>
      <c r="H863" s="2">
        <v>1.083775875149019E-4</v>
      </c>
      <c r="I863" s="4">
        <v>-3.3306690738754701E-16</v>
      </c>
      <c r="J863" s="4">
        <v>0.20584334148833749</v>
      </c>
      <c r="K863" s="5">
        <v>2</v>
      </c>
      <c r="L863" s="5">
        <v>0</v>
      </c>
      <c r="M863" s="5">
        <v>0</v>
      </c>
    </row>
    <row r="864" spans="1:13" hidden="1" x14ac:dyDescent="0.25">
      <c r="A864" t="s">
        <v>875</v>
      </c>
      <c r="B864" s="1">
        <v>7.5712925639374123E-2</v>
      </c>
      <c r="C864" s="2">
        <v>2.157328409445641E-5</v>
      </c>
      <c r="D864" s="2"/>
      <c r="E864" s="2">
        <v>0.8523962039864712</v>
      </c>
      <c r="F864" s="3">
        <v>166.87628978725249</v>
      </c>
      <c r="G864" s="3">
        <v>1</v>
      </c>
      <c r="H864" s="2">
        <v>5.4188793757450959E-5</v>
      </c>
      <c r="I864" s="4">
        <v>0</v>
      </c>
      <c r="J864" s="4">
        <v>0.8523962039864712</v>
      </c>
      <c r="K864" s="5">
        <v>1</v>
      </c>
      <c r="L864" s="5">
        <v>0</v>
      </c>
      <c r="M864" s="5">
        <v>0</v>
      </c>
    </row>
    <row r="865" spans="1:13" hidden="1" x14ac:dyDescent="0.25">
      <c r="A865" t="s">
        <v>876</v>
      </c>
      <c r="B865" s="1">
        <v>7.5512968298245831E-2</v>
      </c>
      <c r="C865" s="2">
        <v>2.1516309192344191E-5</v>
      </c>
      <c r="D865" s="2"/>
      <c r="E865" s="2">
        <v>-0.67091802218180274</v>
      </c>
      <c r="F865" s="3">
        <v>29.64591450574618</v>
      </c>
      <c r="G865" s="3">
        <v>2</v>
      </c>
      <c r="H865" s="2">
        <v>1.083775875149019E-4</v>
      </c>
      <c r="I865" s="4">
        <v>1.110223024625157E-16</v>
      </c>
      <c r="J865" s="4">
        <v>-0.67091802218180285</v>
      </c>
      <c r="K865" s="5">
        <v>2</v>
      </c>
      <c r="L865" s="5">
        <v>0</v>
      </c>
      <c r="M865" s="5">
        <v>0</v>
      </c>
    </row>
    <row r="866" spans="1:13" hidden="1" x14ac:dyDescent="0.25">
      <c r="A866" t="s">
        <v>877</v>
      </c>
      <c r="B866" s="1">
        <v>7.5319341085924266E-2</v>
      </c>
      <c r="C866" s="2">
        <v>2.1461137967291719E-5</v>
      </c>
      <c r="D866" s="2"/>
      <c r="E866" s="2">
        <v>2.885325892271088</v>
      </c>
      <c r="F866" s="3">
        <v>350.0162482093279</v>
      </c>
      <c r="G866" s="3">
        <v>1</v>
      </c>
      <c r="H866" s="2">
        <v>5.4188793757450959E-5</v>
      </c>
      <c r="I866" s="4">
        <v>0</v>
      </c>
      <c r="J866" s="4">
        <v>2.885325892271088</v>
      </c>
      <c r="K866" s="5">
        <v>1</v>
      </c>
      <c r="L866" s="5">
        <v>0</v>
      </c>
      <c r="M866" s="5">
        <v>0</v>
      </c>
    </row>
    <row r="867" spans="1:13" hidden="1" x14ac:dyDescent="0.25">
      <c r="A867" t="s">
        <v>878</v>
      </c>
      <c r="B867" s="1">
        <v>7.5306025240620952E-2</v>
      </c>
      <c r="C867" s="2">
        <v>2.145734381310655E-5</v>
      </c>
      <c r="D867" s="2"/>
      <c r="E867" s="2">
        <v>2.085037987015538</v>
      </c>
      <c r="F867" s="3">
        <v>277.92093938540972</v>
      </c>
      <c r="G867" s="3">
        <v>2</v>
      </c>
      <c r="H867" s="2">
        <v>1.083775875149019E-4</v>
      </c>
      <c r="I867" s="4">
        <v>0.94108128501243837</v>
      </c>
      <c r="J867" s="4">
        <v>1.143956702003099</v>
      </c>
      <c r="K867" s="5">
        <v>2</v>
      </c>
      <c r="L867" s="5">
        <v>0</v>
      </c>
      <c r="M867" s="5">
        <v>1</v>
      </c>
    </row>
    <row r="868" spans="1:13" hidden="1" x14ac:dyDescent="0.25">
      <c r="A868" t="s">
        <v>879</v>
      </c>
      <c r="B868" s="1">
        <v>7.5304373178641443E-2</v>
      </c>
      <c r="C868" s="2">
        <v>2.145687308235451E-5</v>
      </c>
      <c r="D868" s="2"/>
      <c r="E868" s="2">
        <v>-0.1561660335133519</v>
      </c>
      <c r="F868" s="3">
        <v>76.018230452377395</v>
      </c>
      <c r="G868" s="3">
        <v>3</v>
      </c>
      <c r="H868" s="2">
        <v>1.6256638127235291E-4</v>
      </c>
      <c r="I868" s="4">
        <v>-0.52493722667495901</v>
      </c>
      <c r="J868" s="4">
        <v>0.36877119316160711</v>
      </c>
      <c r="K868" s="5">
        <v>3</v>
      </c>
      <c r="L868" s="5">
        <v>0</v>
      </c>
      <c r="M868" s="5">
        <v>1</v>
      </c>
    </row>
    <row r="869" spans="1:13" hidden="1" x14ac:dyDescent="0.25">
      <c r="A869" t="s">
        <v>880</v>
      </c>
      <c r="B869" s="1">
        <v>7.4707971854569705E-2</v>
      </c>
      <c r="C869" s="2">
        <v>2.1286937300718061E-5</v>
      </c>
      <c r="D869" s="2"/>
      <c r="E869" s="2">
        <v>-9.0307679432759302E-2</v>
      </c>
      <c r="F869" s="3">
        <v>81.951193258505413</v>
      </c>
      <c r="G869" s="3">
        <v>3</v>
      </c>
      <c r="H869" s="2">
        <v>1.6256638127235291E-4</v>
      </c>
      <c r="I869" s="4">
        <v>-0.2444401612616639</v>
      </c>
      <c r="J869" s="4">
        <v>0.1541324818289046</v>
      </c>
      <c r="K869" s="5">
        <v>3</v>
      </c>
      <c r="L869" s="5">
        <v>0</v>
      </c>
      <c r="M869" s="5">
        <v>0</v>
      </c>
    </row>
    <row r="870" spans="1:13" hidden="1" x14ac:dyDescent="0.25">
      <c r="A870" t="s">
        <v>881</v>
      </c>
      <c r="B870" s="1">
        <v>7.4653135850218683E-2</v>
      </c>
      <c r="C870" s="2">
        <v>2.127131258815439E-5</v>
      </c>
      <c r="D870" s="2"/>
      <c r="E870" s="2">
        <v>0.51574855990759949</v>
      </c>
      <c r="F870" s="3">
        <v>136.5488092576542</v>
      </c>
      <c r="G870" s="3">
        <v>1</v>
      </c>
      <c r="H870" s="2">
        <v>5.4188793757450959E-5</v>
      </c>
      <c r="I870" s="4">
        <v>1.110223024625157E-16</v>
      </c>
      <c r="J870" s="4">
        <v>0.51574855990759938</v>
      </c>
      <c r="K870" s="5">
        <v>1</v>
      </c>
      <c r="L870" s="5">
        <v>0</v>
      </c>
      <c r="M870" s="5">
        <v>0</v>
      </c>
    </row>
    <row r="871" spans="1:13" hidden="1" x14ac:dyDescent="0.25">
      <c r="A871" t="s">
        <v>882</v>
      </c>
      <c r="B871" s="1">
        <v>7.4521573303335073E-2</v>
      </c>
      <c r="C871" s="2">
        <v>2.1233825776277261E-5</v>
      </c>
      <c r="D871" s="2"/>
      <c r="E871" s="2">
        <v>-7.3001042838866437E-2</v>
      </c>
      <c r="F871" s="3">
        <v>83.510291305278457</v>
      </c>
      <c r="G871" s="3">
        <v>2</v>
      </c>
      <c r="H871" s="2">
        <v>1.083775875149019E-4</v>
      </c>
      <c r="I871" s="4">
        <v>0.2357294440281047</v>
      </c>
      <c r="J871" s="4">
        <v>-0.30873048686697108</v>
      </c>
      <c r="K871" s="5">
        <v>2</v>
      </c>
      <c r="L871" s="5">
        <v>0</v>
      </c>
      <c r="M871" s="5">
        <v>2</v>
      </c>
    </row>
    <row r="872" spans="1:13" hidden="1" x14ac:dyDescent="0.25">
      <c r="A872" t="s">
        <v>883</v>
      </c>
      <c r="B872" s="1">
        <v>7.4505373668057762E-2</v>
      </c>
      <c r="C872" s="2">
        <v>2.1229209928572091E-5</v>
      </c>
      <c r="D872" s="2"/>
      <c r="E872" s="2">
        <v>-0.43145746929517409</v>
      </c>
      <c r="F872" s="3">
        <v>51.218129202649443</v>
      </c>
      <c r="G872" s="3">
        <v>2</v>
      </c>
      <c r="H872" s="2">
        <v>1.083775875149019E-4</v>
      </c>
      <c r="I872" s="4">
        <v>5.5511151231257827E-17</v>
      </c>
      <c r="J872" s="4">
        <v>-0.4314574692951742</v>
      </c>
      <c r="K872" s="5">
        <v>2</v>
      </c>
      <c r="L872" s="5">
        <v>0</v>
      </c>
      <c r="M872" s="5">
        <v>0</v>
      </c>
    </row>
    <row r="873" spans="1:13" hidden="1" x14ac:dyDescent="0.25">
      <c r="A873" t="s">
        <v>884</v>
      </c>
      <c r="B873" s="1">
        <v>7.4396531357816056E-2</v>
      </c>
      <c r="C873" s="2">
        <v>2.1198196913812559E-5</v>
      </c>
      <c r="D873" s="2"/>
      <c r="E873" s="2">
        <v>0.28680436724895292</v>
      </c>
      <c r="F873" s="3">
        <v>115.9239789125085</v>
      </c>
      <c r="G873" s="3">
        <v>1</v>
      </c>
      <c r="H873" s="2">
        <v>5.4188793757450959E-5</v>
      </c>
      <c r="I873" s="4">
        <v>5.5511151231257827E-17</v>
      </c>
      <c r="J873" s="4">
        <v>0.28680436724895281</v>
      </c>
      <c r="K873" s="5">
        <v>1</v>
      </c>
      <c r="L873" s="5">
        <v>0</v>
      </c>
      <c r="M873" s="5">
        <v>0</v>
      </c>
    </row>
    <row r="874" spans="1:13" hidden="1" x14ac:dyDescent="0.25">
      <c r="A874" t="s">
        <v>885</v>
      </c>
      <c r="B874" s="1">
        <v>7.4325705053135377E-2</v>
      </c>
      <c r="C874" s="2">
        <v>2.1178016000456839E-5</v>
      </c>
      <c r="D874" s="2"/>
      <c r="E874" s="2">
        <v>0.70950179687284209</v>
      </c>
      <c r="F874" s="3">
        <v>154.0034019897316</v>
      </c>
      <c r="G874" s="3">
        <v>1</v>
      </c>
      <c r="H874" s="2">
        <v>5.4188793757450959E-5</v>
      </c>
      <c r="I874" s="4">
        <v>1.110223024625157E-16</v>
      </c>
      <c r="J874" s="4">
        <v>0.70950179687284198</v>
      </c>
      <c r="K874" s="5">
        <v>1</v>
      </c>
      <c r="L874" s="5">
        <v>0</v>
      </c>
      <c r="M874" s="5">
        <v>0</v>
      </c>
    </row>
    <row r="875" spans="1:13" hidden="1" x14ac:dyDescent="0.25">
      <c r="A875" t="s">
        <v>886</v>
      </c>
      <c r="B875" s="1">
        <v>7.4315907282329952E-2</v>
      </c>
      <c r="C875" s="2">
        <v>2.1175224269833661E-5</v>
      </c>
      <c r="D875" s="2"/>
      <c r="E875" s="2">
        <v>-0.14428863026816521</v>
      </c>
      <c r="F875" s="3">
        <v>77.088226699183721</v>
      </c>
      <c r="G875" s="3">
        <v>2</v>
      </c>
      <c r="H875" s="2">
        <v>1.083775875149019E-4</v>
      </c>
      <c r="I875" s="4">
        <v>1.9428902930940239E-16</v>
      </c>
      <c r="J875" s="4">
        <v>-0.14428863026816541</v>
      </c>
      <c r="K875" s="5">
        <v>2</v>
      </c>
      <c r="L875" s="5">
        <v>0</v>
      </c>
      <c r="M875" s="5">
        <v>2</v>
      </c>
    </row>
    <row r="876" spans="1:13" hidden="1" x14ac:dyDescent="0.25">
      <c r="A876" t="s">
        <v>887</v>
      </c>
      <c r="B876" s="1">
        <v>7.4036867387405059E-2</v>
      </c>
      <c r="C876" s="2">
        <v>2.1095715957665469E-5</v>
      </c>
      <c r="D876" s="2"/>
      <c r="E876" s="2">
        <v>-0.42780981927161188</v>
      </c>
      <c r="F876" s="3">
        <v>51.546734012497623</v>
      </c>
      <c r="G876" s="3">
        <v>6</v>
      </c>
      <c r="H876" s="2">
        <v>3.2513276254470582E-4</v>
      </c>
      <c r="I876" s="4">
        <v>0</v>
      </c>
      <c r="J876" s="4">
        <v>-0.42780981927161188</v>
      </c>
      <c r="K876" s="5">
        <v>6</v>
      </c>
      <c r="L876" s="5">
        <v>0</v>
      </c>
      <c r="M876" s="5">
        <v>0</v>
      </c>
    </row>
    <row r="877" spans="1:13" hidden="1" x14ac:dyDescent="0.25">
      <c r="A877" t="s">
        <v>888</v>
      </c>
      <c r="B877" s="1">
        <v>7.3990816726069469E-2</v>
      </c>
      <c r="C877" s="2">
        <v>2.108259449932344E-5</v>
      </c>
      <c r="D877" s="2"/>
      <c r="E877" s="2">
        <v>-0.41649113348599198</v>
      </c>
      <c r="F877" s="3">
        <v>52.566397238489493</v>
      </c>
      <c r="G877" s="3">
        <v>3</v>
      </c>
      <c r="H877" s="2">
        <v>1.6256638127235291E-4</v>
      </c>
      <c r="I877" s="4">
        <v>-5.5511151231257827E-17</v>
      </c>
      <c r="J877" s="4">
        <v>-0.41649113348599193</v>
      </c>
      <c r="K877" s="5">
        <v>3</v>
      </c>
      <c r="L877" s="5">
        <v>0</v>
      </c>
      <c r="M877" s="5">
        <v>3</v>
      </c>
    </row>
    <row r="878" spans="1:13" hidden="1" x14ac:dyDescent="0.25">
      <c r="A878" t="s">
        <v>889</v>
      </c>
      <c r="B878" s="1">
        <v>7.3858315545558148E-2</v>
      </c>
      <c r="C878" s="2">
        <v>2.1044840237605479E-5</v>
      </c>
      <c r="D878" s="2"/>
      <c r="E878" s="2">
        <v>-0.37597958817778587</v>
      </c>
      <c r="F878" s="3">
        <v>56.215949294379477</v>
      </c>
      <c r="G878" s="3">
        <v>2</v>
      </c>
      <c r="H878" s="2">
        <v>1.083775875149019E-4</v>
      </c>
      <c r="I878" s="4">
        <v>1.110223024625157E-16</v>
      </c>
      <c r="J878" s="4">
        <v>-0.37597958817778598</v>
      </c>
      <c r="K878" s="5">
        <v>2</v>
      </c>
      <c r="L878" s="5">
        <v>0</v>
      </c>
      <c r="M878" s="5">
        <v>0</v>
      </c>
    </row>
    <row r="879" spans="1:13" hidden="1" x14ac:dyDescent="0.25">
      <c r="A879" t="s">
        <v>890</v>
      </c>
      <c r="B879" s="1">
        <v>7.3804670632779207E-2</v>
      </c>
      <c r="C879" s="2">
        <v>2.1029554909059141E-5</v>
      </c>
      <c r="D879" s="2"/>
      <c r="E879" s="2">
        <v>0.67266775672912837</v>
      </c>
      <c r="F879" s="3">
        <v>150.68514429527639</v>
      </c>
      <c r="G879" s="3">
        <v>1</v>
      </c>
      <c r="H879" s="2">
        <v>5.4188793757450959E-5</v>
      </c>
      <c r="I879" s="4">
        <v>-1.110223024625157E-16</v>
      </c>
      <c r="J879" s="4">
        <v>0.67266775672912849</v>
      </c>
      <c r="K879" s="5">
        <v>1</v>
      </c>
      <c r="L879" s="5">
        <v>0</v>
      </c>
      <c r="M879" s="5">
        <v>0</v>
      </c>
    </row>
    <row r="880" spans="1:13" hidden="1" x14ac:dyDescent="0.25">
      <c r="A880" t="s">
        <v>891</v>
      </c>
      <c r="B880" s="1">
        <v>7.3749631566307844E-2</v>
      </c>
      <c r="C880" s="2">
        <v>2.1013872336932209E-5</v>
      </c>
      <c r="D880" s="2"/>
      <c r="E880" s="2">
        <v>0.56301260357250249</v>
      </c>
      <c r="F880" s="3">
        <v>140.80667171179209</v>
      </c>
      <c r="G880" s="3">
        <v>1</v>
      </c>
      <c r="H880" s="2">
        <v>5.4188793757450959E-5</v>
      </c>
      <c r="I880" s="4">
        <v>-1.110223024625157E-16</v>
      </c>
      <c r="J880" s="4">
        <v>0.5630126035725026</v>
      </c>
      <c r="K880" s="5">
        <v>1</v>
      </c>
      <c r="L880" s="5">
        <v>0</v>
      </c>
      <c r="M880" s="5">
        <v>0</v>
      </c>
    </row>
    <row r="881" spans="1:13" hidden="1" x14ac:dyDescent="0.25">
      <c r="A881" t="s">
        <v>892</v>
      </c>
      <c r="B881" s="1">
        <v>7.3742803984157099E-2</v>
      </c>
      <c r="C881" s="2">
        <v>2.101192691786179E-5</v>
      </c>
      <c r="D881" s="2"/>
      <c r="E881" s="2">
        <v>1.161783180938633</v>
      </c>
      <c r="F881" s="3">
        <v>194.74794635357529</v>
      </c>
      <c r="G881" s="3">
        <v>1</v>
      </c>
      <c r="H881" s="2">
        <v>5.4188793757450959E-5</v>
      </c>
      <c r="I881" s="4">
        <v>-2.2204460492503131E-16</v>
      </c>
      <c r="J881" s="4">
        <v>1.161783180938633</v>
      </c>
      <c r="K881" s="5">
        <v>1</v>
      </c>
      <c r="L881" s="5">
        <v>0</v>
      </c>
      <c r="M881" s="5">
        <v>0</v>
      </c>
    </row>
    <row r="882" spans="1:13" hidden="1" x14ac:dyDescent="0.25">
      <c r="A882" t="s">
        <v>893</v>
      </c>
      <c r="B882" s="1">
        <v>7.3699171126280882E-2</v>
      </c>
      <c r="C882" s="2">
        <v>2.09994943770391E-5</v>
      </c>
      <c r="D882" s="2"/>
      <c r="E882" s="2">
        <v>-0.25873919715839971</v>
      </c>
      <c r="F882" s="3">
        <v>66.777751043064555</v>
      </c>
      <c r="G882" s="3">
        <v>1</v>
      </c>
      <c r="H882" s="2">
        <v>5.4188793757450959E-5</v>
      </c>
      <c r="I882" s="4">
        <v>0</v>
      </c>
      <c r="J882" s="4">
        <v>-0.25873919715839971</v>
      </c>
      <c r="K882" s="5">
        <v>1</v>
      </c>
      <c r="L882" s="5">
        <v>0</v>
      </c>
      <c r="M882" s="5">
        <v>0</v>
      </c>
    </row>
    <row r="883" spans="1:13" hidden="1" x14ac:dyDescent="0.25">
      <c r="A883" t="s">
        <v>894</v>
      </c>
      <c r="B883" s="1">
        <v>7.3654255021980974E-2</v>
      </c>
      <c r="C883" s="2">
        <v>2.0986696194030121E-5</v>
      </c>
      <c r="D883" s="2"/>
      <c r="E883" s="2">
        <v>-0.45337526071620848</v>
      </c>
      <c r="F883" s="3">
        <v>49.243627362923263</v>
      </c>
      <c r="G883" s="3">
        <v>2</v>
      </c>
      <c r="H883" s="2">
        <v>1.083775875149019E-4</v>
      </c>
      <c r="I883" s="4">
        <v>0</v>
      </c>
      <c r="J883" s="4">
        <v>-0.45337526071620848</v>
      </c>
      <c r="K883" s="5">
        <v>2</v>
      </c>
      <c r="L883" s="5">
        <v>0</v>
      </c>
      <c r="M883" s="5">
        <v>0</v>
      </c>
    </row>
    <row r="884" spans="1:13" hidden="1" x14ac:dyDescent="0.25">
      <c r="A884" t="s">
        <v>895</v>
      </c>
      <c r="B884" s="1">
        <v>7.3622136079494929E-2</v>
      </c>
      <c r="C884" s="2">
        <v>2.0977544373978081E-5</v>
      </c>
      <c r="D884" s="2"/>
      <c r="E884" s="2">
        <v>-0.23608176942664269</v>
      </c>
      <c r="F884" s="3">
        <v>68.818884288674454</v>
      </c>
      <c r="G884" s="3">
        <v>1</v>
      </c>
      <c r="H884" s="2">
        <v>5.4188793757450959E-5</v>
      </c>
      <c r="I884" s="4">
        <v>5.5511151231257827E-17</v>
      </c>
      <c r="J884" s="4">
        <v>-0.2360817694266428</v>
      </c>
      <c r="K884" s="5">
        <v>1</v>
      </c>
      <c r="L884" s="5">
        <v>0</v>
      </c>
      <c r="M884" s="5">
        <v>0</v>
      </c>
    </row>
    <row r="885" spans="1:13" hidden="1" x14ac:dyDescent="0.25">
      <c r="A885" t="s">
        <v>896</v>
      </c>
      <c r="B885" s="1">
        <v>7.3609966714786326E-2</v>
      </c>
      <c r="C885" s="2">
        <v>2.097407689256865E-5</v>
      </c>
      <c r="D885" s="2"/>
      <c r="E885" s="2">
        <v>-0.50129459463237069</v>
      </c>
      <c r="F885" s="3">
        <v>44.926731962362403</v>
      </c>
      <c r="G885" s="3">
        <v>1</v>
      </c>
      <c r="H885" s="2">
        <v>5.4188793757450959E-5</v>
      </c>
      <c r="I885" s="4">
        <v>0</v>
      </c>
      <c r="J885" s="4">
        <v>-0.50129459463237069</v>
      </c>
      <c r="K885" s="5">
        <v>1</v>
      </c>
      <c r="L885" s="5">
        <v>0</v>
      </c>
      <c r="M885" s="5">
        <v>0</v>
      </c>
    </row>
    <row r="886" spans="1:13" hidden="1" x14ac:dyDescent="0.25">
      <c r="A886" t="s">
        <v>897</v>
      </c>
      <c r="B886" s="1">
        <v>7.3526243045217946E-2</v>
      </c>
      <c r="C886" s="2">
        <v>2.0950221064864511E-5</v>
      </c>
      <c r="D886" s="2"/>
      <c r="E886" s="2">
        <v>0.30173176050638739</v>
      </c>
      <c r="F886" s="3">
        <v>117.2687387417691</v>
      </c>
      <c r="G886" s="3">
        <v>1</v>
      </c>
      <c r="H886" s="2">
        <v>5.4188793757450959E-5</v>
      </c>
      <c r="I886" s="4">
        <v>-3.3306690738754701E-16</v>
      </c>
      <c r="J886" s="4">
        <v>0.30173176050638773</v>
      </c>
      <c r="K886" s="5">
        <v>1</v>
      </c>
      <c r="L886" s="5">
        <v>0</v>
      </c>
      <c r="M886" s="5">
        <v>1</v>
      </c>
    </row>
    <row r="887" spans="1:13" hidden="1" x14ac:dyDescent="0.25">
      <c r="A887" t="s">
        <v>898</v>
      </c>
      <c r="B887" s="1">
        <v>7.3516117704571227E-2</v>
      </c>
      <c r="C887" s="2">
        <v>2.094733599803504E-5</v>
      </c>
      <c r="D887" s="2"/>
      <c r="E887" s="2">
        <v>1.1991970019135001</v>
      </c>
      <c r="F887" s="3">
        <v>198.11843459880819</v>
      </c>
      <c r="G887" s="3">
        <v>2</v>
      </c>
      <c r="H887" s="2">
        <v>1.083775875149019E-4</v>
      </c>
      <c r="I887" s="4">
        <v>2.2204460492503131E-16</v>
      </c>
      <c r="J887" s="4">
        <v>1.1991970019135001</v>
      </c>
      <c r="K887" s="5">
        <v>2</v>
      </c>
      <c r="L887" s="5">
        <v>0</v>
      </c>
      <c r="M887" s="5">
        <v>2</v>
      </c>
    </row>
    <row r="888" spans="1:13" hidden="1" x14ac:dyDescent="0.25">
      <c r="A888" t="s">
        <v>899</v>
      </c>
      <c r="B888" s="1">
        <v>7.3273504199298664E-2</v>
      </c>
      <c r="C888" s="2">
        <v>2.0878206849607639E-5</v>
      </c>
      <c r="D888" s="2"/>
      <c r="E888" s="2">
        <v>-0.67843236801482398</v>
      </c>
      <c r="F888" s="3">
        <v>28.968971770658388</v>
      </c>
      <c r="G888" s="3">
        <v>1</v>
      </c>
      <c r="H888" s="2">
        <v>5.4188793757450959E-5</v>
      </c>
      <c r="I888" s="4">
        <v>-1.110223024625157E-16</v>
      </c>
      <c r="J888" s="4">
        <v>-0.67843236801482376</v>
      </c>
      <c r="K888" s="5">
        <v>1</v>
      </c>
      <c r="L888" s="5">
        <v>0</v>
      </c>
      <c r="M888" s="5">
        <v>0</v>
      </c>
    </row>
    <row r="889" spans="1:13" hidden="1" x14ac:dyDescent="0.25">
      <c r="A889" t="s">
        <v>900</v>
      </c>
      <c r="B889" s="1">
        <v>7.3203242576941011E-2</v>
      </c>
      <c r="C889" s="2">
        <v>2.0858186834170929E-5</v>
      </c>
      <c r="D889" s="2"/>
      <c r="E889" s="2">
        <v>0.69457293978984369</v>
      </c>
      <c r="F889" s="3">
        <v>152.65851028923379</v>
      </c>
      <c r="G889" s="3">
        <v>1</v>
      </c>
      <c r="H889" s="2">
        <v>5.4188793757450959E-5</v>
      </c>
      <c r="I889" s="4">
        <v>-1.110223024625157E-16</v>
      </c>
      <c r="J889" s="4">
        <v>0.6945729397898438</v>
      </c>
      <c r="K889" s="5">
        <v>1</v>
      </c>
      <c r="L889" s="5">
        <v>0</v>
      </c>
      <c r="M889" s="5">
        <v>0</v>
      </c>
    </row>
    <row r="890" spans="1:13" hidden="1" x14ac:dyDescent="0.25">
      <c r="A890" t="s">
        <v>901</v>
      </c>
      <c r="B890" s="1">
        <v>7.3142529120598529E-2</v>
      </c>
      <c r="C890" s="2">
        <v>2.084088742814518E-5</v>
      </c>
      <c r="D890" s="2"/>
      <c r="E890" s="2">
        <v>1.109373014626474</v>
      </c>
      <c r="F890" s="3">
        <v>190.02648661268191</v>
      </c>
      <c r="G890" s="3">
        <v>1</v>
      </c>
      <c r="H890" s="2">
        <v>5.4188793757450959E-5</v>
      </c>
      <c r="I890" s="4">
        <v>-2.2204460492503131E-16</v>
      </c>
      <c r="J890" s="4">
        <v>1.109373014626474</v>
      </c>
      <c r="K890" s="5">
        <v>1</v>
      </c>
      <c r="L890" s="5">
        <v>0</v>
      </c>
      <c r="M890" s="5">
        <v>0</v>
      </c>
    </row>
    <row r="891" spans="1:13" hidden="1" x14ac:dyDescent="0.25">
      <c r="A891" t="s">
        <v>902</v>
      </c>
      <c r="B891" s="1">
        <v>7.3107726544042073E-2</v>
      </c>
      <c r="C891" s="2">
        <v>2.083097094605271E-5</v>
      </c>
      <c r="D891" s="2"/>
      <c r="E891" s="2">
        <v>2.547259857504022</v>
      </c>
      <c r="F891" s="3">
        <v>319.56098952136091</v>
      </c>
      <c r="G891" s="3">
        <v>1</v>
      </c>
      <c r="H891" s="2">
        <v>5.4188793757450959E-5</v>
      </c>
      <c r="I891" s="4">
        <v>0</v>
      </c>
      <c r="J891" s="4">
        <v>2.547259857504022</v>
      </c>
      <c r="K891" s="5">
        <v>1</v>
      </c>
      <c r="L891" s="5">
        <v>0</v>
      </c>
      <c r="M891" s="5">
        <v>1</v>
      </c>
    </row>
    <row r="892" spans="1:13" hidden="1" x14ac:dyDescent="0.25">
      <c r="A892" t="s">
        <v>903</v>
      </c>
      <c r="B892" s="1">
        <v>7.3020058398465315E-2</v>
      </c>
      <c r="C892" s="2">
        <v>2.0805991197950379E-5</v>
      </c>
      <c r="D892" s="2"/>
      <c r="E892" s="2">
        <v>1.009123494822818</v>
      </c>
      <c r="F892" s="3">
        <v>180.99533664498861</v>
      </c>
      <c r="G892" s="3">
        <v>1</v>
      </c>
      <c r="H892" s="2">
        <v>5.4188793757450959E-5</v>
      </c>
      <c r="I892" s="4">
        <v>-2.2204460492503131E-16</v>
      </c>
      <c r="J892" s="4">
        <v>1.0091234948228189</v>
      </c>
      <c r="K892" s="5">
        <v>1</v>
      </c>
      <c r="L892" s="5">
        <v>0</v>
      </c>
      <c r="M892" s="5">
        <v>0</v>
      </c>
    </row>
    <row r="893" spans="1:13" hidden="1" x14ac:dyDescent="0.25">
      <c r="A893" t="s">
        <v>904</v>
      </c>
      <c r="B893" s="1">
        <v>7.2959365534798065E-2</v>
      </c>
      <c r="C893" s="2">
        <v>2.0788697659504438E-5</v>
      </c>
      <c r="D893" s="2"/>
      <c r="E893" s="2">
        <v>-0.73661548358210238</v>
      </c>
      <c r="F893" s="3">
        <v>23.727445992730761</v>
      </c>
      <c r="G893" s="3">
        <v>2</v>
      </c>
      <c r="H893" s="2">
        <v>1.083775875149019E-4</v>
      </c>
      <c r="I893" s="4">
        <v>1.110223024625157E-16</v>
      </c>
      <c r="J893" s="4">
        <v>-0.73661548358210249</v>
      </c>
      <c r="K893" s="5">
        <v>2</v>
      </c>
      <c r="L893" s="5">
        <v>0</v>
      </c>
      <c r="M893" s="5">
        <v>0</v>
      </c>
    </row>
    <row r="894" spans="1:13" hidden="1" x14ac:dyDescent="0.25">
      <c r="A894" t="s">
        <v>905</v>
      </c>
      <c r="B894" s="1">
        <v>7.2952632078411364E-2</v>
      </c>
      <c r="C894" s="2">
        <v>2.078677906018548E-5</v>
      </c>
      <c r="D894" s="2"/>
      <c r="E894" s="2">
        <v>0.99546426983754821</v>
      </c>
      <c r="F894" s="3">
        <v>179.7648219300448</v>
      </c>
      <c r="G894" s="3">
        <v>3</v>
      </c>
      <c r="H894" s="2">
        <v>1.6256638127235291E-4</v>
      </c>
      <c r="I894" s="4">
        <v>0</v>
      </c>
      <c r="J894" s="4">
        <v>0.99546426983754821</v>
      </c>
      <c r="K894" s="5">
        <v>3</v>
      </c>
      <c r="L894" s="5">
        <v>0</v>
      </c>
      <c r="M894" s="5">
        <v>0</v>
      </c>
    </row>
    <row r="895" spans="1:13" hidden="1" x14ac:dyDescent="0.25">
      <c r="A895" t="s">
        <v>906</v>
      </c>
      <c r="B895" s="1">
        <v>7.2867151844587086E-2</v>
      </c>
      <c r="C895" s="2">
        <v>2.0762422725343318E-5</v>
      </c>
      <c r="D895" s="2"/>
      <c r="E895" s="2" t="s">
        <v>303</v>
      </c>
      <c r="F895" s="3" t="s">
        <v>303</v>
      </c>
      <c r="G895" s="3">
        <v>1</v>
      </c>
      <c r="H895" s="2">
        <v>5.4188793757450959E-5</v>
      </c>
      <c r="I895" s="4" t="s">
        <v>303</v>
      </c>
      <c r="J895" s="4">
        <v>0</v>
      </c>
      <c r="K895" s="5">
        <v>1</v>
      </c>
      <c r="L895" s="5">
        <v>0</v>
      </c>
      <c r="M895" s="5">
        <v>1</v>
      </c>
    </row>
    <row r="896" spans="1:13" hidden="1" x14ac:dyDescent="0.25">
      <c r="A896" t="s">
        <v>907</v>
      </c>
      <c r="B896" s="1">
        <v>7.2855199569107937E-2</v>
      </c>
      <c r="C896" s="2">
        <v>2.07590171003155E-5</v>
      </c>
      <c r="D896" s="2"/>
      <c r="E896" s="2">
        <v>8.8636376700499619E-2</v>
      </c>
      <c r="F896" s="3">
        <v>98.071675530460084</v>
      </c>
      <c r="G896" s="3">
        <v>2</v>
      </c>
      <c r="H896" s="2">
        <v>1.083775875149019E-4</v>
      </c>
      <c r="I896" s="4">
        <v>6.9388939039072284E-17</v>
      </c>
      <c r="J896" s="4">
        <v>8.863637670049955E-2</v>
      </c>
      <c r="K896" s="5">
        <v>2</v>
      </c>
      <c r="L896" s="5">
        <v>0</v>
      </c>
      <c r="M896" s="5">
        <v>0</v>
      </c>
    </row>
    <row r="897" spans="1:13" hidden="1" x14ac:dyDescent="0.25">
      <c r="A897" t="s">
        <v>908</v>
      </c>
      <c r="B897" s="1">
        <v>7.2824357663472561E-2</v>
      </c>
      <c r="C897" s="2">
        <v>2.0750229153123299E-5</v>
      </c>
      <c r="D897" s="2"/>
      <c r="E897" s="2">
        <v>-0.36334617262239</v>
      </c>
      <c r="F897" s="3">
        <v>57.354052207076009</v>
      </c>
      <c r="G897" s="3">
        <v>1</v>
      </c>
      <c r="H897" s="2">
        <v>5.4188793757450959E-5</v>
      </c>
      <c r="I897" s="4">
        <v>0</v>
      </c>
      <c r="J897" s="4">
        <v>-0.36334617262239</v>
      </c>
      <c r="K897" s="5">
        <v>1</v>
      </c>
      <c r="L897" s="5">
        <v>0</v>
      </c>
      <c r="M897" s="5">
        <v>0</v>
      </c>
    </row>
    <row r="898" spans="1:13" hidden="1" x14ac:dyDescent="0.25">
      <c r="A898" t="s">
        <v>909</v>
      </c>
      <c r="B898" s="1">
        <v>7.2711310404545926E-2</v>
      </c>
      <c r="C898" s="2">
        <v>2.0718018000109081E-5</v>
      </c>
      <c r="D898" s="2"/>
      <c r="E898" s="2">
        <v>9.1276213138678175E-2</v>
      </c>
      <c r="F898" s="3">
        <v>98.309489724583585</v>
      </c>
      <c r="G898" s="3">
        <v>1</v>
      </c>
      <c r="H898" s="2">
        <v>5.4188793757450959E-5</v>
      </c>
      <c r="I898" s="4">
        <v>0</v>
      </c>
      <c r="J898" s="4">
        <v>9.1276213138678175E-2</v>
      </c>
      <c r="K898" s="5">
        <v>1</v>
      </c>
      <c r="L898" s="5">
        <v>0</v>
      </c>
      <c r="M898" s="5">
        <v>0</v>
      </c>
    </row>
    <row r="899" spans="1:13" hidden="1" x14ac:dyDescent="0.25">
      <c r="A899" t="s">
        <v>910</v>
      </c>
      <c r="B899" s="1">
        <v>7.268642452421091E-2</v>
      </c>
      <c r="C899" s="2">
        <v>2.0710927134687169E-5</v>
      </c>
      <c r="D899" s="2"/>
      <c r="E899" s="2">
        <v>1.056987423931921</v>
      </c>
      <c r="F899" s="3">
        <v>185.30724080845951</v>
      </c>
      <c r="G899" s="3">
        <v>1</v>
      </c>
      <c r="H899" s="2">
        <v>5.4188793757450959E-5</v>
      </c>
      <c r="I899" s="4">
        <v>0</v>
      </c>
      <c r="J899" s="4">
        <v>1.056987423931921</v>
      </c>
      <c r="K899" s="5">
        <v>1</v>
      </c>
      <c r="L899" s="5">
        <v>0</v>
      </c>
      <c r="M899" s="5">
        <v>0</v>
      </c>
    </row>
    <row r="900" spans="1:13" hidden="1" x14ac:dyDescent="0.25">
      <c r="A900" t="s">
        <v>911</v>
      </c>
      <c r="B900" s="1">
        <v>7.2665227682381359E-2</v>
      </c>
      <c r="C900" s="2">
        <v>2.0704887406505589E-5</v>
      </c>
      <c r="D900" s="2"/>
      <c r="E900" s="2" t="s">
        <v>303</v>
      </c>
      <c r="F900" s="3" t="s">
        <v>303</v>
      </c>
      <c r="G900" s="3">
        <v>1</v>
      </c>
      <c r="H900" s="2">
        <v>5.4188793757450959E-5</v>
      </c>
      <c r="I900" s="4" t="s">
        <v>303</v>
      </c>
      <c r="J900" s="4">
        <v>0</v>
      </c>
      <c r="K900" s="5">
        <v>1</v>
      </c>
      <c r="L900" s="5">
        <v>0</v>
      </c>
      <c r="M900" s="5">
        <v>0</v>
      </c>
    </row>
    <row r="901" spans="1:13" hidden="1" x14ac:dyDescent="0.25">
      <c r="A901" t="s">
        <v>912</v>
      </c>
      <c r="B901" s="1">
        <v>7.2662355596700728E-2</v>
      </c>
      <c r="C901" s="2">
        <v>2.0704069047951761E-5</v>
      </c>
      <c r="D901" s="2"/>
      <c r="E901" s="2">
        <v>0.64962862231555141</v>
      </c>
      <c r="F901" s="3">
        <v>148.60962434842401</v>
      </c>
      <c r="G901" s="3">
        <v>1</v>
      </c>
      <c r="H901" s="2">
        <v>5.4188793757450959E-5</v>
      </c>
      <c r="I901" s="4">
        <v>1.110223024625157E-16</v>
      </c>
      <c r="J901" s="4">
        <v>0.64962862231555141</v>
      </c>
      <c r="K901" s="5">
        <v>1</v>
      </c>
      <c r="L901" s="5">
        <v>0</v>
      </c>
      <c r="M901" s="5">
        <v>0</v>
      </c>
    </row>
    <row r="902" spans="1:13" hidden="1" x14ac:dyDescent="0.25">
      <c r="A902" t="s">
        <v>913</v>
      </c>
      <c r="B902" s="1">
        <v>7.2493353899898555E-2</v>
      </c>
      <c r="C902" s="2">
        <v>2.065591450119809E-5</v>
      </c>
      <c r="D902" s="2"/>
      <c r="E902" s="2">
        <v>5.3385958438925849</v>
      </c>
      <c r="F902" s="3">
        <v>571.02328033998651</v>
      </c>
      <c r="G902" s="3">
        <v>1</v>
      </c>
      <c r="H902" s="2">
        <v>5.4188793757450959E-5</v>
      </c>
      <c r="I902" s="4">
        <v>0</v>
      </c>
      <c r="J902" s="4">
        <v>5.3385958438925849</v>
      </c>
      <c r="K902" s="5">
        <v>1</v>
      </c>
      <c r="L902" s="5">
        <v>0</v>
      </c>
      <c r="M902" s="5">
        <v>0</v>
      </c>
    </row>
    <row r="903" spans="1:13" hidden="1" x14ac:dyDescent="0.25">
      <c r="A903" t="s">
        <v>914</v>
      </c>
      <c r="B903" s="1">
        <v>7.2369128749218206E-2</v>
      </c>
      <c r="C903" s="2">
        <v>2.0620518372404069E-5</v>
      </c>
      <c r="D903" s="2"/>
      <c r="E903" s="2">
        <v>-0.58194477735891903</v>
      </c>
      <c r="F903" s="3">
        <v>37.661221897557347</v>
      </c>
      <c r="G903" s="3">
        <v>4</v>
      </c>
      <c r="H903" s="2">
        <v>2.1675517502980381E-4</v>
      </c>
      <c r="I903" s="4">
        <v>0</v>
      </c>
      <c r="J903" s="4">
        <v>-0.58194477735891903</v>
      </c>
      <c r="K903" s="5">
        <v>4</v>
      </c>
      <c r="L903" s="5">
        <v>0</v>
      </c>
      <c r="M903" s="5">
        <v>0</v>
      </c>
    </row>
    <row r="904" spans="1:13" hidden="1" x14ac:dyDescent="0.25">
      <c r="A904" t="s">
        <v>915</v>
      </c>
      <c r="B904" s="1">
        <v>7.2361030266460902E-2</v>
      </c>
      <c r="C904" s="2">
        <v>2.0618210828906279E-5</v>
      </c>
      <c r="D904" s="2"/>
      <c r="E904" s="2">
        <v>1.393688569848659</v>
      </c>
      <c r="F904" s="3">
        <v>215.63954114290351</v>
      </c>
      <c r="G904" s="3">
        <v>1</v>
      </c>
      <c r="H904" s="2">
        <v>5.4188793757450959E-5</v>
      </c>
      <c r="I904" s="4">
        <v>0</v>
      </c>
      <c r="J904" s="4">
        <v>1.393688569848659</v>
      </c>
      <c r="K904" s="5">
        <v>1</v>
      </c>
      <c r="L904" s="5">
        <v>0</v>
      </c>
      <c r="M904" s="5">
        <v>1</v>
      </c>
    </row>
    <row r="905" spans="1:13" hidden="1" x14ac:dyDescent="0.25">
      <c r="A905" t="s">
        <v>916</v>
      </c>
      <c r="B905" s="1">
        <v>7.233189042145341E-2</v>
      </c>
      <c r="C905" s="2">
        <v>2.0609907858845279E-5</v>
      </c>
      <c r="D905" s="2"/>
      <c r="E905" s="2">
        <v>-0.15174849949545</v>
      </c>
      <c r="F905" s="3">
        <v>76.41619158257727</v>
      </c>
      <c r="G905" s="3">
        <v>2</v>
      </c>
      <c r="H905" s="2">
        <v>1.083775875149019E-4</v>
      </c>
      <c r="I905" s="4">
        <v>-0.14110050827763251</v>
      </c>
      <c r="J905" s="4">
        <v>-1.0647991217817541E-2</v>
      </c>
      <c r="K905" s="5">
        <v>1</v>
      </c>
      <c r="L905" s="5">
        <v>0</v>
      </c>
      <c r="M905" s="5">
        <v>0</v>
      </c>
    </row>
    <row r="906" spans="1:13" hidden="1" x14ac:dyDescent="0.25">
      <c r="A906" t="s">
        <v>917</v>
      </c>
      <c r="B906" s="1">
        <v>7.2219678980271415E-2</v>
      </c>
      <c r="C906" s="2">
        <v>2.057793485979888E-5</v>
      </c>
      <c r="D906" s="2"/>
      <c r="E906" s="2">
        <v>0.70336328776650281</v>
      </c>
      <c r="F906" s="3">
        <v>153.45040386638911</v>
      </c>
      <c r="G906" s="3">
        <v>1</v>
      </c>
      <c r="H906" s="2">
        <v>5.4188793757450959E-5</v>
      </c>
      <c r="I906" s="4">
        <v>-1.110223024625157E-16</v>
      </c>
      <c r="J906" s="4">
        <v>0.70336328776650292</v>
      </c>
      <c r="K906" s="5">
        <v>1</v>
      </c>
      <c r="L906" s="5">
        <v>0</v>
      </c>
      <c r="M906" s="5">
        <v>0</v>
      </c>
    </row>
    <row r="907" spans="1:13" hidden="1" x14ac:dyDescent="0.25">
      <c r="A907" t="s">
        <v>918</v>
      </c>
      <c r="B907" s="1">
        <v>7.2188394956669746E-2</v>
      </c>
      <c r="C907" s="2">
        <v>2.0569020937597649E-5</v>
      </c>
      <c r="D907" s="2"/>
      <c r="E907" s="2">
        <v>-0.20063986258176869</v>
      </c>
      <c r="F907" s="3">
        <v>72.011729266724942</v>
      </c>
      <c r="G907" s="3">
        <v>1</v>
      </c>
      <c r="H907" s="2">
        <v>5.4188793757450959E-5</v>
      </c>
      <c r="I907" s="4">
        <v>2.775557561562891E-17</v>
      </c>
      <c r="J907" s="4">
        <v>-0.20063986258176869</v>
      </c>
      <c r="K907" s="5">
        <v>1</v>
      </c>
      <c r="L907" s="5">
        <v>0</v>
      </c>
      <c r="M907" s="5">
        <v>1</v>
      </c>
    </row>
    <row r="908" spans="1:13" hidden="1" x14ac:dyDescent="0.25">
      <c r="A908" t="s">
        <v>919</v>
      </c>
      <c r="B908" s="1">
        <v>7.2118341418905177E-2</v>
      </c>
      <c r="C908" s="2">
        <v>2.0549060212803909E-5</v>
      </c>
      <c r="D908" s="2"/>
      <c r="E908" s="2">
        <v>0.62215742677544039</v>
      </c>
      <c r="F908" s="3">
        <v>146.1348345718697</v>
      </c>
      <c r="G908" s="3">
        <v>1</v>
      </c>
      <c r="H908" s="2">
        <v>5.4188793757450959E-5</v>
      </c>
      <c r="I908" s="4">
        <v>0</v>
      </c>
      <c r="J908" s="4">
        <v>0.62215742677544039</v>
      </c>
      <c r="K908" s="5">
        <v>1</v>
      </c>
      <c r="L908" s="5">
        <v>0</v>
      </c>
      <c r="M908" s="5">
        <v>0</v>
      </c>
    </row>
    <row r="909" spans="1:13" hidden="1" x14ac:dyDescent="0.25">
      <c r="A909" t="s">
        <v>920</v>
      </c>
      <c r="B909" s="1">
        <v>7.1941612591125872E-2</v>
      </c>
      <c r="C909" s="2">
        <v>2.049870393377801E-5</v>
      </c>
      <c r="D909" s="2"/>
      <c r="E909" s="2">
        <v>5.6715353586164818</v>
      </c>
      <c r="F909" s="3">
        <v>601.0167076754152</v>
      </c>
      <c r="G909" s="3">
        <v>2</v>
      </c>
      <c r="H909" s="2">
        <v>1.083775875149019E-4</v>
      </c>
      <c r="I909" s="4">
        <v>0</v>
      </c>
      <c r="J909" s="4">
        <v>5.6715353586164818</v>
      </c>
      <c r="K909" s="5">
        <v>2</v>
      </c>
      <c r="L909" s="5">
        <v>0</v>
      </c>
      <c r="M909" s="5">
        <v>0</v>
      </c>
    </row>
    <row r="910" spans="1:13" hidden="1" x14ac:dyDescent="0.25">
      <c r="A910" t="s">
        <v>921</v>
      </c>
      <c r="B910" s="1">
        <v>7.1913741386937055E-2</v>
      </c>
      <c r="C910" s="2">
        <v>2.0490762444251061E-5</v>
      </c>
      <c r="D910" s="2"/>
      <c r="E910" s="2">
        <v>-4.3205091181176658E-2</v>
      </c>
      <c r="F910" s="3">
        <v>86.194510724760676</v>
      </c>
      <c r="G910" s="3">
        <v>2</v>
      </c>
      <c r="H910" s="2">
        <v>1.083775875149019E-4</v>
      </c>
      <c r="I910" s="4">
        <v>-1.8735013540549519E-16</v>
      </c>
      <c r="J910" s="4">
        <v>-4.3205091181176471E-2</v>
      </c>
      <c r="K910" s="5">
        <v>2</v>
      </c>
      <c r="L910" s="5">
        <v>0</v>
      </c>
      <c r="M910" s="5">
        <v>0</v>
      </c>
    </row>
    <row r="911" spans="1:13" hidden="1" x14ac:dyDescent="0.25">
      <c r="A911" t="s">
        <v>922</v>
      </c>
      <c r="B911" s="1">
        <v>7.1822666259256096E-2</v>
      </c>
      <c r="C911" s="2">
        <v>2.0464811926729668E-5</v>
      </c>
      <c r="D911" s="2"/>
      <c r="E911" s="2">
        <v>-0.31643732673679759</v>
      </c>
      <c r="F911" s="3">
        <v>61.579916059929637</v>
      </c>
      <c r="G911" s="3">
        <v>2</v>
      </c>
      <c r="H911" s="2">
        <v>1.083775875149019E-4</v>
      </c>
      <c r="I911" s="4">
        <v>-1.6653345369377351E-16</v>
      </c>
      <c r="J911" s="4">
        <v>-0.31643732673679742</v>
      </c>
      <c r="K911" s="5">
        <v>2</v>
      </c>
      <c r="L911" s="5">
        <v>0</v>
      </c>
      <c r="M911" s="5">
        <v>0</v>
      </c>
    </row>
    <row r="912" spans="1:13" hidden="1" x14ac:dyDescent="0.25">
      <c r="A912" t="s">
        <v>923</v>
      </c>
      <c r="B912" s="1">
        <v>7.1636558451742063E-2</v>
      </c>
      <c r="C912" s="2">
        <v>2.041178324543396E-5</v>
      </c>
      <c r="D912" s="2"/>
      <c r="E912" s="2">
        <v>-4.9857733644276703E-2</v>
      </c>
      <c r="F912" s="3">
        <v>85.595196015988265</v>
      </c>
      <c r="G912" s="3">
        <v>1</v>
      </c>
      <c r="H912" s="2">
        <v>5.4188793757450959E-5</v>
      </c>
      <c r="I912" s="4">
        <v>-2.3592239273284581E-16</v>
      </c>
      <c r="J912" s="4">
        <v>-4.9857733644276467E-2</v>
      </c>
      <c r="K912" s="5">
        <v>1</v>
      </c>
      <c r="L912" s="5">
        <v>0</v>
      </c>
      <c r="M912" s="5">
        <v>0</v>
      </c>
    </row>
    <row r="913" spans="1:13" hidden="1" x14ac:dyDescent="0.25">
      <c r="A913" t="s">
        <v>924</v>
      </c>
      <c r="B913" s="1">
        <v>7.1562343167591996E-2</v>
      </c>
      <c r="C913" s="2">
        <v>2.0390636692245062E-5</v>
      </c>
      <c r="D913" s="2"/>
      <c r="E913" s="2">
        <v>0.9759149147393229</v>
      </c>
      <c r="F913" s="3">
        <v>178.00368473946719</v>
      </c>
      <c r="G913" s="3">
        <v>2</v>
      </c>
      <c r="H913" s="2">
        <v>1.083775875149019E-4</v>
      </c>
      <c r="I913" s="4">
        <v>0</v>
      </c>
      <c r="J913" s="4">
        <v>0.9759149147393229</v>
      </c>
      <c r="K913" s="5">
        <v>2</v>
      </c>
      <c r="L913" s="5">
        <v>0</v>
      </c>
      <c r="M913" s="5">
        <v>0</v>
      </c>
    </row>
    <row r="914" spans="1:13" hidden="1" x14ac:dyDescent="0.25">
      <c r="A914" t="s">
        <v>925</v>
      </c>
      <c r="B914" s="1">
        <v>7.1528998321616633E-2</v>
      </c>
      <c r="C914" s="2">
        <v>2.0381135569032109E-5</v>
      </c>
      <c r="D914" s="2"/>
      <c r="E914" s="2">
        <v>0.89674877360086147</v>
      </c>
      <c r="F914" s="3">
        <v>170.87186710697071</v>
      </c>
      <c r="G914" s="3">
        <v>2</v>
      </c>
      <c r="H914" s="2">
        <v>1.083775875149019E-4</v>
      </c>
      <c r="I914" s="4">
        <v>-2.2204460492503131E-16</v>
      </c>
      <c r="J914" s="4">
        <v>0.89674877360086169</v>
      </c>
      <c r="K914" s="5">
        <v>2</v>
      </c>
      <c r="L914" s="5">
        <v>0</v>
      </c>
      <c r="M914" s="5">
        <v>0</v>
      </c>
    </row>
    <row r="915" spans="1:13" hidden="1" x14ac:dyDescent="0.25">
      <c r="A915" t="s">
        <v>926</v>
      </c>
      <c r="B915" s="1">
        <v>7.1481531365906598E-2</v>
      </c>
      <c r="C915" s="2">
        <v>2.036761055844793E-5</v>
      </c>
      <c r="D915" s="2"/>
      <c r="E915" s="2">
        <v>0.96140881787811594</v>
      </c>
      <c r="F915" s="3">
        <v>176.69687811878691</v>
      </c>
      <c r="G915" s="3">
        <v>1</v>
      </c>
      <c r="H915" s="2">
        <v>5.4188793757450959E-5</v>
      </c>
      <c r="I915" s="4">
        <v>-2.2204460492503131E-16</v>
      </c>
      <c r="J915" s="4">
        <v>0.96140881787811627</v>
      </c>
      <c r="K915" s="5">
        <v>1</v>
      </c>
      <c r="L915" s="5">
        <v>0</v>
      </c>
      <c r="M915" s="5">
        <v>0</v>
      </c>
    </row>
    <row r="916" spans="1:13" hidden="1" x14ac:dyDescent="0.25">
      <c r="A916" t="s">
        <v>927</v>
      </c>
      <c r="B916" s="1">
        <v>7.1436850876995403E-2</v>
      </c>
      <c r="C916" s="2">
        <v>2.035487951057704E-5</v>
      </c>
      <c r="D916" s="2"/>
      <c r="E916" s="2">
        <v>-0.19745140315630541</v>
      </c>
      <c r="F916" s="3">
        <v>72.298967103810469</v>
      </c>
      <c r="G916" s="3">
        <v>1</v>
      </c>
      <c r="H916" s="2">
        <v>5.4188793757450959E-5</v>
      </c>
      <c r="I916" s="4">
        <v>2.775557561562891E-17</v>
      </c>
      <c r="J916" s="4">
        <v>-0.19745140315630541</v>
      </c>
      <c r="K916" s="5">
        <v>1</v>
      </c>
      <c r="L916" s="5">
        <v>0</v>
      </c>
      <c r="M916" s="5">
        <v>0</v>
      </c>
    </row>
    <row r="917" spans="1:13" hidden="1" x14ac:dyDescent="0.25">
      <c r="A917" t="s">
        <v>928</v>
      </c>
      <c r="B917" s="1">
        <v>7.121525226114872E-2</v>
      </c>
      <c r="C917" s="2">
        <v>2.029173824567111E-5</v>
      </c>
      <c r="D917" s="2"/>
      <c r="E917" s="2">
        <v>-0.71504492474191961</v>
      </c>
      <c r="F917" s="3">
        <v>25.670666789739911</v>
      </c>
      <c r="G917" s="3">
        <v>4</v>
      </c>
      <c r="H917" s="2">
        <v>2.1675517502980381E-4</v>
      </c>
      <c r="I917" s="4">
        <v>-0.27110209566528309</v>
      </c>
      <c r="J917" s="4">
        <v>-0.44394282907663662</v>
      </c>
      <c r="K917" s="5">
        <v>1</v>
      </c>
      <c r="L917" s="5">
        <v>0</v>
      </c>
      <c r="M917" s="5">
        <v>0</v>
      </c>
    </row>
    <row r="918" spans="1:13" hidden="1" x14ac:dyDescent="0.25">
      <c r="A918" t="s">
        <v>929</v>
      </c>
      <c r="B918" s="1">
        <v>7.0980790278187489E-2</v>
      </c>
      <c r="C918" s="2">
        <v>2.0224931753581969E-5</v>
      </c>
      <c r="D918" s="2"/>
      <c r="E918" s="2">
        <v>-0.44509272542824901</v>
      </c>
      <c r="F918" s="3">
        <v>49.989773762873867</v>
      </c>
      <c r="G918" s="3">
        <v>1</v>
      </c>
      <c r="H918" s="2">
        <v>5.4188793757450959E-5</v>
      </c>
      <c r="I918" s="4">
        <v>-5.5511151231257827E-17</v>
      </c>
      <c r="J918" s="4">
        <v>-0.4450927254282489</v>
      </c>
      <c r="K918" s="5">
        <v>1</v>
      </c>
      <c r="L918" s="5">
        <v>0</v>
      </c>
      <c r="M918" s="5">
        <v>0</v>
      </c>
    </row>
    <row r="919" spans="1:13" hidden="1" x14ac:dyDescent="0.25">
      <c r="A919" t="s">
        <v>930</v>
      </c>
      <c r="B919" s="1">
        <v>7.0949126822270461E-2</v>
      </c>
      <c r="C919" s="2">
        <v>2.0215909717725581E-5</v>
      </c>
      <c r="D919" s="2"/>
      <c r="E919" s="2">
        <v>-0.42869962927817667</v>
      </c>
      <c r="F919" s="3">
        <v>51.466573951603763</v>
      </c>
      <c r="G919" s="3">
        <v>2</v>
      </c>
      <c r="H919" s="2">
        <v>1.083775875149019E-4</v>
      </c>
      <c r="I919" s="4">
        <v>-1.110223024625157E-16</v>
      </c>
      <c r="J919" s="4">
        <v>-0.42869962927817662</v>
      </c>
      <c r="K919" s="5">
        <v>2</v>
      </c>
      <c r="L919" s="5">
        <v>0</v>
      </c>
      <c r="M919" s="5">
        <v>0</v>
      </c>
    </row>
    <row r="920" spans="1:13" hidden="1" x14ac:dyDescent="0.25">
      <c r="A920" t="s">
        <v>931</v>
      </c>
      <c r="B920" s="1">
        <v>7.094755157255242E-2</v>
      </c>
      <c r="C920" s="2">
        <v>2.0215460873497201E-5</v>
      </c>
      <c r="D920" s="2"/>
      <c r="E920" s="2">
        <v>7.5961973089588746</v>
      </c>
      <c r="F920" s="3">
        <v>774.40318119368067</v>
      </c>
      <c r="G920" s="3">
        <v>1</v>
      </c>
      <c r="H920" s="2">
        <v>5.4188793757450959E-5</v>
      </c>
      <c r="I920" s="4">
        <v>-8.8817841970012523E-16</v>
      </c>
      <c r="J920" s="4">
        <v>7.5961973089588746</v>
      </c>
      <c r="K920" s="5">
        <v>1</v>
      </c>
      <c r="L920" s="5">
        <v>0</v>
      </c>
      <c r="M920" s="5">
        <v>0</v>
      </c>
    </row>
    <row r="921" spans="1:13" hidden="1" x14ac:dyDescent="0.25">
      <c r="A921" t="s">
        <v>932</v>
      </c>
      <c r="B921" s="1">
        <v>7.0940916592726277E-2</v>
      </c>
      <c r="C921" s="2">
        <v>2.021357033362516E-5</v>
      </c>
      <c r="D921" s="2"/>
      <c r="E921" s="2">
        <v>-0.1177678033789273</v>
      </c>
      <c r="F921" s="3">
        <v>79.477400885484499</v>
      </c>
      <c r="G921" s="3">
        <v>3</v>
      </c>
      <c r="H921" s="2">
        <v>1.6256638127235291E-4</v>
      </c>
      <c r="I921" s="4">
        <v>0.5842224442642725</v>
      </c>
      <c r="J921" s="4">
        <v>-0.70199024764319984</v>
      </c>
      <c r="K921" s="5">
        <v>3</v>
      </c>
      <c r="L921" s="5">
        <v>0</v>
      </c>
      <c r="M921" s="5">
        <v>0</v>
      </c>
    </row>
    <row r="922" spans="1:13" hidden="1" x14ac:dyDescent="0.25">
      <c r="A922" t="s">
        <v>933</v>
      </c>
      <c r="B922" s="1">
        <v>7.0881749921912374E-2</v>
      </c>
      <c r="C922" s="2">
        <v>2.019671166137584E-5</v>
      </c>
      <c r="D922" s="2"/>
      <c r="E922" s="2">
        <v>0.41695332221773712</v>
      </c>
      <c r="F922" s="3">
        <v>127.64867078897571</v>
      </c>
      <c r="G922" s="3">
        <v>1</v>
      </c>
      <c r="H922" s="2">
        <v>5.4188793757450959E-5</v>
      </c>
      <c r="I922" s="4">
        <v>0</v>
      </c>
      <c r="J922" s="4">
        <v>0.41695332221773712</v>
      </c>
      <c r="K922" s="5">
        <v>1</v>
      </c>
      <c r="L922" s="5">
        <v>0</v>
      </c>
      <c r="M922" s="5">
        <v>0</v>
      </c>
    </row>
    <row r="923" spans="1:13" hidden="1" x14ac:dyDescent="0.25">
      <c r="A923" t="s">
        <v>934</v>
      </c>
      <c r="B923" s="1">
        <v>7.0717233090554804E-2</v>
      </c>
      <c r="C923" s="2">
        <v>2.014983501103873E-5</v>
      </c>
      <c r="D923" s="2"/>
      <c r="E923" s="2">
        <v>-0.63623936467110975</v>
      </c>
      <c r="F923" s="3">
        <v>32.770000858186989</v>
      </c>
      <c r="G923" s="3">
        <v>3</v>
      </c>
      <c r="H923" s="2">
        <v>1.6256638127235291E-4</v>
      </c>
      <c r="I923" s="4">
        <v>-1.110223024625157E-16</v>
      </c>
      <c r="J923" s="4">
        <v>-0.63623936467110964</v>
      </c>
      <c r="K923" s="5">
        <v>3</v>
      </c>
      <c r="L923" s="5">
        <v>0</v>
      </c>
      <c r="M923" s="5">
        <v>0</v>
      </c>
    </row>
    <row r="924" spans="1:13" hidden="1" x14ac:dyDescent="0.25">
      <c r="A924" t="s">
        <v>935</v>
      </c>
      <c r="B924" s="1">
        <v>7.0629667555315995E-2</v>
      </c>
      <c r="C924" s="2">
        <v>2.0124884500242358E-5</v>
      </c>
      <c r="D924" s="2"/>
      <c r="E924" s="2">
        <v>-0.50760634473652599</v>
      </c>
      <c r="F924" s="3">
        <v>44.358127126539998</v>
      </c>
      <c r="G924" s="3">
        <v>3</v>
      </c>
      <c r="H924" s="2">
        <v>1.6256638127235291E-4</v>
      </c>
      <c r="I924" s="4">
        <v>-0.2389290780172427</v>
      </c>
      <c r="J924" s="4">
        <v>-0.26867726671928333</v>
      </c>
      <c r="K924" s="5">
        <v>2</v>
      </c>
      <c r="L924" s="5">
        <v>1</v>
      </c>
      <c r="M924" s="5">
        <v>0</v>
      </c>
    </row>
    <row r="925" spans="1:13" hidden="1" x14ac:dyDescent="0.25">
      <c r="A925" t="s">
        <v>936</v>
      </c>
      <c r="B925" s="1">
        <v>7.0607348047138807E-2</v>
      </c>
      <c r="C925" s="2">
        <v>2.0118524884804321E-5</v>
      </c>
      <c r="D925" s="2"/>
      <c r="E925" s="2">
        <v>1.959713839821281</v>
      </c>
      <c r="F925" s="3">
        <v>266.63089859417852</v>
      </c>
      <c r="G925" s="3">
        <v>1</v>
      </c>
      <c r="H925" s="2">
        <v>5.4188793757450959E-5</v>
      </c>
      <c r="I925" s="4">
        <v>0</v>
      </c>
      <c r="J925" s="4">
        <v>1.959713839821281</v>
      </c>
      <c r="K925" s="5">
        <v>1</v>
      </c>
      <c r="L925" s="5">
        <v>0</v>
      </c>
      <c r="M925" s="5">
        <v>0</v>
      </c>
    </row>
    <row r="926" spans="1:13" hidden="1" x14ac:dyDescent="0.25">
      <c r="A926" t="s">
        <v>937</v>
      </c>
      <c r="B926" s="1">
        <v>7.0562747750554017E-2</v>
      </c>
      <c r="C926" s="2">
        <v>2.010581668655686E-5</v>
      </c>
      <c r="D926" s="2"/>
      <c r="E926" s="2">
        <v>-0.23704827784696089</v>
      </c>
      <c r="F926" s="3">
        <v>68.731814719602937</v>
      </c>
      <c r="G926" s="3">
        <v>1</v>
      </c>
      <c r="H926" s="2">
        <v>5.4188793757450959E-5</v>
      </c>
      <c r="I926" s="4">
        <v>0</v>
      </c>
      <c r="J926" s="4">
        <v>-0.23704827784696089</v>
      </c>
      <c r="K926" s="5">
        <v>1</v>
      </c>
      <c r="L926" s="5">
        <v>0</v>
      </c>
      <c r="M926" s="5">
        <v>0</v>
      </c>
    </row>
    <row r="927" spans="1:13" hidden="1" x14ac:dyDescent="0.25">
      <c r="A927" t="s">
        <v>938</v>
      </c>
      <c r="B927" s="1">
        <v>7.0444260070100448E-2</v>
      </c>
      <c r="C927" s="2">
        <v>2.0072055365480809E-5</v>
      </c>
      <c r="D927" s="2"/>
      <c r="E927" s="2">
        <v>-8.3528115836782657E-2</v>
      </c>
      <c r="F927" s="3">
        <v>82.561941875263827</v>
      </c>
      <c r="G927" s="3">
        <v>1</v>
      </c>
      <c r="H927" s="2">
        <v>5.4188793757450959E-5</v>
      </c>
      <c r="I927" s="4">
        <v>-1.387778780781446E-17</v>
      </c>
      <c r="J927" s="4">
        <v>-8.3528115836782643E-2</v>
      </c>
      <c r="K927" s="5">
        <v>1</v>
      </c>
      <c r="L927" s="5">
        <v>0</v>
      </c>
      <c r="M927" s="5">
        <v>0</v>
      </c>
    </row>
    <row r="928" spans="1:13" hidden="1" x14ac:dyDescent="0.25">
      <c r="A928" t="s">
        <v>939</v>
      </c>
      <c r="B928" s="1">
        <v>7.0228490844301342E-2</v>
      </c>
      <c r="C928" s="2">
        <v>2.0010575099493242E-5</v>
      </c>
      <c r="D928" s="2"/>
      <c r="E928" s="2">
        <v>3.6058140853832077E-2</v>
      </c>
      <c r="F928" s="3">
        <v>93.335074957230319</v>
      </c>
      <c r="G928" s="3">
        <v>1</v>
      </c>
      <c r="H928" s="2">
        <v>5.4188793757450959E-5</v>
      </c>
      <c r="I928" s="4">
        <v>-4.8572257327350599E-17</v>
      </c>
      <c r="J928" s="4">
        <v>3.6058140853832132E-2</v>
      </c>
      <c r="K928" s="5">
        <v>1</v>
      </c>
      <c r="L928" s="5">
        <v>0</v>
      </c>
      <c r="M928" s="5">
        <v>0</v>
      </c>
    </row>
    <row r="929" spans="1:13" hidden="1" x14ac:dyDescent="0.25">
      <c r="A929" t="s">
        <v>940</v>
      </c>
      <c r="B929" s="1">
        <v>6.9791308755796755E-2</v>
      </c>
      <c r="C929" s="2">
        <v>1.98860064962241E-5</v>
      </c>
      <c r="D929" s="2"/>
      <c r="E929" s="2" t="s">
        <v>303</v>
      </c>
      <c r="F929" s="3" t="s">
        <v>303</v>
      </c>
      <c r="G929" s="3">
        <v>1</v>
      </c>
      <c r="H929" s="2">
        <v>5.4188793757450959E-5</v>
      </c>
      <c r="I929" s="4" t="s">
        <v>303</v>
      </c>
      <c r="J929" s="4">
        <v>0</v>
      </c>
      <c r="K929" s="5">
        <v>1</v>
      </c>
      <c r="L929" s="5">
        <v>0</v>
      </c>
      <c r="M929" s="5">
        <v>0</v>
      </c>
    </row>
    <row r="930" spans="1:13" hidden="1" x14ac:dyDescent="0.25">
      <c r="A930" t="s">
        <v>941</v>
      </c>
      <c r="B930" s="1">
        <v>6.9788863162934978E-2</v>
      </c>
      <c r="C930" s="2">
        <v>1.988530966052345E-5</v>
      </c>
      <c r="D930" s="2"/>
      <c r="E930" s="2">
        <v>-0.34262757159905172</v>
      </c>
      <c r="F930" s="3">
        <v>59.220522922637002</v>
      </c>
      <c r="G930" s="3">
        <v>2</v>
      </c>
      <c r="H930" s="2">
        <v>1.083775875149019E-4</v>
      </c>
      <c r="I930" s="4">
        <v>0</v>
      </c>
      <c r="J930" s="4">
        <v>-0.34262757159905172</v>
      </c>
      <c r="K930" s="5">
        <v>2</v>
      </c>
      <c r="L930" s="5">
        <v>0</v>
      </c>
      <c r="M930" s="5">
        <v>0</v>
      </c>
    </row>
    <row r="931" spans="1:13" hidden="1" x14ac:dyDescent="0.25">
      <c r="A931" t="s">
        <v>942</v>
      </c>
      <c r="B931" s="1">
        <v>6.9754857889627264E-2</v>
      </c>
      <c r="C931" s="2">
        <v>1.9875620358259911E-5</v>
      </c>
      <c r="D931" s="2"/>
      <c r="E931" s="2">
        <v>6.4224775104175604</v>
      </c>
      <c r="F931" s="3">
        <v>668.66661964766786</v>
      </c>
      <c r="G931" s="3">
        <v>1</v>
      </c>
      <c r="H931" s="2">
        <v>5.4188793757450959E-5</v>
      </c>
      <c r="I931" s="4">
        <v>8.8817841970012523E-16</v>
      </c>
      <c r="J931" s="4">
        <v>6.4224775104175587</v>
      </c>
      <c r="K931" s="5">
        <v>1</v>
      </c>
      <c r="L931" s="5">
        <v>0</v>
      </c>
      <c r="M931" s="5">
        <v>0</v>
      </c>
    </row>
    <row r="932" spans="1:13" hidden="1" x14ac:dyDescent="0.25">
      <c r="A932" t="s">
        <v>943</v>
      </c>
      <c r="B932" s="1">
        <v>6.9539180046177707E-2</v>
      </c>
      <c r="C932" s="2">
        <v>1.9814166130328221E-5</v>
      </c>
      <c r="D932" s="2"/>
      <c r="E932" s="2">
        <v>-0.1646997357670365</v>
      </c>
      <c r="F932" s="3">
        <v>75.249457245447189</v>
      </c>
      <c r="G932" s="3">
        <v>1</v>
      </c>
      <c r="H932" s="2">
        <v>5.4188793757450959E-5</v>
      </c>
      <c r="I932" s="4">
        <v>-0.34845874066541621</v>
      </c>
      <c r="J932" s="4">
        <v>0.18375900489837951</v>
      </c>
      <c r="K932" s="5">
        <v>1</v>
      </c>
      <c r="L932" s="5">
        <v>0</v>
      </c>
      <c r="M932" s="5">
        <v>0</v>
      </c>
    </row>
    <row r="933" spans="1:13" hidden="1" x14ac:dyDescent="0.25">
      <c r="A933" t="s">
        <v>944</v>
      </c>
      <c r="B933" s="1">
        <v>6.9259052306995791E-2</v>
      </c>
      <c r="C933" s="2">
        <v>1.9734347852945919E-5</v>
      </c>
      <c r="D933" s="2"/>
      <c r="E933" s="2">
        <v>4.6801519328534749</v>
      </c>
      <c r="F933" s="3">
        <v>511.70623106578222</v>
      </c>
      <c r="G933" s="3">
        <v>1</v>
      </c>
      <c r="H933" s="2">
        <v>5.4188793757450959E-5</v>
      </c>
      <c r="I933" s="4">
        <v>0</v>
      </c>
      <c r="J933" s="4">
        <v>4.6801519328534749</v>
      </c>
      <c r="K933" s="5">
        <v>1</v>
      </c>
      <c r="L933" s="5">
        <v>0</v>
      </c>
      <c r="M933" s="5">
        <v>0</v>
      </c>
    </row>
    <row r="934" spans="1:13" hidden="1" x14ac:dyDescent="0.25">
      <c r="A934" t="s">
        <v>945</v>
      </c>
      <c r="B934" s="1">
        <v>6.9221026782988415E-2</v>
      </c>
      <c r="C934" s="2">
        <v>1.972351303940088E-5</v>
      </c>
      <c r="D934" s="2"/>
      <c r="E934" s="2">
        <v>-7.3721279010817597E-2</v>
      </c>
      <c r="F934" s="3">
        <v>83.445407594176515</v>
      </c>
      <c r="G934" s="3">
        <v>2</v>
      </c>
      <c r="H934" s="2">
        <v>1.083775875149019E-4</v>
      </c>
      <c r="I934" s="4">
        <v>4.163336342344337E-16</v>
      </c>
      <c r="J934" s="4">
        <v>-7.3721279010818014E-2</v>
      </c>
      <c r="K934" s="5">
        <v>2</v>
      </c>
      <c r="L934" s="5">
        <v>0</v>
      </c>
      <c r="M934" s="5">
        <v>0</v>
      </c>
    </row>
    <row r="935" spans="1:13" hidden="1" x14ac:dyDescent="0.25">
      <c r="A935" t="s">
        <v>946</v>
      </c>
      <c r="B935" s="1">
        <v>6.9210471159615455E-2</v>
      </c>
      <c r="C935" s="2">
        <v>1.972050536983989E-5</v>
      </c>
      <c r="D935" s="2"/>
      <c r="E935" s="2">
        <v>4.8348385640391227E-2</v>
      </c>
      <c r="F935" s="3">
        <v>94.442262742513137</v>
      </c>
      <c r="G935" s="3">
        <v>2</v>
      </c>
      <c r="H935" s="2">
        <v>1.083775875149019E-4</v>
      </c>
      <c r="I935" s="4">
        <v>1.040834085586084E-16</v>
      </c>
      <c r="J935" s="4">
        <v>4.834838564039113E-2</v>
      </c>
      <c r="K935" s="5">
        <v>2</v>
      </c>
      <c r="L935" s="5">
        <v>0</v>
      </c>
      <c r="M935" s="5">
        <v>0</v>
      </c>
    </row>
    <row r="936" spans="1:13" hidden="1" x14ac:dyDescent="0.25">
      <c r="A936" t="s">
        <v>947</v>
      </c>
      <c r="B936" s="1">
        <v>6.9204787086133354E-2</v>
      </c>
      <c r="C936" s="2">
        <v>1.9718885776738619E-5</v>
      </c>
      <c r="D936" s="2"/>
      <c r="E936" s="2">
        <v>-0.67523454565313745</v>
      </c>
      <c r="F936" s="3">
        <v>29.257053083915508</v>
      </c>
      <c r="G936" s="3">
        <v>2</v>
      </c>
      <c r="H936" s="2">
        <v>1.083775875149019E-4</v>
      </c>
      <c r="I936" s="4">
        <v>-1.110223024625157E-16</v>
      </c>
      <c r="J936" s="4">
        <v>-0.67523454565313723</v>
      </c>
      <c r="K936" s="5">
        <v>2</v>
      </c>
      <c r="L936" s="5">
        <v>0</v>
      </c>
      <c r="M936" s="5">
        <v>0</v>
      </c>
    </row>
    <row r="937" spans="1:13" hidden="1" x14ac:dyDescent="0.25">
      <c r="A937" t="s">
        <v>948</v>
      </c>
      <c r="B937" s="1">
        <v>6.9177398051475339E-2</v>
      </c>
      <c r="C937" s="2">
        <v>1.971108167432466E-5</v>
      </c>
      <c r="D937" s="2"/>
      <c r="E937" s="2">
        <v>-0.43502132599813681</v>
      </c>
      <c r="F937" s="3">
        <v>50.897073057833353</v>
      </c>
      <c r="G937" s="3">
        <v>1</v>
      </c>
      <c r="H937" s="2">
        <v>5.4188793757450959E-5</v>
      </c>
      <c r="I937" s="4">
        <v>-0.3151712881191725</v>
      </c>
      <c r="J937" s="4">
        <v>-0.1198500378789643</v>
      </c>
      <c r="K937" s="5">
        <v>1</v>
      </c>
      <c r="L937" s="5">
        <v>0</v>
      </c>
      <c r="M937" s="5">
        <v>0</v>
      </c>
    </row>
    <row r="938" spans="1:13" hidden="1" x14ac:dyDescent="0.25">
      <c r="A938" t="s">
        <v>949</v>
      </c>
      <c r="B938" s="1">
        <v>6.8998037944682747E-2</v>
      </c>
      <c r="C938" s="2">
        <v>1.965997565106148E-5</v>
      </c>
      <c r="D938" s="2"/>
      <c r="E938" s="2">
        <v>-0.17884338009638809</v>
      </c>
      <c r="F938" s="3">
        <v>73.975302782879552</v>
      </c>
      <c r="G938" s="3">
        <v>1</v>
      </c>
      <c r="H938" s="2">
        <v>5.4188793757450959E-5</v>
      </c>
      <c r="I938" s="4">
        <v>-1.9428902930940239E-16</v>
      </c>
      <c r="J938" s="4">
        <v>-0.17884338009638789</v>
      </c>
      <c r="K938" s="5">
        <v>1</v>
      </c>
      <c r="L938" s="5">
        <v>0</v>
      </c>
      <c r="M938" s="5">
        <v>0</v>
      </c>
    </row>
    <row r="939" spans="1:13" hidden="1" x14ac:dyDescent="0.25">
      <c r="A939" t="s">
        <v>950</v>
      </c>
      <c r="B939" s="1">
        <v>6.8983097210219863E-2</v>
      </c>
      <c r="C939" s="2">
        <v>1.9655718508619481E-5</v>
      </c>
      <c r="D939" s="2"/>
      <c r="E939" s="2">
        <v>0.54596263794270561</v>
      </c>
      <c r="F939" s="3">
        <v>139.27069630913391</v>
      </c>
      <c r="G939" s="3">
        <v>1</v>
      </c>
      <c r="H939" s="2">
        <v>5.4188793757450959E-5</v>
      </c>
      <c r="I939" s="4">
        <v>1.110223024625157E-16</v>
      </c>
      <c r="J939" s="4">
        <v>0.5459626379427055</v>
      </c>
      <c r="K939" s="5">
        <v>1</v>
      </c>
      <c r="L939" s="5">
        <v>0</v>
      </c>
      <c r="M939" s="5">
        <v>0</v>
      </c>
    </row>
    <row r="940" spans="1:13" hidden="1" x14ac:dyDescent="0.25">
      <c r="A940" t="s">
        <v>951</v>
      </c>
      <c r="B940" s="1">
        <v>6.8960723744024344E-2</v>
      </c>
      <c r="C940" s="2">
        <v>1.964934351863808E-5</v>
      </c>
      <c r="D940" s="2"/>
      <c r="E940" s="2">
        <v>1.1166237087052091</v>
      </c>
      <c r="F940" s="3">
        <v>190.67967782719521</v>
      </c>
      <c r="G940" s="3">
        <v>3</v>
      </c>
      <c r="H940" s="2">
        <v>1.6256638127235291E-4</v>
      </c>
      <c r="I940" s="4">
        <v>0</v>
      </c>
      <c r="J940" s="4">
        <v>1.1166237087052091</v>
      </c>
      <c r="K940" s="5">
        <v>3</v>
      </c>
      <c r="L940" s="5">
        <v>0</v>
      </c>
      <c r="M940" s="5">
        <v>0</v>
      </c>
    </row>
    <row r="941" spans="1:13" hidden="1" x14ac:dyDescent="0.25">
      <c r="A941" t="s">
        <v>952</v>
      </c>
      <c r="B941" s="1">
        <v>6.8944409852157371E-2</v>
      </c>
      <c r="C941" s="2">
        <v>1.9644695115198901E-5</v>
      </c>
      <c r="D941" s="2"/>
      <c r="E941" s="2">
        <v>1.8579737108085841</v>
      </c>
      <c r="F941" s="3">
        <v>257.46546453877642</v>
      </c>
      <c r="G941" s="3">
        <v>2</v>
      </c>
      <c r="H941" s="2">
        <v>1.083775875149019E-4</v>
      </c>
      <c r="I941" s="4">
        <v>2.2204460492503131E-16</v>
      </c>
      <c r="J941" s="4">
        <v>1.8579737108085841</v>
      </c>
      <c r="K941" s="5">
        <v>2</v>
      </c>
      <c r="L941" s="5">
        <v>0</v>
      </c>
      <c r="M941" s="5">
        <v>0</v>
      </c>
    </row>
    <row r="942" spans="1:13" hidden="1" x14ac:dyDescent="0.25">
      <c r="A942" t="s">
        <v>953</v>
      </c>
      <c r="B942" s="1">
        <v>6.8881134295185775E-2</v>
      </c>
      <c r="C942" s="2">
        <v>1.9626665676298529E-5</v>
      </c>
      <c r="D942" s="2"/>
      <c r="E942" s="2">
        <v>0.1625750534734163</v>
      </c>
      <c r="F942" s="3">
        <v>104.732568067969</v>
      </c>
      <c r="G942" s="3">
        <v>1</v>
      </c>
      <c r="H942" s="2">
        <v>5.4188793757450959E-5</v>
      </c>
      <c r="I942" s="4">
        <v>-5.5511151231257827E-17</v>
      </c>
      <c r="J942" s="4">
        <v>0.1625750534734163</v>
      </c>
      <c r="K942" s="5">
        <v>1</v>
      </c>
      <c r="L942" s="5">
        <v>0</v>
      </c>
      <c r="M942" s="5">
        <v>0</v>
      </c>
    </row>
    <row r="943" spans="1:13" hidden="1" x14ac:dyDescent="0.25">
      <c r="A943" t="s">
        <v>954</v>
      </c>
      <c r="B943" s="1">
        <v>6.8830712898986346E-2</v>
      </c>
      <c r="C943" s="2">
        <v>1.961229884136957E-5</v>
      </c>
      <c r="D943" s="2"/>
      <c r="E943" s="2">
        <v>0.4303988772998954</v>
      </c>
      <c r="F943" s="3">
        <v>128.85993668415091</v>
      </c>
      <c r="G943" s="3">
        <v>1</v>
      </c>
      <c r="H943" s="2">
        <v>5.4188793757450959E-5</v>
      </c>
      <c r="I943" s="4">
        <v>-1.110223024625157E-16</v>
      </c>
      <c r="J943" s="4">
        <v>0.43039887729989562</v>
      </c>
      <c r="K943" s="5">
        <v>1</v>
      </c>
      <c r="L943" s="5">
        <v>0</v>
      </c>
      <c r="M943" s="5">
        <v>0</v>
      </c>
    </row>
    <row r="944" spans="1:13" hidden="1" x14ac:dyDescent="0.25">
      <c r="A944" t="s">
        <v>955</v>
      </c>
      <c r="B944" s="1">
        <v>6.8780836189006433E-2</v>
      </c>
      <c r="C944" s="2">
        <v>1.959808720676416E-5</v>
      </c>
      <c r="D944" s="2"/>
      <c r="E944" s="2">
        <v>0.55588314305350295</v>
      </c>
      <c r="F944" s="3">
        <v>140.16440203048151</v>
      </c>
      <c r="G944" s="3">
        <v>1</v>
      </c>
      <c r="H944" s="2">
        <v>5.4188793757450959E-5</v>
      </c>
      <c r="I944" s="4">
        <v>1.110223024625157E-16</v>
      </c>
      <c r="J944" s="4">
        <v>0.55588314305350284</v>
      </c>
      <c r="K944" s="5">
        <v>1</v>
      </c>
      <c r="L944" s="5">
        <v>0</v>
      </c>
      <c r="M944" s="5">
        <v>0</v>
      </c>
    </row>
    <row r="945" spans="1:13" hidden="1" x14ac:dyDescent="0.25">
      <c r="A945" t="s">
        <v>956</v>
      </c>
      <c r="B945" s="1">
        <v>6.8685813567606807E-2</v>
      </c>
      <c r="C945" s="2">
        <v>1.9571011908992441E-5</v>
      </c>
      <c r="D945" s="2"/>
      <c r="E945" s="2">
        <v>8.9559712681796633E-2</v>
      </c>
      <c r="F945" s="3">
        <v>98.154855836300896</v>
      </c>
      <c r="G945" s="3">
        <v>1</v>
      </c>
      <c r="H945" s="2">
        <v>5.4188793757450959E-5</v>
      </c>
      <c r="I945" s="4">
        <v>8.3266726846886741E-17</v>
      </c>
      <c r="J945" s="4">
        <v>8.9559712681796549E-2</v>
      </c>
      <c r="K945" s="5">
        <v>1</v>
      </c>
      <c r="L945" s="5">
        <v>0</v>
      </c>
      <c r="M945" s="5">
        <v>0</v>
      </c>
    </row>
    <row r="946" spans="1:13" hidden="1" x14ac:dyDescent="0.25">
      <c r="A946" t="s">
        <v>957</v>
      </c>
      <c r="B946" s="1">
        <v>6.8673341416843559E-2</v>
      </c>
      <c r="C946" s="2">
        <v>1.9567458153152041E-5</v>
      </c>
      <c r="D946" s="2"/>
      <c r="E946" s="2">
        <v>-0.1694965392912692</v>
      </c>
      <c r="F946" s="3">
        <v>74.81732897113973</v>
      </c>
      <c r="G946" s="3">
        <v>1</v>
      </c>
      <c r="H946" s="2">
        <v>5.4188793757450959E-5</v>
      </c>
      <c r="I946" s="4">
        <v>5.5511151231257827E-17</v>
      </c>
      <c r="J946" s="4">
        <v>-0.16949653929126929</v>
      </c>
      <c r="K946" s="5">
        <v>1</v>
      </c>
      <c r="L946" s="5">
        <v>0</v>
      </c>
      <c r="M946" s="5">
        <v>0</v>
      </c>
    </row>
    <row r="947" spans="1:13" hidden="1" x14ac:dyDescent="0.25">
      <c r="A947" t="s">
        <v>958</v>
      </c>
      <c r="B947" s="1">
        <v>6.857076007991797E-2</v>
      </c>
      <c r="C947" s="2">
        <v>1.9538229110612791E-5</v>
      </c>
      <c r="D947" s="2"/>
      <c r="E947" s="2">
        <v>1.677094321399788</v>
      </c>
      <c r="F947" s="3">
        <v>241.17063444866679</v>
      </c>
      <c r="G947" s="3">
        <v>1</v>
      </c>
      <c r="H947" s="2">
        <v>5.4188793757450959E-5</v>
      </c>
      <c r="I947" s="4">
        <v>0</v>
      </c>
      <c r="J947" s="4">
        <v>1.677094321399788</v>
      </c>
      <c r="K947" s="5">
        <v>1</v>
      </c>
      <c r="L947" s="5">
        <v>0</v>
      </c>
      <c r="M947" s="5">
        <v>0</v>
      </c>
    </row>
    <row r="948" spans="1:13" hidden="1" x14ac:dyDescent="0.25">
      <c r="A948" t="s">
        <v>959</v>
      </c>
      <c r="B948" s="1">
        <v>6.8425222985526335E-2</v>
      </c>
      <c r="C948" s="2">
        <v>1.949676045704963E-5</v>
      </c>
      <c r="D948" s="2"/>
      <c r="E948" s="2">
        <v>0.3802308010121036</v>
      </c>
      <c r="F948" s="3">
        <v>124.3404594693661</v>
      </c>
      <c r="G948" s="3">
        <v>1</v>
      </c>
      <c r="H948" s="2">
        <v>5.4188793757450959E-5</v>
      </c>
      <c r="I948" s="4">
        <v>5.5511151231257827E-17</v>
      </c>
      <c r="J948" s="4">
        <v>0.38023080101210349</v>
      </c>
      <c r="K948" s="5">
        <v>1</v>
      </c>
      <c r="L948" s="5">
        <v>0</v>
      </c>
      <c r="M948" s="5">
        <v>0</v>
      </c>
    </row>
    <row r="949" spans="1:13" hidden="1" x14ac:dyDescent="0.25">
      <c r="A949" t="s">
        <v>960</v>
      </c>
      <c r="B949" s="1">
        <v>6.8297638010152595E-2</v>
      </c>
      <c r="C949" s="2">
        <v>1.946040699564685E-5</v>
      </c>
      <c r="D949" s="2"/>
      <c r="E949" s="2">
        <v>3.8611053092906422</v>
      </c>
      <c r="F949" s="3">
        <v>437.92101092292108</v>
      </c>
      <c r="G949" s="3">
        <v>1</v>
      </c>
      <c r="H949" s="2">
        <v>5.4188793757450959E-5</v>
      </c>
      <c r="I949" s="4">
        <v>4.4408920985006262E-16</v>
      </c>
      <c r="J949" s="4">
        <v>3.8611053092906422</v>
      </c>
      <c r="K949" s="5">
        <v>1</v>
      </c>
      <c r="L949" s="5">
        <v>0</v>
      </c>
      <c r="M949" s="5">
        <v>0</v>
      </c>
    </row>
    <row r="950" spans="1:13" hidden="1" x14ac:dyDescent="0.25">
      <c r="A950" t="s">
        <v>961</v>
      </c>
      <c r="B950" s="1">
        <v>6.8181841615044037E-2</v>
      </c>
      <c r="C950" s="2">
        <v>1.9427412516729349E-5</v>
      </c>
      <c r="D950" s="2"/>
      <c r="E950" s="2">
        <v>-2.0771256499228171E-2</v>
      </c>
      <c r="F950" s="3">
        <v>88.215501206908883</v>
      </c>
      <c r="G950" s="3">
        <v>2</v>
      </c>
      <c r="H950" s="2">
        <v>1.083775875149019E-4</v>
      </c>
      <c r="I950" s="4">
        <v>1.387778780781446E-17</v>
      </c>
      <c r="J950" s="4">
        <v>-2.0771256499228188E-2</v>
      </c>
      <c r="K950" s="5">
        <v>2</v>
      </c>
      <c r="L950" s="5">
        <v>0</v>
      </c>
      <c r="M950" s="5">
        <v>0</v>
      </c>
    </row>
    <row r="951" spans="1:13" hidden="1" x14ac:dyDescent="0.25">
      <c r="A951" t="s">
        <v>962</v>
      </c>
      <c r="B951" s="1">
        <v>6.8056647128965406E-2</v>
      </c>
      <c r="C951" s="2">
        <v>1.939174019007673E-5</v>
      </c>
      <c r="D951" s="2"/>
      <c r="E951" s="2">
        <v>0.82182366552584551</v>
      </c>
      <c r="F951" s="3">
        <v>164.12211021340769</v>
      </c>
      <c r="G951" s="3">
        <v>1</v>
      </c>
      <c r="H951" s="2">
        <v>5.4188793757450959E-5</v>
      </c>
      <c r="I951" s="4">
        <v>-1.110223024625157E-16</v>
      </c>
      <c r="J951" s="4">
        <v>0.82182366552584563</v>
      </c>
      <c r="K951" s="5">
        <v>1</v>
      </c>
      <c r="L951" s="5">
        <v>1</v>
      </c>
      <c r="M951" s="5">
        <v>1</v>
      </c>
    </row>
    <row r="952" spans="1:13" hidden="1" x14ac:dyDescent="0.25">
      <c r="A952" t="s">
        <v>963</v>
      </c>
      <c r="B952" s="1">
        <v>6.7918058820230692E-2</v>
      </c>
      <c r="C952" s="2">
        <v>1.9352251490739641E-5</v>
      </c>
      <c r="D952" s="2"/>
      <c r="E952" s="2">
        <v>1.343719519058695E-2</v>
      </c>
      <c r="F952" s="3">
        <v>91.297228261346604</v>
      </c>
      <c r="G952" s="3">
        <v>2</v>
      </c>
      <c r="H952" s="2">
        <v>1.083775875149019E-4</v>
      </c>
      <c r="I952" s="4">
        <v>1.006139616066548E-16</v>
      </c>
      <c r="J952" s="4">
        <v>1.3437195190586851E-2</v>
      </c>
      <c r="K952" s="5">
        <v>2</v>
      </c>
      <c r="L952" s="5">
        <v>0</v>
      </c>
      <c r="M952" s="5">
        <v>0</v>
      </c>
    </row>
    <row r="953" spans="1:13" hidden="1" x14ac:dyDescent="0.25">
      <c r="A953" t="s">
        <v>964</v>
      </c>
      <c r="B953" s="1">
        <v>6.7801073637660456E-2</v>
      </c>
      <c r="C953" s="2">
        <v>1.931891828432717E-5</v>
      </c>
      <c r="D953" s="2"/>
      <c r="E953" s="2">
        <v>1.7573975621914639</v>
      </c>
      <c r="F953" s="3">
        <v>248.40488965409639</v>
      </c>
      <c r="G953" s="3">
        <v>1</v>
      </c>
      <c r="H953" s="2">
        <v>5.4188793757450959E-5</v>
      </c>
      <c r="I953" s="4">
        <v>0</v>
      </c>
      <c r="J953" s="4">
        <v>1.7573975621914639</v>
      </c>
      <c r="K953" s="5">
        <v>1</v>
      </c>
      <c r="L953" s="5">
        <v>0</v>
      </c>
      <c r="M953" s="5">
        <v>0</v>
      </c>
    </row>
    <row r="954" spans="1:13" hidden="1" x14ac:dyDescent="0.25">
      <c r="A954" t="s">
        <v>965</v>
      </c>
      <c r="B954" s="1">
        <v>6.7641040266776906E-2</v>
      </c>
      <c r="C954" s="2">
        <v>1.9273319130080919E-5</v>
      </c>
      <c r="D954" s="2"/>
      <c r="E954" s="2">
        <v>3.828009373373864E-2</v>
      </c>
      <c r="F954" s="3">
        <v>93.535243394135421</v>
      </c>
      <c r="G954" s="3">
        <v>1</v>
      </c>
      <c r="H954" s="2">
        <v>5.4188793757450959E-5</v>
      </c>
      <c r="I954" s="4">
        <v>5.5511151231257827E-17</v>
      </c>
      <c r="J954" s="4">
        <v>3.8280093733738578E-2</v>
      </c>
      <c r="K954" s="5">
        <v>1</v>
      </c>
      <c r="L954" s="5">
        <v>0</v>
      </c>
      <c r="M954" s="5">
        <v>0</v>
      </c>
    </row>
    <row r="955" spans="1:13" hidden="1" x14ac:dyDescent="0.25">
      <c r="A955" t="s">
        <v>966</v>
      </c>
      <c r="B955" s="1">
        <v>6.7604015604203746E-2</v>
      </c>
      <c r="C955" s="2">
        <v>1.9262769497274541E-5</v>
      </c>
      <c r="D955" s="2"/>
      <c r="E955" s="2">
        <v>1.593427550372444</v>
      </c>
      <c r="F955" s="3">
        <v>233.6333698518836</v>
      </c>
      <c r="G955" s="3">
        <v>1</v>
      </c>
      <c r="H955" s="2">
        <v>5.4188793757450959E-5</v>
      </c>
      <c r="I955" s="4">
        <v>-6.6613381477509392E-16</v>
      </c>
      <c r="J955" s="4">
        <v>1.593427550372444</v>
      </c>
      <c r="K955" s="5">
        <v>1</v>
      </c>
      <c r="L955" s="5">
        <v>0</v>
      </c>
      <c r="M955" s="5">
        <v>0</v>
      </c>
    </row>
    <row r="956" spans="1:13" hidden="1" x14ac:dyDescent="0.25">
      <c r="A956" t="s">
        <v>967</v>
      </c>
      <c r="B956" s="1">
        <v>6.7493483372334323E-2</v>
      </c>
      <c r="C956" s="2">
        <v>1.923127496421329E-5</v>
      </c>
      <c r="D956" s="2"/>
      <c r="E956" s="2">
        <v>2.555748981777306E-2</v>
      </c>
      <c r="F956" s="3">
        <v>92.389105794975976</v>
      </c>
      <c r="G956" s="3">
        <v>1</v>
      </c>
      <c r="H956" s="2">
        <v>5.4188793757450959E-5</v>
      </c>
      <c r="I956" s="4">
        <v>1.040834085586084E-16</v>
      </c>
      <c r="J956" s="4">
        <v>2.555748981777296E-2</v>
      </c>
      <c r="K956" s="5">
        <v>1</v>
      </c>
      <c r="L956" s="5">
        <v>0</v>
      </c>
      <c r="M956" s="5">
        <v>0</v>
      </c>
    </row>
    <row r="957" spans="1:13" hidden="1" x14ac:dyDescent="0.25">
      <c r="A957" t="s">
        <v>968</v>
      </c>
      <c r="B957" s="1">
        <v>6.73906454695017E-2</v>
      </c>
      <c r="C957" s="2">
        <v>1.9201972816994029E-5</v>
      </c>
      <c r="D957" s="2"/>
      <c r="E957" s="2">
        <v>-8.4115056336184546E-2</v>
      </c>
      <c r="F957" s="3">
        <v>82.509066333489727</v>
      </c>
      <c r="G957" s="3">
        <v>1</v>
      </c>
      <c r="H957" s="2">
        <v>5.4188793757450959E-5</v>
      </c>
      <c r="I957" s="4">
        <v>2.775557561562891E-17</v>
      </c>
      <c r="J957" s="4">
        <v>-8.4115056336184574E-2</v>
      </c>
      <c r="K957" s="5">
        <v>1</v>
      </c>
      <c r="L957" s="5">
        <v>0</v>
      </c>
      <c r="M957" s="5">
        <v>0</v>
      </c>
    </row>
    <row r="958" spans="1:13" hidden="1" x14ac:dyDescent="0.25">
      <c r="A958" t="s">
        <v>969</v>
      </c>
      <c r="B958" s="1">
        <v>6.7380352128295948E-2</v>
      </c>
      <c r="C958" s="2">
        <v>1.919903988087727E-5</v>
      </c>
      <c r="D958" s="2"/>
      <c r="E958" s="2">
        <v>3.786856446588482</v>
      </c>
      <c r="F958" s="3">
        <v>431.2321747538582</v>
      </c>
      <c r="G958" s="3">
        <v>2</v>
      </c>
      <c r="H958" s="2">
        <v>1.083775875149019E-4</v>
      </c>
      <c r="I958" s="4">
        <v>8.8817841970012523E-16</v>
      </c>
      <c r="J958" s="4">
        <v>3.7868564465884811</v>
      </c>
      <c r="K958" s="5">
        <v>2</v>
      </c>
      <c r="L958" s="5">
        <v>0</v>
      </c>
      <c r="M958" s="5">
        <v>0</v>
      </c>
    </row>
    <row r="959" spans="1:13" hidden="1" x14ac:dyDescent="0.25">
      <c r="A959" t="s">
        <v>970</v>
      </c>
      <c r="B959" s="1">
        <v>6.7188783936901655E-2</v>
      </c>
      <c r="C959" s="2">
        <v>1.9144455343540869E-5</v>
      </c>
      <c r="D959" s="2"/>
      <c r="E959" s="2">
        <v>0.5312005045119379</v>
      </c>
      <c r="F959" s="3">
        <v>137.94082419485869</v>
      </c>
      <c r="G959" s="3">
        <v>1</v>
      </c>
      <c r="H959" s="2">
        <v>5.4188793757450959E-5</v>
      </c>
      <c r="I959" s="4">
        <v>-1.110223024625157E-16</v>
      </c>
      <c r="J959" s="4">
        <v>0.53120050451193801</v>
      </c>
      <c r="K959" s="5">
        <v>1</v>
      </c>
      <c r="L959" s="5">
        <v>0</v>
      </c>
      <c r="M959" s="5">
        <v>1</v>
      </c>
    </row>
    <row r="960" spans="1:13" hidden="1" x14ac:dyDescent="0.25">
      <c r="A960" t="s">
        <v>971</v>
      </c>
      <c r="B960" s="1">
        <v>6.7118324485792316E-2</v>
      </c>
      <c r="C960" s="2">
        <v>1.9124378959712289E-5</v>
      </c>
      <c r="D960" s="2"/>
      <c r="E960" s="2">
        <v>2.7505025543091062</v>
      </c>
      <c r="F960" s="3">
        <v>337.87045652210168</v>
      </c>
      <c r="G960" s="3">
        <v>1</v>
      </c>
      <c r="H960" s="2">
        <v>5.4188793757450959E-5</v>
      </c>
      <c r="I960" s="4">
        <v>0</v>
      </c>
      <c r="J960" s="4">
        <v>2.7505025543091062</v>
      </c>
      <c r="K960" s="5">
        <v>1</v>
      </c>
      <c r="L960" s="5">
        <v>0</v>
      </c>
      <c r="M960" s="5">
        <v>0</v>
      </c>
    </row>
    <row r="961" spans="1:13" hidden="1" x14ac:dyDescent="0.25">
      <c r="A961" t="s">
        <v>972</v>
      </c>
      <c r="B961" s="1">
        <v>6.7114707939719576E-2</v>
      </c>
      <c r="C961" s="2">
        <v>1.9123348478123981E-5</v>
      </c>
      <c r="D961" s="2"/>
      <c r="E961" s="2">
        <v>-0.78756823162957912</v>
      </c>
      <c r="F961" s="3">
        <v>19.13728027638507</v>
      </c>
      <c r="G961" s="3">
        <v>3</v>
      </c>
      <c r="H961" s="2">
        <v>1.6256638127235291E-4</v>
      </c>
      <c r="I961" s="4">
        <v>0</v>
      </c>
      <c r="J961" s="4">
        <v>-0.78756823162957912</v>
      </c>
      <c r="K961" s="5">
        <v>3</v>
      </c>
      <c r="L961" s="5">
        <v>0</v>
      </c>
      <c r="M961" s="5">
        <v>0</v>
      </c>
    </row>
    <row r="962" spans="1:13" hidden="1" x14ac:dyDescent="0.25">
      <c r="A962" t="s">
        <v>973</v>
      </c>
      <c r="B962" s="1">
        <v>6.7093841220032868E-2</v>
      </c>
      <c r="C962" s="2">
        <v>1.9117402813389469E-5</v>
      </c>
      <c r="D962" s="2"/>
      <c r="E962" s="2">
        <v>0.31905476037855718</v>
      </c>
      <c r="F962" s="3">
        <v>118.8293109025366</v>
      </c>
      <c r="G962" s="3">
        <v>3</v>
      </c>
      <c r="H962" s="2">
        <v>1.6256638127235291E-4</v>
      </c>
      <c r="I962" s="4">
        <v>5.5511151231257827E-17</v>
      </c>
      <c r="J962" s="4">
        <v>0.31905476037855712</v>
      </c>
      <c r="K962" s="5">
        <v>2</v>
      </c>
      <c r="L962" s="5">
        <v>0</v>
      </c>
      <c r="M962" s="5">
        <v>0</v>
      </c>
    </row>
    <row r="963" spans="1:13" hidden="1" x14ac:dyDescent="0.25">
      <c r="A963" t="s">
        <v>974</v>
      </c>
      <c r="B963" s="1">
        <v>6.6943124684968894E-2</v>
      </c>
      <c r="C963" s="2">
        <v>1.9074458354418829E-5</v>
      </c>
      <c r="D963" s="2"/>
      <c r="E963" s="2">
        <v>-0.81146201529175621</v>
      </c>
      <c r="F963" s="3">
        <v>16.984767785837711</v>
      </c>
      <c r="G963" s="3">
        <v>5</v>
      </c>
      <c r="H963" s="2">
        <v>2.7094396878725479E-4</v>
      </c>
      <c r="I963" s="4">
        <v>0</v>
      </c>
      <c r="J963" s="4">
        <v>-0.81146201529175621</v>
      </c>
      <c r="K963" s="5">
        <v>5</v>
      </c>
      <c r="L963" s="5">
        <v>0</v>
      </c>
      <c r="M963" s="5">
        <v>0</v>
      </c>
    </row>
    <row r="964" spans="1:13" hidden="1" x14ac:dyDescent="0.25">
      <c r="A964" t="s">
        <v>975</v>
      </c>
      <c r="B964" s="1">
        <v>6.6827382650804054E-2</v>
      </c>
      <c r="C964" s="2">
        <v>1.904147936485235E-5</v>
      </c>
      <c r="D964" s="2"/>
      <c r="E964" s="2">
        <v>0.38759629684041119</v>
      </c>
      <c r="F964" s="3">
        <v>125.0039927964299</v>
      </c>
      <c r="G964" s="3">
        <v>2</v>
      </c>
      <c r="H964" s="2">
        <v>1.083775875149019E-4</v>
      </c>
      <c r="I964" s="4">
        <v>-2.2204460492503131E-16</v>
      </c>
      <c r="J964" s="4">
        <v>0.38759629684041141</v>
      </c>
      <c r="K964" s="5">
        <v>2</v>
      </c>
      <c r="L964" s="5">
        <v>0</v>
      </c>
      <c r="M964" s="5">
        <v>0</v>
      </c>
    </row>
    <row r="965" spans="1:13" hidden="1" x14ac:dyDescent="0.25">
      <c r="A965" t="s">
        <v>976</v>
      </c>
      <c r="B965" s="1">
        <v>6.6798325133662267E-2</v>
      </c>
      <c r="C965" s="2">
        <v>1.9033199852905281E-5</v>
      </c>
      <c r="D965" s="2"/>
      <c r="E965" s="2">
        <v>-0.17768122926598909</v>
      </c>
      <c r="F965" s="3">
        <v>74.07999713408411</v>
      </c>
      <c r="G965" s="3">
        <v>1</v>
      </c>
      <c r="H965" s="2">
        <v>5.4188793757450959E-5</v>
      </c>
      <c r="I965" s="4">
        <v>5.5511151231257827E-17</v>
      </c>
      <c r="J965" s="4">
        <v>-0.17768122926598909</v>
      </c>
      <c r="K965" s="5">
        <v>1</v>
      </c>
      <c r="L965" s="5">
        <v>0</v>
      </c>
      <c r="M965" s="5">
        <v>0</v>
      </c>
    </row>
    <row r="966" spans="1:13" hidden="1" x14ac:dyDescent="0.25">
      <c r="A966" t="s">
        <v>977</v>
      </c>
      <c r="B966" s="1">
        <v>6.6560597332982988E-2</v>
      </c>
      <c r="C966" s="2">
        <v>1.8965462814111771E-5</v>
      </c>
      <c r="D966" s="2"/>
      <c r="E966" s="2">
        <v>-0.23583600197986809</v>
      </c>
      <c r="F966" s="3">
        <v>68.841024670726625</v>
      </c>
      <c r="G966" s="3">
        <v>1</v>
      </c>
      <c r="H966" s="2">
        <v>5.4188793757450959E-5</v>
      </c>
      <c r="I966" s="4">
        <v>-2.775557561562891E-17</v>
      </c>
      <c r="J966" s="4">
        <v>-0.23583600197986809</v>
      </c>
      <c r="K966" s="5">
        <v>1</v>
      </c>
      <c r="L966" s="5">
        <v>0</v>
      </c>
      <c r="M966" s="5">
        <v>0</v>
      </c>
    </row>
    <row r="967" spans="1:13" hidden="1" x14ac:dyDescent="0.25">
      <c r="A967" t="s">
        <v>978</v>
      </c>
      <c r="B967" s="1">
        <v>6.6497235976948621E-2</v>
      </c>
      <c r="C967" s="2">
        <v>1.894740892803094E-5</v>
      </c>
      <c r="D967" s="2"/>
      <c r="E967" s="2">
        <v>-6.5688767334332931E-2</v>
      </c>
      <c r="F967" s="3">
        <v>84.169030188176578</v>
      </c>
      <c r="G967" s="3">
        <v>2</v>
      </c>
      <c r="H967" s="2">
        <v>1.083775875149019E-4</v>
      </c>
      <c r="I967" s="4">
        <v>4.163336342344337E-17</v>
      </c>
      <c r="J967" s="4">
        <v>-6.5688767334332973E-2</v>
      </c>
      <c r="K967" s="5">
        <v>2</v>
      </c>
      <c r="L967" s="5">
        <v>0</v>
      </c>
      <c r="M967" s="5">
        <v>0</v>
      </c>
    </row>
    <row r="968" spans="1:13" hidden="1" x14ac:dyDescent="0.25">
      <c r="A968" t="s">
        <v>979</v>
      </c>
      <c r="B968" s="1">
        <v>6.6402280323644355E-2</v>
      </c>
      <c r="C968" s="2">
        <v>1.8920352711832599E-5</v>
      </c>
      <c r="D968" s="2"/>
      <c r="E968" s="2">
        <v>0.46161155979001062</v>
      </c>
      <c r="F968" s="3">
        <v>131.67178473104741</v>
      </c>
      <c r="G968" s="3">
        <v>1</v>
      </c>
      <c r="H968" s="2">
        <v>5.4188793757450959E-5</v>
      </c>
      <c r="I968" s="4">
        <v>-1.110223024625157E-16</v>
      </c>
      <c r="J968" s="4">
        <v>0.46161155979001067</v>
      </c>
      <c r="K968" s="5">
        <v>1</v>
      </c>
      <c r="L968" s="5">
        <v>0</v>
      </c>
      <c r="M968" s="5">
        <v>0</v>
      </c>
    </row>
    <row r="969" spans="1:13" hidden="1" x14ac:dyDescent="0.25">
      <c r="A969" t="s">
        <v>980</v>
      </c>
      <c r="B969" s="1">
        <v>6.6214890699525408E-2</v>
      </c>
      <c r="C969" s="2">
        <v>1.8866958795756411E-5</v>
      </c>
      <c r="D969" s="2"/>
      <c r="E969" s="2">
        <v>0.20295005130229771</v>
      </c>
      <c r="F969" s="3">
        <v>108.36981900993931</v>
      </c>
      <c r="G969" s="3">
        <v>1</v>
      </c>
      <c r="H969" s="2">
        <v>5.4188793757450959E-5</v>
      </c>
      <c r="I969" s="4">
        <v>8.3266726846886741E-17</v>
      </c>
      <c r="J969" s="4">
        <v>0.2029500513022976</v>
      </c>
      <c r="K969" s="5">
        <v>1</v>
      </c>
      <c r="L969" s="5">
        <v>0</v>
      </c>
      <c r="M969" s="5">
        <v>0</v>
      </c>
    </row>
    <row r="970" spans="1:13" hidden="1" x14ac:dyDescent="0.25">
      <c r="A970" t="s">
        <v>981</v>
      </c>
      <c r="B970" s="1">
        <v>6.6206134975397873E-2</v>
      </c>
      <c r="C970" s="2">
        <v>1.8864463981001061E-5</v>
      </c>
      <c r="D970" s="2"/>
      <c r="E970" s="2">
        <v>1.2860494490040091</v>
      </c>
      <c r="F970" s="3">
        <v>205.94268628870941</v>
      </c>
      <c r="G970" s="3">
        <v>1</v>
      </c>
      <c r="H970" s="2">
        <v>5.4188793757450959E-5</v>
      </c>
      <c r="I970" s="4">
        <v>2.2204460492503131E-16</v>
      </c>
      <c r="J970" s="4">
        <v>1.2860494490040091</v>
      </c>
      <c r="K970" s="5">
        <v>1</v>
      </c>
      <c r="L970" s="5">
        <v>0</v>
      </c>
      <c r="M970" s="5">
        <v>0</v>
      </c>
    </row>
    <row r="971" spans="1:13" hidden="1" x14ac:dyDescent="0.25">
      <c r="A971" t="s">
        <v>982</v>
      </c>
      <c r="B971" s="1">
        <v>6.6205900452330851E-2</v>
      </c>
      <c r="C971" s="2">
        <v>1.8864397157103972E-5</v>
      </c>
      <c r="D971" s="2"/>
      <c r="E971" s="2">
        <v>0.49518142891064149</v>
      </c>
      <c r="F971" s="3">
        <v>134.69598397926359</v>
      </c>
      <c r="G971" s="3">
        <v>1</v>
      </c>
      <c r="H971" s="2">
        <v>5.4188793757450959E-5</v>
      </c>
      <c r="I971" s="4">
        <v>5.5511151231257827E-17</v>
      </c>
      <c r="J971" s="4">
        <v>0.49518142891064149</v>
      </c>
      <c r="K971" s="5">
        <v>1</v>
      </c>
      <c r="L971" s="5">
        <v>0</v>
      </c>
      <c r="M971" s="5">
        <v>1</v>
      </c>
    </row>
    <row r="972" spans="1:13" hidden="1" x14ac:dyDescent="0.25">
      <c r="A972" t="s">
        <v>983</v>
      </c>
      <c r="B972" s="1">
        <v>6.6193993897538939E-2</v>
      </c>
      <c r="C972" s="2">
        <v>1.886100455951323E-5</v>
      </c>
      <c r="D972" s="2"/>
      <c r="E972" s="2">
        <v>0.22161236655195871</v>
      </c>
      <c r="F972" s="3">
        <v>110.0510456940587</v>
      </c>
      <c r="G972" s="3">
        <v>1</v>
      </c>
      <c r="H972" s="2">
        <v>5.4188793757450959E-5</v>
      </c>
      <c r="I972" s="4">
        <v>2.775557561562891E-17</v>
      </c>
      <c r="J972" s="4">
        <v>0.22161236655195871</v>
      </c>
      <c r="K972" s="5">
        <v>1</v>
      </c>
      <c r="L972" s="5">
        <v>0</v>
      </c>
      <c r="M972" s="5">
        <v>0</v>
      </c>
    </row>
    <row r="973" spans="1:13" hidden="1" x14ac:dyDescent="0.25">
      <c r="A973" t="s">
        <v>984</v>
      </c>
      <c r="B973" s="1">
        <v>6.6188536760886402E-2</v>
      </c>
      <c r="C973" s="2">
        <v>1.8859449628722309E-5</v>
      </c>
      <c r="D973" s="2"/>
      <c r="E973" s="2">
        <v>0.59143290751143973</v>
      </c>
      <c r="F973" s="3">
        <v>143.36696354663249</v>
      </c>
      <c r="G973" s="3">
        <v>1</v>
      </c>
      <c r="H973" s="2">
        <v>5.4188793757450959E-5</v>
      </c>
      <c r="I973" s="4">
        <v>0</v>
      </c>
      <c r="J973" s="4">
        <v>0.59143290751143973</v>
      </c>
      <c r="K973" s="5">
        <v>1</v>
      </c>
      <c r="L973" s="5">
        <v>0</v>
      </c>
      <c r="M973" s="5">
        <v>0</v>
      </c>
    </row>
    <row r="974" spans="1:13" hidden="1" x14ac:dyDescent="0.25">
      <c r="A974" t="s">
        <v>985</v>
      </c>
      <c r="B974" s="1">
        <v>6.6138809776077293E-2</v>
      </c>
      <c r="C974" s="2">
        <v>1.884528065610121E-5</v>
      </c>
      <c r="D974" s="2"/>
      <c r="E974" s="2">
        <v>0.42961055344810412</v>
      </c>
      <c r="F974" s="3">
        <v>128.78891917760731</v>
      </c>
      <c r="G974" s="3">
        <v>3</v>
      </c>
      <c r="H974" s="2">
        <v>1.6256638127235291E-4</v>
      </c>
      <c r="I974" s="4">
        <v>2.7755575615628909E-16</v>
      </c>
      <c r="J974" s="4">
        <v>0.42961055344810378</v>
      </c>
      <c r="K974" s="5">
        <v>3</v>
      </c>
      <c r="L974" s="5">
        <v>0</v>
      </c>
      <c r="M974" s="5">
        <v>0</v>
      </c>
    </row>
    <row r="975" spans="1:13" hidden="1" x14ac:dyDescent="0.25">
      <c r="A975" t="s">
        <v>986</v>
      </c>
      <c r="B975" s="1">
        <v>6.5960728198811769E-2</v>
      </c>
      <c r="C975" s="2">
        <v>1.879453893101404E-5</v>
      </c>
      <c r="D975" s="2"/>
      <c r="E975" s="2">
        <v>0.45461396685433408</v>
      </c>
      <c r="F975" s="3">
        <v>131.04139456719679</v>
      </c>
      <c r="G975" s="3">
        <v>1</v>
      </c>
      <c r="H975" s="2">
        <v>5.4188793757450959E-5</v>
      </c>
      <c r="I975" s="4">
        <v>0</v>
      </c>
      <c r="J975" s="4">
        <v>0.45461396685433408</v>
      </c>
      <c r="K975" s="5">
        <v>1</v>
      </c>
      <c r="L975" s="5">
        <v>0</v>
      </c>
      <c r="M975" s="5">
        <v>1</v>
      </c>
    </row>
    <row r="976" spans="1:13" hidden="1" x14ac:dyDescent="0.25">
      <c r="A976" t="s">
        <v>987</v>
      </c>
      <c r="B976" s="1">
        <v>6.5808812348909673E-2</v>
      </c>
      <c r="C976" s="2">
        <v>1.8751252744927421E-5</v>
      </c>
      <c r="D976" s="2"/>
      <c r="E976" s="2">
        <v>-0.49024008860289747</v>
      </c>
      <c r="F976" s="3">
        <v>45.922596101826358</v>
      </c>
      <c r="G976" s="3">
        <v>5</v>
      </c>
      <c r="H976" s="2">
        <v>2.7094396878725479E-4</v>
      </c>
      <c r="I976" s="4">
        <v>-7.2392824755264651E-3</v>
      </c>
      <c r="J976" s="4">
        <v>-0.48300080612737101</v>
      </c>
      <c r="K976" s="5">
        <v>5</v>
      </c>
      <c r="L976" s="5">
        <v>0</v>
      </c>
      <c r="M976" s="5">
        <v>2</v>
      </c>
    </row>
    <row r="977" spans="1:13" hidden="1" x14ac:dyDescent="0.25">
      <c r="A977" t="s">
        <v>988</v>
      </c>
      <c r="B977" s="1">
        <v>6.5776641469601105E-2</v>
      </c>
      <c r="C977" s="2">
        <v>1.8742086126242021E-5</v>
      </c>
      <c r="D977" s="2"/>
      <c r="E977" s="2">
        <v>0.69373367559718591</v>
      </c>
      <c r="F977" s="3">
        <v>152.5829037346962</v>
      </c>
      <c r="G977" s="3">
        <v>1</v>
      </c>
      <c r="H977" s="2">
        <v>5.4188793757450959E-5</v>
      </c>
      <c r="I977" s="4">
        <v>1.110223024625157E-16</v>
      </c>
      <c r="J977" s="4">
        <v>0.69373367559718579</v>
      </c>
      <c r="K977" s="5">
        <v>1</v>
      </c>
      <c r="L977" s="5">
        <v>0</v>
      </c>
      <c r="M977" s="5">
        <v>0</v>
      </c>
    </row>
    <row r="978" spans="1:13" hidden="1" x14ac:dyDescent="0.25">
      <c r="A978" t="s">
        <v>989</v>
      </c>
      <c r="B978" s="1">
        <v>6.5624404412805704E-2</v>
      </c>
      <c r="C978" s="2">
        <v>1.8698708416977501E-5</v>
      </c>
      <c r="D978" s="2"/>
      <c r="E978" s="2">
        <v>0.3765816371779464</v>
      </c>
      <c r="F978" s="3">
        <v>124.0117182852936</v>
      </c>
      <c r="G978" s="3">
        <v>1</v>
      </c>
      <c r="H978" s="2">
        <v>5.4188793757450959E-5</v>
      </c>
      <c r="I978" s="4">
        <v>-1.110223024625157E-16</v>
      </c>
      <c r="J978" s="4">
        <v>0.37658163717794663</v>
      </c>
      <c r="K978" s="5">
        <v>1</v>
      </c>
      <c r="L978" s="5">
        <v>0</v>
      </c>
      <c r="M978" s="5">
        <v>0</v>
      </c>
    </row>
    <row r="979" spans="1:13" hidden="1" x14ac:dyDescent="0.25">
      <c r="A979" t="s">
        <v>990</v>
      </c>
      <c r="B979" s="1">
        <v>6.5622851185134862E-2</v>
      </c>
      <c r="C979" s="2">
        <v>1.869826584760743E-5</v>
      </c>
      <c r="D979" s="2"/>
      <c r="E979" s="2">
        <v>-0.37918039771751583</v>
      </c>
      <c r="F979" s="3">
        <v>55.927598876063847</v>
      </c>
      <c r="G979" s="3">
        <v>1</v>
      </c>
      <c r="H979" s="2">
        <v>5.4188793757450959E-5</v>
      </c>
      <c r="I979" s="4">
        <v>-0.14713812438033411</v>
      </c>
      <c r="J979" s="4">
        <v>-0.23204227333718169</v>
      </c>
      <c r="K979" s="5">
        <v>1</v>
      </c>
      <c r="L979" s="5">
        <v>0</v>
      </c>
      <c r="M979" s="5">
        <v>0</v>
      </c>
    </row>
    <row r="980" spans="1:13" hidden="1" x14ac:dyDescent="0.25">
      <c r="A980" t="s">
        <v>991</v>
      </c>
      <c r="B980" s="1">
        <v>6.5462330911296662E-2</v>
      </c>
      <c r="C980" s="2">
        <v>1.8652527957528709E-5</v>
      </c>
      <c r="D980" s="2"/>
      <c r="E980" s="2">
        <v>0.80269821202715963</v>
      </c>
      <c r="F980" s="3">
        <v>162.3991609256199</v>
      </c>
      <c r="G980" s="3">
        <v>1</v>
      </c>
      <c r="H980" s="2">
        <v>5.4188793757450959E-5</v>
      </c>
      <c r="I980" s="4">
        <v>-1.110223024625157E-16</v>
      </c>
      <c r="J980" s="4">
        <v>0.80269821202715985</v>
      </c>
      <c r="K980" s="5">
        <v>1</v>
      </c>
      <c r="L980" s="5">
        <v>0</v>
      </c>
      <c r="M980" s="5">
        <v>0</v>
      </c>
    </row>
    <row r="981" spans="1:13" hidden="1" x14ac:dyDescent="0.25">
      <c r="A981" t="s">
        <v>992</v>
      </c>
      <c r="B981" s="1">
        <v>6.5334332374897996E-2</v>
      </c>
      <c r="C981" s="2">
        <v>1.8616056657997171E-5</v>
      </c>
      <c r="D981" s="2"/>
      <c r="E981" s="2" t="s">
        <v>303</v>
      </c>
      <c r="F981" s="3" t="s">
        <v>303</v>
      </c>
      <c r="G981" s="3">
        <v>1</v>
      </c>
      <c r="H981" s="2">
        <v>5.4188793757450959E-5</v>
      </c>
      <c r="I981" s="4" t="s">
        <v>303</v>
      </c>
      <c r="J981" s="4">
        <v>0</v>
      </c>
      <c r="K981" s="5">
        <v>1</v>
      </c>
      <c r="L981" s="5">
        <v>0</v>
      </c>
      <c r="M981" s="5">
        <v>0</v>
      </c>
    </row>
    <row r="982" spans="1:13" hidden="1" x14ac:dyDescent="0.25">
      <c r="A982" t="s">
        <v>993</v>
      </c>
      <c r="B982" s="1">
        <v>6.530352408683246E-2</v>
      </c>
      <c r="C982" s="2">
        <v>1.8607278289636832E-5</v>
      </c>
      <c r="D982" s="2"/>
      <c r="E982" s="2">
        <v>0.22361859924838631</v>
      </c>
      <c r="F982" s="3">
        <v>110.23178060817111</v>
      </c>
      <c r="G982" s="3">
        <v>1</v>
      </c>
      <c r="H982" s="2">
        <v>5.4188793757450959E-5</v>
      </c>
      <c r="I982" s="4">
        <v>1.110223024625157E-16</v>
      </c>
      <c r="J982" s="4">
        <v>0.2236185992483862</v>
      </c>
      <c r="K982" s="5">
        <v>1</v>
      </c>
      <c r="L982" s="5">
        <v>0</v>
      </c>
      <c r="M982" s="5">
        <v>0</v>
      </c>
    </row>
    <row r="983" spans="1:13" hidden="1" x14ac:dyDescent="0.25">
      <c r="A983" t="s">
        <v>994</v>
      </c>
      <c r="B983" s="1">
        <v>6.5224738817594094E-2</v>
      </c>
      <c r="C983" s="2">
        <v>1.8584829586441379E-5</v>
      </c>
      <c r="D983" s="2"/>
      <c r="E983" s="2">
        <v>1.7090041056781931</v>
      </c>
      <c r="F983" s="3">
        <v>244.04528210602649</v>
      </c>
      <c r="G983" s="3">
        <v>1</v>
      </c>
      <c r="H983" s="2">
        <v>5.4188793757450959E-5</v>
      </c>
      <c r="I983" s="4">
        <v>0</v>
      </c>
      <c r="J983" s="4">
        <v>1.7090041056781931</v>
      </c>
      <c r="K983" s="5">
        <v>1</v>
      </c>
      <c r="L983" s="5">
        <v>0</v>
      </c>
      <c r="M983" s="5">
        <v>0</v>
      </c>
    </row>
    <row r="984" spans="1:13" hidden="1" x14ac:dyDescent="0.25">
      <c r="A984" t="s">
        <v>995</v>
      </c>
      <c r="B984" s="1">
        <v>6.5164505403973949E-2</v>
      </c>
      <c r="C984" s="2">
        <v>1.8567666961525841E-5</v>
      </c>
      <c r="D984" s="2"/>
      <c r="E984" s="2">
        <v>0.14408764405717139</v>
      </c>
      <c r="F984" s="3">
        <v>103.0670980759006</v>
      </c>
      <c r="G984" s="3">
        <v>1</v>
      </c>
      <c r="H984" s="2">
        <v>5.4188793757450959E-5</v>
      </c>
      <c r="I984" s="4">
        <v>-5.5511151231257827E-17</v>
      </c>
      <c r="J984" s="4">
        <v>0.1440876440571715</v>
      </c>
      <c r="K984" s="5">
        <v>1</v>
      </c>
      <c r="L984" s="5">
        <v>1</v>
      </c>
      <c r="M984" s="5">
        <v>0</v>
      </c>
    </row>
    <row r="985" spans="1:13" hidden="1" x14ac:dyDescent="0.25">
      <c r="A985" t="s">
        <v>996</v>
      </c>
      <c r="B985" s="1">
        <v>6.4953661357594866E-2</v>
      </c>
      <c r="C985" s="2">
        <v>1.850759005294321E-5</v>
      </c>
      <c r="D985" s="2"/>
      <c r="E985" s="2">
        <v>2.3706688003838008</v>
      </c>
      <c r="F985" s="3">
        <v>303.65248120202148</v>
      </c>
      <c r="G985" s="3">
        <v>1</v>
      </c>
      <c r="H985" s="2">
        <v>5.4188793757450959E-5</v>
      </c>
      <c r="I985" s="4">
        <v>0</v>
      </c>
      <c r="J985" s="4">
        <v>2.3706688003838008</v>
      </c>
      <c r="K985" s="5">
        <v>1</v>
      </c>
      <c r="L985" s="5">
        <v>0</v>
      </c>
      <c r="M985" s="5">
        <v>0</v>
      </c>
    </row>
    <row r="986" spans="1:13" hidden="1" x14ac:dyDescent="0.25">
      <c r="A986" t="s">
        <v>997</v>
      </c>
      <c r="B986" s="1">
        <v>6.4936068418838769E-2</v>
      </c>
      <c r="C986" s="2">
        <v>1.8502577203913311E-5</v>
      </c>
      <c r="D986" s="2"/>
      <c r="E986" s="2">
        <v>0.33765839476755038</v>
      </c>
      <c r="F986" s="3">
        <v>120.5052512206568</v>
      </c>
      <c r="G986" s="3">
        <v>1</v>
      </c>
      <c r="H986" s="2">
        <v>5.4188793757450959E-5</v>
      </c>
      <c r="I986" s="4">
        <v>-5.5511151231257827E-17</v>
      </c>
      <c r="J986" s="4">
        <v>0.33765839476755038</v>
      </c>
      <c r="K986" s="5">
        <v>1</v>
      </c>
      <c r="L986" s="5">
        <v>0</v>
      </c>
      <c r="M986" s="5">
        <v>0</v>
      </c>
    </row>
    <row r="987" spans="1:13" hidden="1" x14ac:dyDescent="0.25">
      <c r="A987" t="s">
        <v>998</v>
      </c>
      <c r="B987" s="1">
        <v>6.4883977040971194E-2</v>
      </c>
      <c r="C987" s="2">
        <v>1.848773453228071E-5</v>
      </c>
      <c r="D987" s="2"/>
      <c r="E987" s="2" t="s">
        <v>303</v>
      </c>
      <c r="F987" s="3" t="s">
        <v>303</v>
      </c>
      <c r="G987" s="3">
        <v>1</v>
      </c>
      <c r="H987" s="2">
        <v>5.4188793757450959E-5</v>
      </c>
      <c r="I987" s="4" t="s">
        <v>303</v>
      </c>
      <c r="J987" s="4">
        <v>0</v>
      </c>
      <c r="K987" s="5">
        <v>1</v>
      </c>
      <c r="L987" s="5">
        <v>0</v>
      </c>
      <c r="M987" s="5">
        <v>0</v>
      </c>
    </row>
    <row r="988" spans="1:13" hidden="1" x14ac:dyDescent="0.25">
      <c r="A988" t="s">
        <v>999</v>
      </c>
      <c r="B988" s="1">
        <v>6.4874684942679603E-2</v>
      </c>
      <c r="C988" s="2">
        <v>1.8485086885599711E-5</v>
      </c>
      <c r="D988" s="2"/>
      <c r="E988" s="2">
        <v>2.091754156242366</v>
      </c>
      <c r="F988" s="3">
        <v>278.52597701167161</v>
      </c>
      <c r="G988" s="3">
        <v>1</v>
      </c>
      <c r="H988" s="2">
        <v>5.4188793757450959E-5</v>
      </c>
      <c r="I988" s="4">
        <v>4.4408920985006262E-16</v>
      </c>
      <c r="J988" s="4">
        <v>2.091754156242366</v>
      </c>
      <c r="K988" s="5">
        <v>1</v>
      </c>
      <c r="L988" s="5">
        <v>0</v>
      </c>
      <c r="M988" s="5">
        <v>0</v>
      </c>
    </row>
    <row r="989" spans="1:13" hidden="1" x14ac:dyDescent="0.25">
      <c r="A989" t="s">
        <v>1000</v>
      </c>
      <c r="B989" s="1">
        <v>6.4820722546346937E-2</v>
      </c>
      <c r="C989" s="2">
        <v>1.8469711094786301E-5</v>
      </c>
      <c r="D989" s="2"/>
      <c r="E989" s="2">
        <v>-0.32034630031690792</v>
      </c>
      <c r="F989" s="3">
        <v>61.227769469194143</v>
      </c>
      <c r="G989" s="3">
        <v>5</v>
      </c>
      <c r="H989" s="2">
        <v>2.7094396878725479E-4</v>
      </c>
      <c r="I989" s="4">
        <v>-0.15288418587767411</v>
      </c>
      <c r="J989" s="4">
        <v>-0.16746211443923389</v>
      </c>
      <c r="K989" s="5">
        <v>5</v>
      </c>
      <c r="L989" s="5">
        <v>0</v>
      </c>
      <c r="M989" s="5">
        <v>0</v>
      </c>
    </row>
    <row r="990" spans="1:13" hidden="1" x14ac:dyDescent="0.25">
      <c r="A990" t="s">
        <v>1001</v>
      </c>
      <c r="B990" s="1">
        <v>6.4662534445629083E-2</v>
      </c>
      <c r="C990" s="2">
        <v>1.842463772312182E-5</v>
      </c>
      <c r="D990" s="2"/>
      <c r="E990" s="2">
        <v>1.4315093161784089</v>
      </c>
      <c r="F990" s="3">
        <v>219.04668795680379</v>
      </c>
      <c r="G990" s="3">
        <v>1</v>
      </c>
      <c r="H990" s="2">
        <v>5.4188793757450959E-5</v>
      </c>
      <c r="I990" s="4">
        <v>0</v>
      </c>
      <c r="J990" s="4">
        <v>1.4315093161784089</v>
      </c>
      <c r="K990" s="5">
        <v>1</v>
      </c>
      <c r="L990" s="5">
        <v>0</v>
      </c>
      <c r="M990" s="5">
        <v>0</v>
      </c>
    </row>
    <row r="991" spans="1:13" hidden="1" x14ac:dyDescent="0.25">
      <c r="A991" t="s">
        <v>1002</v>
      </c>
      <c r="B991" s="1">
        <v>6.4639534671580123E-2</v>
      </c>
      <c r="C991" s="2">
        <v>1.841808427593329E-5</v>
      </c>
      <c r="D991" s="2"/>
      <c r="E991" s="2">
        <v>-0.48126837633073227</v>
      </c>
      <c r="F991" s="3">
        <v>46.730828192669392</v>
      </c>
      <c r="G991" s="3">
        <v>3</v>
      </c>
      <c r="H991" s="2">
        <v>1.6256638127235291E-4</v>
      </c>
      <c r="I991" s="4">
        <v>-0.1881505575351696</v>
      </c>
      <c r="J991" s="4">
        <v>-0.2931178187955627</v>
      </c>
      <c r="K991" s="5">
        <v>3</v>
      </c>
      <c r="L991" s="5">
        <v>0</v>
      </c>
      <c r="M991" s="5">
        <v>0</v>
      </c>
    </row>
    <row r="992" spans="1:13" hidden="1" x14ac:dyDescent="0.25">
      <c r="A992" t="s">
        <v>1003</v>
      </c>
      <c r="B992" s="1">
        <v>6.4618980217568886E-2</v>
      </c>
      <c r="C992" s="2">
        <v>1.841222758670822E-5</v>
      </c>
      <c r="D992" s="2"/>
      <c r="E992" s="2">
        <v>0.37077583759800858</v>
      </c>
      <c r="F992" s="3">
        <v>123.488692870394</v>
      </c>
      <c r="G992" s="3">
        <v>1</v>
      </c>
      <c r="H992" s="2">
        <v>5.4188793757450959E-5</v>
      </c>
      <c r="I992" s="4">
        <v>-5.5511151231257827E-17</v>
      </c>
      <c r="J992" s="4">
        <v>0.37077583759800858</v>
      </c>
      <c r="K992" s="5">
        <v>1</v>
      </c>
      <c r="L992" s="5">
        <v>0</v>
      </c>
      <c r="M992" s="5">
        <v>0</v>
      </c>
    </row>
    <row r="993" spans="1:13" hidden="1" x14ac:dyDescent="0.25">
      <c r="A993" t="s">
        <v>1004</v>
      </c>
      <c r="B993" s="1">
        <v>6.4617180959152032E-2</v>
      </c>
      <c r="C993" s="2">
        <v>1.8411714914497251E-5</v>
      </c>
      <c r="D993" s="2"/>
      <c r="E993" s="2">
        <v>-0.69049039654353883</v>
      </c>
      <c r="F993" s="3">
        <v>27.882703585326102</v>
      </c>
      <c r="G993" s="3">
        <v>2</v>
      </c>
      <c r="H993" s="2">
        <v>1.083775875149019E-4</v>
      </c>
      <c r="I993" s="4">
        <v>0</v>
      </c>
      <c r="J993" s="4">
        <v>-0.69049039654353883</v>
      </c>
      <c r="K993" s="5">
        <v>2</v>
      </c>
      <c r="L993" s="5">
        <v>0</v>
      </c>
      <c r="M993" s="5">
        <v>0</v>
      </c>
    </row>
    <row r="994" spans="1:13" hidden="1" x14ac:dyDescent="0.25">
      <c r="A994" t="s">
        <v>1005</v>
      </c>
      <c r="B994" s="1">
        <v>6.4534286518682857E-2</v>
      </c>
      <c r="C994" s="2">
        <v>1.8388095363423369E-5</v>
      </c>
      <c r="D994" s="2"/>
      <c r="E994" s="2">
        <v>0.60379828625808885</v>
      </c>
      <c r="F994" s="3">
        <v>144.48091990360101</v>
      </c>
      <c r="G994" s="3">
        <v>2</v>
      </c>
      <c r="H994" s="2">
        <v>1.083775875149019E-4</v>
      </c>
      <c r="I994" s="4">
        <v>-1.110223024625157E-16</v>
      </c>
      <c r="J994" s="4">
        <v>0.60379828625808896</v>
      </c>
      <c r="K994" s="5">
        <v>2</v>
      </c>
      <c r="L994" s="5">
        <v>0</v>
      </c>
      <c r="M994" s="5">
        <v>0</v>
      </c>
    </row>
    <row r="995" spans="1:13" hidden="1" x14ac:dyDescent="0.25">
      <c r="A995" t="s">
        <v>1006</v>
      </c>
      <c r="B995" s="1">
        <v>6.4500744714037161E-2</v>
      </c>
      <c r="C995" s="2">
        <v>1.837853811973543E-5</v>
      </c>
      <c r="D995" s="2"/>
      <c r="E995" s="2">
        <v>0.36651721732993542</v>
      </c>
      <c r="F995" s="3">
        <v>123.105047757961</v>
      </c>
      <c r="G995" s="3">
        <v>1</v>
      </c>
      <c r="H995" s="2">
        <v>5.4188793757450959E-5</v>
      </c>
      <c r="I995" s="4">
        <v>-0.27961850687172091</v>
      </c>
      <c r="J995" s="4">
        <v>0.64613572420165621</v>
      </c>
      <c r="K995" s="5">
        <v>1</v>
      </c>
      <c r="L995" s="5">
        <v>0</v>
      </c>
      <c r="M995" s="5">
        <v>0</v>
      </c>
    </row>
    <row r="996" spans="1:13" hidden="1" x14ac:dyDescent="0.25">
      <c r="A996" t="s">
        <v>1007</v>
      </c>
      <c r="B996" s="1">
        <v>6.4382991131934048E-2</v>
      </c>
      <c r="C996" s="2">
        <v>1.8344985969182559E-5</v>
      </c>
      <c r="D996" s="2"/>
      <c r="E996" s="2">
        <v>-0.18688533069845081</v>
      </c>
      <c r="F996" s="3">
        <v>73.250829867076504</v>
      </c>
      <c r="G996" s="3">
        <v>1</v>
      </c>
      <c r="H996" s="2">
        <v>5.4188793757450959E-5</v>
      </c>
      <c r="I996" s="4">
        <v>-5.5511151231257827E-17</v>
      </c>
      <c r="J996" s="4">
        <v>-0.18688533069845081</v>
      </c>
      <c r="K996" s="5">
        <v>1</v>
      </c>
      <c r="L996" s="5">
        <v>0</v>
      </c>
      <c r="M996" s="5">
        <v>0</v>
      </c>
    </row>
    <row r="997" spans="1:13" hidden="1" x14ac:dyDescent="0.25">
      <c r="A997" t="s">
        <v>1008</v>
      </c>
      <c r="B997" s="1">
        <v>6.4299575551258745E-2</v>
      </c>
      <c r="C997" s="2">
        <v>1.8321217926875181E-5</v>
      </c>
      <c r="D997" s="2"/>
      <c r="E997" s="2">
        <v>3.922994956102352</v>
      </c>
      <c r="F997" s="3">
        <v>443.49644592648872</v>
      </c>
      <c r="G997" s="3">
        <v>1</v>
      </c>
      <c r="H997" s="2">
        <v>5.4188793757450959E-5</v>
      </c>
      <c r="I997" s="4">
        <v>0</v>
      </c>
      <c r="J997" s="4">
        <v>3.922994956102352</v>
      </c>
      <c r="K997" s="5">
        <v>1</v>
      </c>
      <c r="L997" s="5">
        <v>0</v>
      </c>
      <c r="M997" s="5">
        <v>0</v>
      </c>
    </row>
    <row r="998" spans="1:13" hidden="1" x14ac:dyDescent="0.25">
      <c r="A998" t="s">
        <v>1009</v>
      </c>
      <c r="B998" s="1">
        <v>6.4206572830560124E-2</v>
      </c>
      <c r="C998" s="2">
        <v>1.8294718170086681E-5</v>
      </c>
      <c r="D998" s="2"/>
      <c r="E998" s="2">
        <v>-0.40334305219820688</v>
      </c>
      <c r="F998" s="3">
        <v>53.750864696587783</v>
      </c>
      <c r="G998" s="3">
        <v>1</v>
      </c>
      <c r="H998" s="2">
        <v>5.4188793757450959E-5</v>
      </c>
      <c r="I998" s="4">
        <v>-0.37480558872674902</v>
      </c>
      <c r="J998" s="4">
        <v>-2.8537463471457879E-2</v>
      </c>
      <c r="K998" s="5">
        <v>1</v>
      </c>
      <c r="L998" s="5">
        <v>0</v>
      </c>
      <c r="M998" s="5">
        <v>1</v>
      </c>
    </row>
    <row r="999" spans="1:13" hidden="1" x14ac:dyDescent="0.25">
      <c r="A999" t="s">
        <v>1010</v>
      </c>
      <c r="B999" s="1">
        <v>6.3979738916341192E-2</v>
      </c>
      <c r="C999" s="2">
        <v>1.8230085183943592E-5</v>
      </c>
      <c r="D999" s="2"/>
      <c r="E999" s="2">
        <v>0.32492956061590039</v>
      </c>
      <c r="F999" s="3">
        <v>119.3585523600279</v>
      </c>
      <c r="G999" s="3">
        <v>1</v>
      </c>
      <c r="H999" s="2">
        <v>5.4188793757450959E-5</v>
      </c>
      <c r="I999" s="4">
        <v>-5.5511151231257827E-17</v>
      </c>
      <c r="J999" s="4">
        <v>0.32492956061590039</v>
      </c>
      <c r="K999" s="5">
        <v>1</v>
      </c>
      <c r="L999" s="5">
        <v>0</v>
      </c>
      <c r="M999" s="5">
        <v>0</v>
      </c>
    </row>
    <row r="1000" spans="1:13" hidden="1" x14ac:dyDescent="0.25">
      <c r="A1000" t="s">
        <v>1011</v>
      </c>
      <c r="B1000" s="1">
        <v>6.3979114904731058E-2</v>
      </c>
      <c r="C1000" s="2">
        <v>1.8229907381017211E-5</v>
      </c>
      <c r="D1000" s="2"/>
      <c r="E1000" s="2">
        <v>0.51958935734348</v>
      </c>
      <c r="F1000" s="3">
        <v>136.8948140834818</v>
      </c>
      <c r="G1000" s="3">
        <v>2</v>
      </c>
      <c r="H1000" s="2">
        <v>1.083775875149019E-4</v>
      </c>
      <c r="I1000" s="4">
        <v>1.110223024625157E-16</v>
      </c>
      <c r="J1000" s="4">
        <v>0.51958935734347989</v>
      </c>
      <c r="K1000" s="5">
        <v>2</v>
      </c>
      <c r="L1000" s="5">
        <v>0</v>
      </c>
      <c r="M1000" s="5">
        <v>0</v>
      </c>
    </row>
    <row r="1001" spans="1:13" hidden="1" x14ac:dyDescent="0.25">
      <c r="A1001" t="s">
        <v>1012</v>
      </c>
      <c r="B1001" s="1">
        <v>6.3641317010579179E-2</v>
      </c>
      <c r="C1001" s="2">
        <v>1.8133656841555052E-5</v>
      </c>
      <c r="D1001" s="2"/>
      <c r="E1001" s="2">
        <v>0.515882386643153</v>
      </c>
      <c r="F1001" s="3">
        <v>136.56086526870371</v>
      </c>
      <c r="G1001" s="3">
        <v>1</v>
      </c>
      <c r="H1001" s="2">
        <v>5.4188793757450959E-5</v>
      </c>
      <c r="I1001" s="4">
        <v>0</v>
      </c>
      <c r="J1001" s="4">
        <v>0.515882386643153</v>
      </c>
      <c r="K1001" s="5">
        <v>1</v>
      </c>
      <c r="L1001" s="5">
        <v>0</v>
      </c>
      <c r="M1001" s="5">
        <v>0</v>
      </c>
    </row>
    <row r="1002" spans="1:13" hidden="1" x14ac:dyDescent="0.25">
      <c r="A1002" t="s">
        <v>1013</v>
      </c>
      <c r="B1002" s="1">
        <v>6.3567638898610779E-2</v>
      </c>
      <c r="C1002" s="2">
        <v>1.8112663347675179E-5</v>
      </c>
      <c r="D1002" s="2"/>
      <c r="E1002" s="2">
        <v>0.31940898757568231</v>
      </c>
      <c r="F1002" s="3">
        <v>118.8612220672598</v>
      </c>
      <c r="G1002" s="3">
        <v>1</v>
      </c>
      <c r="H1002" s="2">
        <v>5.4188793757450959E-5</v>
      </c>
      <c r="I1002" s="4">
        <v>-5.5511151231257827E-17</v>
      </c>
      <c r="J1002" s="4">
        <v>0.31940898757568231</v>
      </c>
      <c r="K1002" s="5">
        <v>1</v>
      </c>
      <c r="L1002" s="5">
        <v>0</v>
      </c>
      <c r="M1002" s="5">
        <v>0</v>
      </c>
    </row>
    <row r="1003" spans="1:13" hidden="1" x14ac:dyDescent="0.25">
      <c r="A1003" t="s">
        <v>1014</v>
      </c>
      <c r="B1003" s="1">
        <v>6.3498775889962958E-2</v>
      </c>
      <c r="C1003" s="2">
        <v>1.8093041846635391E-5</v>
      </c>
      <c r="D1003" s="2"/>
      <c r="E1003" s="2">
        <v>1.1026863869179501E-2</v>
      </c>
      <c r="F1003" s="3">
        <v>91.080089429379186</v>
      </c>
      <c r="G1003" s="3">
        <v>1</v>
      </c>
      <c r="H1003" s="2">
        <v>5.4188793757450959E-5</v>
      </c>
      <c r="I1003" s="4">
        <v>6.2450045135165055E-17</v>
      </c>
      <c r="J1003" s="4">
        <v>1.102686386917944E-2</v>
      </c>
      <c r="K1003" s="5">
        <v>1</v>
      </c>
      <c r="L1003" s="5">
        <v>0</v>
      </c>
      <c r="M1003" s="5">
        <v>0</v>
      </c>
    </row>
    <row r="1004" spans="1:13" hidden="1" x14ac:dyDescent="0.25">
      <c r="A1004" t="s">
        <v>1015</v>
      </c>
      <c r="B1004" s="1">
        <v>6.3367248245460417E-2</v>
      </c>
      <c r="C1004" s="2">
        <v>1.805556497967818E-5</v>
      </c>
      <c r="D1004" s="2"/>
      <c r="E1004" s="2">
        <v>9.8832438427479019E-2</v>
      </c>
      <c r="F1004" s="3">
        <v>98.990205242288724</v>
      </c>
      <c r="G1004" s="3">
        <v>1</v>
      </c>
      <c r="H1004" s="2">
        <v>5.4188793757450959E-5</v>
      </c>
      <c r="I1004" s="4">
        <v>6.9388939039072284E-17</v>
      </c>
      <c r="J1004" s="4">
        <v>9.883243842747895E-2</v>
      </c>
      <c r="K1004" s="5">
        <v>1</v>
      </c>
      <c r="L1004" s="5">
        <v>0</v>
      </c>
      <c r="M1004" s="5">
        <v>1</v>
      </c>
    </row>
    <row r="1005" spans="1:13" hidden="1" x14ac:dyDescent="0.25">
      <c r="A1005" t="s">
        <v>1016</v>
      </c>
      <c r="B1005" s="1">
        <v>6.3209566183064975E-2</v>
      </c>
      <c r="C1005" s="2">
        <v>1.8010635796187649E-5</v>
      </c>
      <c r="D1005" s="2"/>
      <c r="E1005" s="2">
        <v>-0.32292093088242918</v>
      </c>
      <c r="F1005" s="3">
        <v>60.995829457968433</v>
      </c>
      <c r="G1005" s="3">
        <v>1</v>
      </c>
      <c r="H1005" s="2">
        <v>5.4188793757450959E-5</v>
      </c>
      <c r="I1005" s="4">
        <v>0</v>
      </c>
      <c r="J1005" s="4">
        <v>-0.32292093088242918</v>
      </c>
      <c r="K1005" s="5">
        <v>1</v>
      </c>
      <c r="L1005" s="5">
        <v>0</v>
      </c>
      <c r="M1005" s="5">
        <v>0</v>
      </c>
    </row>
    <row r="1006" spans="1:13" hidden="1" x14ac:dyDescent="0.25">
      <c r="A1006" t="s">
        <v>1017</v>
      </c>
      <c r="B1006" s="1">
        <v>6.3151526742738953E-2</v>
      </c>
      <c r="C1006" s="2">
        <v>1.7994098311679389E-5</v>
      </c>
      <c r="D1006" s="2"/>
      <c r="E1006" s="2">
        <v>2.2276369087017329</v>
      </c>
      <c r="F1006" s="3">
        <v>290.76720787130063</v>
      </c>
      <c r="G1006" s="3">
        <v>1</v>
      </c>
      <c r="H1006" s="2">
        <v>5.4188793757450959E-5</v>
      </c>
      <c r="I1006" s="4">
        <v>4.4408920985006262E-16</v>
      </c>
      <c r="J1006" s="4">
        <v>2.2276369087017329</v>
      </c>
      <c r="K1006" s="5">
        <v>1</v>
      </c>
      <c r="L1006" s="5">
        <v>0</v>
      </c>
      <c r="M1006" s="5">
        <v>0</v>
      </c>
    </row>
    <row r="1007" spans="1:13" hidden="1" x14ac:dyDescent="0.25">
      <c r="A1007" t="s">
        <v>1018</v>
      </c>
      <c r="B1007" s="1">
        <v>6.3063396183919193E-2</v>
      </c>
      <c r="C1007" s="2">
        <v>1.7968986805727581E-5</v>
      </c>
      <c r="D1007" s="2"/>
      <c r="E1007" s="2">
        <v>0.77141391987390651</v>
      </c>
      <c r="F1007" s="3">
        <v>159.5808617993745</v>
      </c>
      <c r="G1007" s="3">
        <v>2</v>
      </c>
      <c r="H1007" s="2">
        <v>1.083775875149019E-4</v>
      </c>
      <c r="I1007" s="4">
        <v>3.3306690738754701E-16</v>
      </c>
      <c r="J1007" s="4">
        <v>0.77141391987390617</v>
      </c>
      <c r="K1007" s="5">
        <v>2</v>
      </c>
      <c r="L1007" s="5">
        <v>0</v>
      </c>
      <c r="M1007" s="5">
        <v>0</v>
      </c>
    </row>
    <row r="1008" spans="1:13" hidden="1" x14ac:dyDescent="0.25">
      <c r="A1008" t="s">
        <v>1019</v>
      </c>
      <c r="B1008" s="1">
        <v>6.2957677073033846E-2</v>
      </c>
      <c r="C1008" s="2">
        <v>1.7938863700668789E-5</v>
      </c>
      <c r="D1008" s="2"/>
      <c r="E1008" s="2">
        <v>-0.37025801972743921</v>
      </c>
      <c r="F1008" s="3">
        <v>56.731386603472892</v>
      </c>
      <c r="G1008" s="3">
        <v>2</v>
      </c>
      <c r="H1008" s="2">
        <v>1.083775875149019E-4</v>
      </c>
      <c r="I1008" s="4">
        <v>5.5511151231257827E-17</v>
      </c>
      <c r="J1008" s="4">
        <v>-0.37025801972743932</v>
      </c>
      <c r="K1008" s="5">
        <v>2</v>
      </c>
      <c r="L1008" s="5">
        <v>0</v>
      </c>
      <c r="M1008" s="5">
        <v>0</v>
      </c>
    </row>
    <row r="1009" spans="1:13" hidden="1" x14ac:dyDescent="0.25">
      <c r="A1009" t="s">
        <v>1020</v>
      </c>
      <c r="B1009" s="1">
        <v>6.2767021392302724E-2</v>
      </c>
      <c r="C1009" s="2">
        <v>1.7884539169818859E-5</v>
      </c>
      <c r="D1009" s="2"/>
      <c r="E1009" s="2">
        <v>-0.41065741242260961</v>
      </c>
      <c r="F1009" s="3">
        <v>53.091938008123947</v>
      </c>
      <c r="G1009" s="3">
        <v>2</v>
      </c>
      <c r="H1009" s="2">
        <v>1.083775875149019E-4</v>
      </c>
      <c r="I1009" s="4">
        <v>1.110223024625157E-16</v>
      </c>
      <c r="J1009" s="4">
        <v>-0.41065741242260972</v>
      </c>
      <c r="K1009" s="5">
        <v>2</v>
      </c>
      <c r="L1009" s="5">
        <v>0</v>
      </c>
      <c r="M1009" s="5">
        <v>0</v>
      </c>
    </row>
    <row r="1010" spans="1:13" hidden="1" x14ac:dyDescent="0.25">
      <c r="A1010" t="s">
        <v>1021</v>
      </c>
      <c r="B1010" s="1">
        <v>6.2602084281473042E-2</v>
      </c>
      <c r="C1010" s="2">
        <v>1.7837542767030311E-5</v>
      </c>
      <c r="D1010" s="2"/>
      <c r="E1010" s="2">
        <v>2.33141155915024</v>
      </c>
      <c r="F1010" s="3">
        <v>300.11592528043133</v>
      </c>
      <c r="G1010" s="3">
        <v>1</v>
      </c>
      <c r="H1010" s="2">
        <v>5.4188793757450959E-5</v>
      </c>
      <c r="I1010" s="4">
        <v>0</v>
      </c>
      <c r="J1010" s="4">
        <v>2.33141155915024</v>
      </c>
      <c r="K1010" s="5">
        <v>1</v>
      </c>
      <c r="L1010" s="5">
        <v>0</v>
      </c>
      <c r="M1010" s="5">
        <v>0</v>
      </c>
    </row>
    <row r="1011" spans="1:13" hidden="1" x14ac:dyDescent="0.25">
      <c r="A1011" t="s">
        <v>1022</v>
      </c>
      <c r="B1011" s="1">
        <v>6.240687754189933E-2</v>
      </c>
      <c r="C1011" s="2">
        <v>1.7781921478929061E-5</v>
      </c>
      <c r="D1011" s="2"/>
      <c r="E1011" s="2">
        <v>1.9611338811538199E-3</v>
      </c>
      <c r="F1011" s="3">
        <v>90.263387591317212</v>
      </c>
      <c r="G1011" s="3">
        <v>1</v>
      </c>
      <c r="H1011" s="2">
        <v>5.4188793757450959E-5</v>
      </c>
      <c r="I1011" s="4">
        <v>9.0205620750793969E-17</v>
      </c>
      <c r="J1011" s="4">
        <v>1.9611338811537302E-3</v>
      </c>
      <c r="K1011" s="5">
        <v>1</v>
      </c>
      <c r="L1011" s="5">
        <v>0</v>
      </c>
      <c r="M1011" s="5">
        <v>0</v>
      </c>
    </row>
    <row r="1012" spans="1:13" hidden="1" x14ac:dyDescent="0.25">
      <c r="A1012" t="s">
        <v>1023</v>
      </c>
      <c r="B1012" s="1">
        <v>6.2356272855113373E-2</v>
      </c>
      <c r="C1012" s="2">
        <v>1.7767502418044469E-5</v>
      </c>
      <c r="D1012" s="2"/>
      <c r="E1012" s="2">
        <v>-0.26151355740290838</v>
      </c>
      <c r="F1012" s="3">
        <v>66.52781804107471</v>
      </c>
      <c r="G1012" s="3">
        <v>1</v>
      </c>
      <c r="H1012" s="2">
        <v>5.4188793757450959E-5</v>
      </c>
      <c r="I1012" s="4">
        <v>5.5511151231257827E-17</v>
      </c>
      <c r="J1012" s="4">
        <v>-0.26151355740290838</v>
      </c>
      <c r="K1012" s="5">
        <v>1</v>
      </c>
      <c r="L1012" s="5">
        <v>0</v>
      </c>
      <c r="M1012" s="5">
        <v>0</v>
      </c>
    </row>
    <row r="1013" spans="1:13" hidden="1" x14ac:dyDescent="0.25">
      <c r="A1013" t="s">
        <v>1024</v>
      </c>
      <c r="B1013" s="1">
        <v>6.2303528265177141E-2</v>
      </c>
      <c r="C1013" s="2">
        <v>1.7752473623244501E-5</v>
      </c>
      <c r="D1013" s="2"/>
      <c r="E1013" s="2">
        <v>-0.17451242570325859</v>
      </c>
      <c r="F1013" s="3">
        <v>74.365464239056081</v>
      </c>
      <c r="G1013" s="3">
        <v>1</v>
      </c>
      <c r="H1013" s="2">
        <v>5.4188793757450959E-5</v>
      </c>
      <c r="I1013" s="4">
        <v>-5.5511151231257827E-17</v>
      </c>
      <c r="J1013" s="4">
        <v>-0.17451242570325859</v>
      </c>
      <c r="K1013" s="5">
        <v>1</v>
      </c>
      <c r="L1013" s="5">
        <v>0</v>
      </c>
      <c r="M1013" s="5">
        <v>0</v>
      </c>
    </row>
    <row r="1014" spans="1:13" hidden="1" x14ac:dyDescent="0.25">
      <c r="A1014" t="s">
        <v>1025</v>
      </c>
      <c r="B1014" s="1">
        <v>6.2295559855231518E-2</v>
      </c>
      <c r="C1014" s="2">
        <v>1.7750203142080469E-5</v>
      </c>
      <c r="D1014" s="2"/>
      <c r="E1014" s="2">
        <v>0.1615525553584975</v>
      </c>
      <c r="F1014" s="3">
        <v>104.6404545712101</v>
      </c>
      <c r="G1014" s="3">
        <v>1</v>
      </c>
      <c r="H1014" s="2">
        <v>5.4188793757450959E-5</v>
      </c>
      <c r="I1014" s="4">
        <v>-2.775557561562891E-17</v>
      </c>
      <c r="J1014" s="4">
        <v>0.16155255535849761</v>
      </c>
      <c r="K1014" s="5">
        <v>1</v>
      </c>
      <c r="L1014" s="5">
        <v>0</v>
      </c>
      <c r="M1014" s="5">
        <v>0</v>
      </c>
    </row>
    <row r="1015" spans="1:13" hidden="1" x14ac:dyDescent="0.25">
      <c r="A1015" t="s">
        <v>1026</v>
      </c>
      <c r="B1015" s="1">
        <v>6.2227264084070012E-2</v>
      </c>
      <c r="C1015" s="2">
        <v>1.7730743267015872E-5</v>
      </c>
      <c r="D1015" s="2"/>
      <c r="E1015" s="2">
        <v>-0.460919509027515</v>
      </c>
      <c r="F1015" s="3">
        <v>48.563990811781963</v>
      </c>
      <c r="G1015" s="3">
        <v>2</v>
      </c>
      <c r="H1015" s="2">
        <v>1.083775875149019E-4</v>
      </c>
      <c r="I1015" s="4">
        <v>0</v>
      </c>
      <c r="J1015" s="4">
        <v>-0.460919509027515</v>
      </c>
      <c r="K1015" s="5">
        <v>2</v>
      </c>
      <c r="L1015" s="5">
        <v>0</v>
      </c>
      <c r="M1015" s="5">
        <v>0</v>
      </c>
    </row>
    <row r="1016" spans="1:13" hidden="1" x14ac:dyDescent="0.25">
      <c r="A1016" t="s">
        <v>1027</v>
      </c>
      <c r="B1016" s="1">
        <v>6.2126968173636249E-2</v>
      </c>
      <c r="C1016" s="2">
        <v>1.7702165423126898E-5</v>
      </c>
      <c r="D1016" s="2"/>
      <c r="E1016" s="2">
        <v>-0.39770486947206818</v>
      </c>
      <c r="F1016" s="3">
        <v>54.25879005966928</v>
      </c>
      <c r="G1016" s="3">
        <v>1</v>
      </c>
      <c r="H1016" s="2">
        <v>5.4188793757450959E-5</v>
      </c>
      <c r="I1016" s="4">
        <v>0</v>
      </c>
      <c r="J1016" s="4">
        <v>-0.39770486947206818</v>
      </c>
      <c r="K1016" s="5">
        <v>1</v>
      </c>
      <c r="L1016" s="5">
        <v>0</v>
      </c>
      <c r="M1016" s="5">
        <v>0</v>
      </c>
    </row>
    <row r="1017" spans="1:13" hidden="1" x14ac:dyDescent="0.25">
      <c r="A1017" t="s">
        <v>1028</v>
      </c>
      <c r="B1017" s="1">
        <v>6.2063641478820118E-2</v>
      </c>
      <c r="C1017" s="2">
        <v>1.768412141325019E-5</v>
      </c>
      <c r="D1017" s="2"/>
      <c r="E1017" s="2">
        <v>0.71263831809205724</v>
      </c>
      <c r="F1017" s="3">
        <v>154.28596088440821</v>
      </c>
      <c r="G1017" s="3">
        <v>2</v>
      </c>
      <c r="H1017" s="2">
        <v>1.083775875149019E-4</v>
      </c>
      <c r="I1017" s="4">
        <v>0.95438694594852003</v>
      </c>
      <c r="J1017" s="4">
        <v>-0.24174862785646281</v>
      </c>
      <c r="K1017" s="5">
        <v>2</v>
      </c>
      <c r="L1017" s="5">
        <v>0</v>
      </c>
      <c r="M1017" s="5">
        <v>0</v>
      </c>
    </row>
    <row r="1018" spans="1:13" hidden="1" x14ac:dyDescent="0.25">
      <c r="A1018" t="s">
        <v>1029</v>
      </c>
      <c r="B1018" s="1">
        <v>6.1756529877526799E-2</v>
      </c>
      <c r="C1018" s="2">
        <v>1.7596614481409229E-5</v>
      </c>
      <c r="D1018" s="2"/>
      <c r="E1018" s="2">
        <v>3.1800332652245982</v>
      </c>
      <c r="F1018" s="3">
        <v>376.56546746684529</v>
      </c>
      <c r="G1018" s="3">
        <v>1</v>
      </c>
      <c r="H1018" s="2">
        <v>5.4188793757450959E-5</v>
      </c>
      <c r="I1018" s="4">
        <v>0</v>
      </c>
      <c r="J1018" s="4">
        <v>3.1800332652245982</v>
      </c>
      <c r="K1018" s="5">
        <v>1</v>
      </c>
      <c r="L1018" s="5">
        <v>0</v>
      </c>
      <c r="M1018" s="5">
        <v>0</v>
      </c>
    </row>
    <row r="1019" spans="1:13" hidden="1" x14ac:dyDescent="0.25">
      <c r="A1019" t="s">
        <v>1030</v>
      </c>
      <c r="B1019" s="1">
        <v>6.1589102973982138E-2</v>
      </c>
      <c r="C1019" s="2">
        <v>1.7548908648822229E-5</v>
      </c>
      <c r="D1019" s="2"/>
      <c r="E1019" s="2">
        <v>0.1224198405286627</v>
      </c>
      <c r="F1019" s="3">
        <v>101.1151168243221</v>
      </c>
      <c r="G1019" s="3">
        <v>1</v>
      </c>
      <c r="H1019" s="2">
        <v>5.4188793757450959E-5</v>
      </c>
      <c r="I1019" s="4">
        <v>8.3266726846886741E-17</v>
      </c>
      <c r="J1019" s="4">
        <v>0.1224198405286626</v>
      </c>
      <c r="K1019" s="5">
        <v>1</v>
      </c>
      <c r="L1019" s="5">
        <v>0</v>
      </c>
      <c r="M1019" s="5">
        <v>1</v>
      </c>
    </row>
    <row r="1020" spans="1:13" hidden="1" x14ac:dyDescent="0.25">
      <c r="A1020" t="s">
        <v>1031</v>
      </c>
      <c r="B1020" s="1">
        <v>6.1558238181272297E-2</v>
      </c>
      <c r="C1020" s="2">
        <v>1.754011418029492E-5</v>
      </c>
      <c r="D1020" s="2"/>
      <c r="E1020" s="2">
        <v>-1.7061903310207519E-2</v>
      </c>
      <c r="F1020" s="3">
        <v>88.549664652268007</v>
      </c>
      <c r="G1020" s="3">
        <v>1</v>
      </c>
      <c r="H1020" s="2">
        <v>5.4188793757450959E-5</v>
      </c>
      <c r="I1020" s="4">
        <v>4.8572257327350599E-17</v>
      </c>
      <c r="J1020" s="4">
        <v>-1.7061903310207561E-2</v>
      </c>
      <c r="K1020" s="5">
        <v>1</v>
      </c>
      <c r="L1020" s="5">
        <v>0</v>
      </c>
      <c r="M1020" s="5">
        <v>1</v>
      </c>
    </row>
    <row r="1021" spans="1:13" hidden="1" x14ac:dyDescent="0.25">
      <c r="A1021" t="s">
        <v>1032</v>
      </c>
      <c r="B1021" s="1">
        <v>6.1552407433010922E-2</v>
      </c>
      <c r="C1021" s="2">
        <v>1.7538452794373509E-5</v>
      </c>
      <c r="D1021" s="2"/>
      <c r="E1021" s="2">
        <v>-0.32802489004764612</v>
      </c>
      <c r="F1021" s="3">
        <v>60.536030540823141</v>
      </c>
      <c r="G1021" s="3">
        <v>1</v>
      </c>
      <c r="H1021" s="2">
        <v>5.4188793757450959E-5</v>
      </c>
      <c r="I1021" s="4">
        <v>5.5511151231257827E-17</v>
      </c>
      <c r="J1021" s="4">
        <v>-0.32802489004764618</v>
      </c>
      <c r="K1021" s="5">
        <v>1</v>
      </c>
      <c r="L1021" s="5">
        <v>0</v>
      </c>
      <c r="M1021" s="5">
        <v>0</v>
      </c>
    </row>
    <row r="1022" spans="1:13" hidden="1" x14ac:dyDescent="0.25">
      <c r="A1022" t="s">
        <v>1033</v>
      </c>
      <c r="B1022" s="1">
        <v>6.1357752917217422E-2</v>
      </c>
      <c r="C1022" s="2">
        <v>1.7482988854312812E-5</v>
      </c>
      <c r="D1022" s="2"/>
      <c r="E1022" s="2" t="s">
        <v>303</v>
      </c>
      <c r="F1022" s="3" t="s">
        <v>303</v>
      </c>
      <c r="G1022" s="3">
        <v>1</v>
      </c>
      <c r="H1022" s="2">
        <v>5.4188793757450959E-5</v>
      </c>
      <c r="I1022" s="4" t="s">
        <v>303</v>
      </c>
      <c r="J1022" s="4">
        <v>0</v>
      </c>
      <c r="K1022" s="5">
        <v>1</v>
      </c>
      <c r="L1022" s="5">
        <v>0</v>
      </c>
      <c r="M1022" s="5">
        <v>0</v>
      </c>
    </row>
    <row r="1023" spans="1:13" hidden="1" x14ac:dyDescent="0.25">
      <c r="A1023" t="s">
        <v>1034</v>
      </c>
      <c r="B1023" s="1">
        <v>6.1266312029265739E-2</v>
      </c>
      <c r="C1023" s="2">
        <v>1.7456934118784209E-5</v>
      </c>
      <c r="D1023" s="2"/>
      <c r="E1023" s="2">
        <v>0.53594450354886902</v>
      </c>
      <c r="F1023" s="3">
        <v>138.3681954863425</v>
      </c>
      <c r="G1023" s="3">
        <v>1</v>
      </c>
      <c r="H1023" s="2">
        <v>5.4188793757450959E-5</v>
      </c>
      <c r="I1023" s="4">
        <v>0</v>
      </c>
      <c r="J1023" s="4">
        <v>0.53594450354886902</v>
      </c>
      <c r="K1023" s="5">
        <v>1</v>
      </c>
      <c r="L1023" s="5">
        <v>0</v>
      </c>
      <c r="M1023" s="5">
        <v>0</v>
      </c>
    </row>
    <row r="1024" spans="1:13" hidden="1" x14ac:dyDescent="0.25">
      <c r="A1024" t="s">
        <v>1035</v>
      </c>
      <c r="B1024" s="1">
        <v>6.1213423570085711E-2</v>
      </c>
      <c r="C1024" s="2">
        <v>1.7441864330560159E-5</v>
      </c>
      <c r="D1024" s="2"/>
      <c r="E1024" s="2">
        <v>0.77927489569079689</v>
      </c>
      <c r="F1024" s="3">
        <v>160.28903129119641</v>
      </c>
      <c r="G1024" s="3">
        <v>1</v>
      </c>
      <c r="H1024" s="2">
        <v>5.4188793757450959E-5</v>
      </c>
      <c r="I1024" s="4">
        <v>0</v>
      </c>
      <c r="J1024" s="4">
        <v>0.77927489569079689</v>
      </c>
      <c r="K1024" s="5">
        <v>1</v>
      </c>
      <c r="L1024" s="5">
        <v>0</v>
      </c>
      <c r="M1024" s="5">
        <v>0</v>
      </c>
    </row>
    <row r="1025" spans="1:13" hidden="1" x14ac:dyDescent="0.25">
      <c r="A1025" t="s">
        <v>1036</v>
      </c>
      <c r="B1025" s="1">
        <v>6.108821473335798E-2</v>
      </c>
      <c r="C1025" s="2">
        <v>1.7406187914901229E-5</v>
      </c>
      <c r="D1025" s="2"/>
      <c r="E1025" s="2">
        <v>0.37367786456820351</v>
      </c>
      <c r="F1025" s="3">
        <v>123.7501269483772</v>
      </c>
      <c r="G1025" s="3">
        <v>2</v>
      </c>
      <c r="H1025" s="2">
        <v>1.083775875149019E-4</v>
      </c>
      <c r="I1025" s="4">
        <v>-1.110223024625157E-16</v>
      </c>
      <c r="J1025" s="4">
        <v>0.37367786456820362</v>
      </c>
      <c r="K1025" s="5">
        <v>2</v>
      </c>
      <c r="L1025" s="5">
        <v>0</v>
      </c>
      <c r="M1025" s="5">
        <v>0</v>
      </c>
    </row>
    <row r="1026" spans="1:13" hidden="1" x14ac:dyDescent="0.25">
      <c r="A1026" t="s">
        <v>1037</v>
      </c>
      <c r="B1026" s="1">
        <v>6.1037709888343943E-2</v>
      </c>
      <c r="C1026" s="2">
        <v>1.7391797302460439E-5</v>
      </c>
      <c r="D1026" s="2"/>
      <c r="E1026" s="2">
        <v>-0.18047735192097139</v>
      </c>
      <c r="F1026" s="3">
        <v>73.828103628013778</v>
      </c>
      <c r="G1026" s="3">
        <v>1</v>
      </c>
      <c r="H1026" s="2">
        <v>5.4188793757450959E-5</v>
      </c>
      <c r="I1026" s="4">
        <v>2.775557561562891E-17</v>
      </c>
      <c r="J1026" s="4">
        <v>-0.18047735192097139</v>
      </c>
      <c r="K1026" s="5">
        <v>1</v>
      </c>
      <c r="L1026" s="5">
        <v>0</v>
      </c>
      <c r="M1026" s="5">
        <v>0</v>
      </c>
    </row>
    <row r="1027" spans="1:13" hidden="1" x14ac:dyDescent="0.25">
      <c r="A1027" t="s">
        <v>1038</v>
      </c>
      <c r="B1027" s="1">
        <v>6.103715351617349E-2</v>
      </c>
      <c r="C1027" s="2">
        <v>1.7391638772397129E-5</v>
      </c>
      <c r="D1027" s="2"/>
      <c r="E1027" s="2">
        <v>-0.56309704544092876</v>
      </c>
      <c r="F1027" s="3">
        <v>39.359152160322012</v>
      </c>
      <c r="G1027" s="3">
        <v>1</v>
      </c>
      <c r="H1027" s="2">
        <v>5.4188793757450959E-5</v>
      </c>
      <c r="I1027" s="4">
        <v>0</v>
      </c>
      <c r="J1027" s="4">
        <v>-0.56309704544092876</v>
      </c>
      <c r="K1027" s="5">
        <v>1</v>
      </c>
      <c r="L1027" s="5">
        <v>0</v>
      </c>
      <c r="M1027" s="5">
        <v>0</v>
      </c>
    </row>
    <row r="1028" spans="1:13" hidden="1" x14ac:dyDescent="0.25">
      <c r="A1028" t="s">
        <v>1039</v>
      </c>
      <c r="B1028" s="1">
        <v>6.1011727827466659E-2</v>
      </c>
      <c r="C1028" s="2">
        <v>1.7384394096522599E-5</v>
      </c>
      <c r="D1028" s="2"/>
      <c r="E1028" s="2">
        <v>0.44879981462794988</v>
      </c>
      <c r="F1028" s="3">
        <v>130.51761668981331</v>
      </c>
      <c r="G1028" s="3">
        <v>2</v>
      </c>
      <c r="H1028" s="2">
        <v>1.083775875149019E-4</v>
      </c>
      <c r="I1028" s="4">
        <v>0.47800637972799348</v>
      </c>
      <c r="J1028" s="4">
        <v>-2.9206565100043519E-2</v>
      </c>
      <c r="K1028" s="5">
        <v>2</v>
      </c>
      <c r="L1028" s="5">
        <v>0</v>
      </c>
      <c r="M1028" s="5">
        <v>0</v>
      </c>
    </row>
    <row r="1029" spans="1:13" hidden="1" x14ac:dyDescent="0.25">
      <c r="A1029" t="s">
        <v>1040</v>
      </c>
      <c r="B1029" s="1">
        <v>6.0947522082230282E-2</v>
      </c>
      <c r="C1029" s="2">
        <v>1.7366099614163299E-5</v>
      </c>
      <c r="D1029" s="2"/>
      <c r="E1029" s="2">
        <v>0.29193408293600331</v>
      </c>
      <c r="F1029" s="3">
        <v>116.386098150108</v>
      </c>
      <c r="G1029" s="3">
        <v>2</v>
      </c>
      <c r="H1029" s="2">
        <v>1.083775875149019E-4</v>
      </c>
      <c r="I1029" s="4">
        <v>3.3306690738754701E-16</v>
      </c>
      <c r="J1029" s="4">
        <v>0.29193408293600298</v>
      </c>
      <c r="K1029" s="5">
        <v>2</v>
      </c>
      <c r="L1029" s="5">
        <v>0</v>
      </c>
      <c r="M1029" s="5">
        <v>0</v>
      </c>
    </row>
    <row r="1030" spans="1:13" hidden="1" x14ac:dyDescent="0.25">
      <c r="A1030" t="s">
        <v>1041</v>
      </c>
      <c r="B1030" s="1">
        <v>6.091026238570011E-2</v>
      </c>
      <c r="C1030" s="2">
        <v>1.7355483011889239E-5</v>
      </c>
      <c r="D1030" s="2"/>
      <c r="E1030" s="2">
        <v>0.2494474943850005</v>
      </c>
      <c r="F1030" s="3">
        <v>112.5586209355408</v>
      </c>
      <c r="G1030" s="3">
        <v>1</v>
      </c>
      <c r="H1030" s="2">
        <v>5.4188793757450959E-5</v>
      </c>
      <c r="I1030" s="4">
        <v>-5.5511151231257827E-17</v>
      </c>
      <c r="J1030" s="4">
        <v>0.2494474943850005</v>
      </c>
      <c r="K1030" s="5">
        <v>1</v>
      </c>
      <c r="L1030" s="5">
        <v>0</v>
      </c>
      <c r="M1030" s="5">
        <v>1</v>
      </c>
    </row>
    <row r="1031" spans="1:13" hidden="1" x14ac:dyDescent="0.25">
      <c r="A1031" t="s">
        <v>1042</v>
      </c>
      <c r="B1031" s="1">
        <v>6.082574775767035E-2</v>
      </c>
      <c r="C1031" s="2">
        <v>1.733140181220997E-5</v>
      </c>
      <c r="D1031" s="2"/>
      <c r="E1031" s="2">
        <v>-0.67443541888289182</v>
      </c>
      <c r="F1031" s="3">
        <v>29.329043789900162</v>
      </c>
      <c r="G1031" s="3">
        <v>4</v>
      </c>
      <c r="H1031" s="2">
        <v>2.1675517502980381E-4</v>
      </c>
      <c r="I1031" s="4">
        <v>1.110223024625157E-16</v>
      </c>
      <c r="J1031" s="4">
        <v>-0.67443541888289182</v>
      </c>
      <c r="K1031" s="5">
        <v>4</v>
      </c>
      <c r="L1031" s="5">
        <v>0</v>
      </c>
      <c r="M1031" s="5">
        <v>0</v>
      </c>
    </row>
    <row r="1032" spans="1:13" hidden="1" x14ac:dyDescent="0.25">
      <c r="A1032" t="s">
        <v>1043</v>
      </c>
      <c r="B1032" s="1">
        <v>6.0786151582211151E-2</v>
      </c>
      <c r="C1032" s="2">
        <v>1.7320119464644849E-5</v>
      </c>
      <c r="D1032" s="2"/>
      <c r="E1032" s="2">
        <v>1.64594798631545</v>
      </c>
      <c r="F1032" s="3">
        <v>238.36476342163741</v>
      </c>
      <c r="G1032" s="3">
        <v>1</v>
      </c>
      <c r="H1032" s="2">
        <v>5.4188793757450959E-5</v>
      </c>
      <c r="I1032" s="4">
        <v>0</v>
      </c>
      <c r="J1032" s="4">
        <v>1.64594798631545</v>
      </c>
      <c r="K1032" s="5">
        <v>1</v>
      </c>
      <c r="L1032" s="5">
        <v>0</v>
      </c>
      <c r="M1032" s="5">
        <v>0</v>
      </c>
    </row>
    <row r="1033" spans="1:13" hidden="1" x14ac:dyDescent="0.25">
      <c r="A1033" t="s">
        <v>1044</v>
      </c>
      <c r="B1033" s="1">
        <v>6.0770134595855937E-2</v>
      </c>
      <c r="C1033" s="2">
        <v>1.731555566006248E-5</v>
      </c>
      <c r="D1033" s="2"/>
      <c r="E1033" s="2">
        <v>-0.56204363472993135</v>
      </c>
      <c r="F1033" s="3">
        <v>39.454050471328642</v>
      </c>
      <c r="G1033" s="3">
        <v>3</v>
      </c>
      <c r="H1033" s="2">
        <v>1.6256638127235291E-4</v>
      </c>
      <c r="I1033" s="4">
        <v>-0.24628951255135939</v>
      </c>
      <c r="J1033" s="4">
        <v>-0.31575412217857202</v>
      </c>
      <c r="K1033" s="5">
        <v>3</v>
      </c>
      <c r="L1033" s="5">
        <v>0</v>
      </c>
      <c r="M1033" s="5">
        <v>0</v>
      </c>
    </row>
    <row r="1034" spans="1:13" hidden="1" x14ac:dyDescent="0.25">
      <c r="A1034" t="s">
        <v>1045</v>
      </c>
      <c r="B1034" s="1">
        <v>6.0723579829384741E-2</v>
      </c>
      <c r="C1034" s="2">
        <v>1.730229056437963E-5</v>
      </c>
      <c r="D1034" s="2"/>
      <c r="E1034" s="2">
        <v>-0.27882700449910758</v>
      </c>
      <c r="F1034" s="3">
        <v>64.968106458518108</v>
      </c>
      <c r="G1034" s="3">
        <v>1</v>
      </c>
      <c r="H1034" s="2">
        <v>5.4188793757450959E-5</v>
      </c>
      <c r="I1034" s="4">
        <v>0</v>
      </c>
      <c r="J1034" s="4">
        <v>-0.27882700449910758</v>
      </c>
      <c r="K1034" s="5">
        <v>1</v>
      </c>
      <c r="L1034" s="5">
        <v>0</v>
      </c>
      <c r="M1034" s="5">
        <v>0</v>
      </c>
    </row>
    <row r="1035" spans="1:13" hidden="1" x14ac:dyDescent="0.25">
      <c r="A1035" t="s">
        <v>1046</v>
      </c>
      <c r="B1035" s="1">
        <v>6.0694642097387737E-2</v>
      </c>
      <c r="C1035" s="2">
        <v>1.7294045183447001E-5</v>
      </c>
      <c r="D1035" s="2"/>
      <c r="E1035" s="2">
        <v>-0.60596120787797747</v>
      </c>
      <c r="F1035" s="3">
        <v>35.497660554509437</v>
      </c>
      <c r="G1035" s="3">
        <v>2</v>
      </c>
      <c r="H1035" s="2">
        <v>1.083775875149019E-4</v>
      </c>
      <c r="I1035" s="4">
        <v>1.110223024625157E-16</v>
      </c>
      <c r="J1035" s="4">
        <v>-0.60596120787797758</v>
      </c>
      <c r="K1035" s="5">
        <v>2</v>
      </c>
      <c r="L1035" s="5">
        <v>0</v>
      </c>
      <c r="M1035" s="5">
        <v>0</v>
      </c>
    </row>
    <row r="1036" spans="1:13" hidden="1" x14ac:dyDescent="0.25">
      <c r="A1036" t="s">
        <v>1047</v>
      </c>
      <c r="B1036" s="1">
        <v>6.0687520554428047E-2</v>
      </c>
      <c r="C1036" s="2">
        <v>1.7292016004569519E-5</v>
      </c>
      <c r="D1036" s="2"/>
      <c r="E1036" s="2">
        <v>0.91450556798247429</v>
      </c>
      <c r="F1036" s="3">
        <v>172.4715183902878</v>
      </c>
      <c r="G1036" s="3">
        <v>1</v>
      </c>
      <c r="H1036" s="2">
        <v>5.4188793757450959E-5</v>
      </c>
      <c r="I1036" s="4">
        <v>0</v>
      </c>
      <c r="J1036" s="4">
        <v>0.91450556798247429</v>
      </c>
      <c r="K1036" s="5">
        <v>1</v>
      </c>
      <c r="L1036" s="5">
        <v>0</v>
      </c>
      <c r="M1036" s="5">
        <v>0</v>
      </c>
    </row>
    <row r="1037" spans="1:13" hidden="1" x14ac:dyDescent="0.25">
      <c r="A1037" t="s">
        <v>1048</v>
      </c>
      <c r="B1037" s="1">
        <v>6.06845128876475E-2</v>
      </c>
      <c r="C1037" s="2">
        <v>1.7291159014176261E-5</v>
      </c>
      <c r="D1037" s="2"/>
      <c r="E1037" s="2">
        <v>1.6040496888382719E-2</v>
      </c>
      <c r="F1037" s="3">
        <v>91.531751160708012</v>
      </c>
      <c r="G1037" s="3">
        <v>2</v>
      </c>
      <c r="H1037" s="2">
        <v>1.083775875149019E-4</v>
      </c>
      <c r="I1037" s="4">
        <v>-2.012279232133096E-16</v>
      </c>
      <c r="J1037" s="4">
        <v>1.6040496888382921E-2</v>
      </c>
      <c r="K1037" s="5">
        <v>2</v>
      </c>
      <c r="L1037" s="5">
        <v>2</v>
      </c>
      <c r="M1037" s="5">
        <v>1</v>
      </c>
    </row>
    <row r="1038" spans="1:13" hidden="1" x14ac:dyDescent="0.25">
      <c r="A1038" t="s">
        <v>1049</v>
      </c>
      <c r="B1038" s="1">
        <v>6.0614423186752128E-2</v>
      </c>
      <c r="C1038" s="2">
        <v>1.7271187985230509E-5</v>
      </c>
      <c r="D1038" s="2"/>
      <c r="E1038" s="2">
        <v>1.577209695565847</v>
      </c>
      <c r="F1038" s="3">
        <v>232.17235658020391</v>
      </c>
      <c r="G1038" s="3">
        <v>1</v>
      </c>
      <c r="H1038" s="2">
        <v>5.4188793757450959E-5</v>
      </c>
      <c r="I1038" s="4">
        <v>2.2204460492503131E-16</v>
      </c>
      <c r="J1038" s="4">
        <v>1.577209695565847</v>
      </c>
      <c r="K1038" s="5">
        <v>1</v>
      </c>
      <c r="L1038" s="5">
        <v>0</v>
      </c>
      <c r="M1038" s="5">
        <v>0</v>
      </c>
    </row>
    <row r="1039" spans="1:13" hidden="1" x14ac:dyDescent="0.25">
      <c r="A1039" t="s">
        <v>1050</v>
      </c>
      <c r="B1039" s="1">
        <v>6.0610639956265921E-2</v>
      </c>
      <c r="C1039" s="2">
        <v>1.727011000937124E-5</v>
      </c>
      <c r="D1039" s="2"/>
      <c r="E1039" s="2">
        <v>-0.36336144102547319</v>
      </c>
      <c r="F1039" s="3">
        <v>57.352676726791607</v>
      </c>
      <c r="G1039" s="3">
        <v>1</v>
      </c>
      <c r="H1039" s="2">
        <v>5.4188793757450959E-5</v>
      </c>
      <c r="I1039" s="4">
        <v>0</v>
      </c>
      <c r="J1039" s="4">
        <v>-0.36336144102547319</v>
      </c>
      <c r="K1039" s="5">
        <v>1</v>
      </c>
      <c r="L1039" s="5">
        <v>0</v>
      </c>
      <c r="M1039" s="5">
        <v>0</v>
      </c>
    </row>
    <row r="1040" spans="1:13" hidden="1" x14ac:dyDescent="0.25">
      <c r="A1040" t="s">
        <v>1051</v>
      </c>
      <c r="B1040" s="1">
        <v>6.0531870420180503E-2</v>
      </c>
      <c r="C1040" s="2">
        <v>1.7247665789106219E-5</v>
      </c>
      <c r="D1040" s="2"/>
      <c r="E1040" s="2">
        <v>1.1698680420247141</v>
      </c>
      <c r="F1040" s="3">
        <v>195.4762849339433</v>
      </c>
      <c r="G1040" s="3">
        <v>2</v>
      </c>
      <c r="H1040" s="2">
        <v>1.083775875149019E-4</v>
      </c>
      <c r="I1040" s="4">
        <v>-0.48128383058428947</v>
      </c>
      <c r="J1040" s="4">
        <v>1.6511518726090031</v>
      </c>
      <c r="K1040" s="5">
        <v>2</v>
      </c>
      <c r="L1040" s="5">
        <v>0</v>
      </c>
      <c r="M1040" s="5">
        <v>0</v>
      </c>
    </row>
    <row r="1041" spans="1:13" hidden="1" x14ac:dyDescent="0.25">
      <c r="A1041" t="s">
        <v>1052</v>
      </c>
      <c r="B1041" s="1">
        <v>6.0529064668649497E-2</v>
      </c>
      <c r="C1041" s="2">
        <v>1.7246866331492269E-5</v>
      </c>
      <c r="D1041" s="2"/>
      <c r="E1041" s="2">
        <v>0.60988937329630288</v>
      </c>
      <c r="F1041" s="3">
        <v>145.0296459285847</v>
      </c>
      <c r="G1041" s="3">
        <v>1</v>
      </c>
      <c r="H1041" s="2">
        <v>5.4188793757450959E-5</v>
      </c>
      <c r="I1041" s="4">
        <v>1.110223024625157E-16</v>
      </c>
      <c r="J1041" s="4">
        <v>0.60988937329630277</v>
      </c>
      <c r="K1041" s="5">
        <v>1</v>
      </c>
      <c r="L1041" s="5">
        <v>0</v>
      </c>
      <c r="M1041" s="5">
        <v>0</v>
      </c>
    </row>
    <row r="1042" spans="1:13" hidden="1" x14ac:dyDescent="0.25">
      <c r="A1042" t="s">
        <v>1053</v>
      </c>
      <c r="B1042" s="1">
        <v>6.0522728538571519E-2</v>
      </c>
      <c r="C1042" s="2">
        <v>1.7245060944458591E-5</v>
      </c>
      <c r="D1042" s="2"/>
      <c r="E1042" s="2">
        <v>-0.37633540662243231</v>
      </c>
      <c r="F1042" s="3">
        <v>56.183894779393597</v>
      </c>
      <c r="G1042" s="3">
        <v>2</v>
      </c>
      <c r="H1042" s="2">
        <v>1.083775875149019E-4</v>
      </c>
      <c r="I1042" s="4">
        <v>-1.110223024625157E-16</v>
      </c>
      <c r="J1042" s="4">
        <v>-0.37633540662243209</v>
      </c>
      <c r="K1042" s="5">
        <v>2</v>
      </c>
      <c r="L1042" s="5">
        <v>0</v>
      </c>
      <c r="M1042" s="5">
        <v>0</v>
      </c>
    </row>
    <row r="1043" spans="1:13" hidden="1" x14ac:dyDescent="0.25">
      <c r="A1043" t="s">
        <v>1054</v>
      </c>
      <c r="B1043" s="1">
        <v>6.0226660714901722E-2</v>
      </c>
      <c r="C1043" s="2">
        <v>1.7160700774549441E-5</v>
      </c>
      <c r="D1043" s="2"/>
      <c r="E1043" s="2">
        <v>0.69329822152400666</v>
      </c>
      <c r="F1043" s="3">
        <v>152.54367510750049</v>
      </c>
      <c r="G1043" s="3">
        <v>1</v>
      </c>
      <c r="H1043" s="2">
        <v>5.4188793757450959E-5</v>
      </c>
      <c r="I1043" s="4">
        <v>0</v>
      </c>
      <c r="J1043" s="4">
        <v>0.69329822152400666</v>
      </c>
      <c r="K1043" s="5">
        <v>1</v>
      </c>
      <c r="L1043" s="5">
        <v>0</v>
      </c>
      <c r="M1043" s="5">
        <v>0</v>
      </c>
    </row>
    <row r="1044" spans="1:13" hidden="1" x14ac:dyDescent="0.25">
      <c r="A1044" t="s">
        <v>1055</v>
      </c>
      <c r="B1044" s="1">
        <v>6.0215329544296807E-2</v>
      </c>
      <c r="C1044" s="2">
        <v>1.7157472124216379E-5</v>
      </c>
      <c r="D1044" s="2"/>
      <c r="E1044" s="2">
        <v>-0.1025858666342665</v>
      </c>
      <c r="F1044" s="3">
        <v>80.845091701456525</v>
      </c>
      <c r="G1044" s="3">
        <v>2</v>
      </c>
      <c r="H1044" s="2">
        <v>1.083775875149019E-4</v>
      </c>
      <c r="I1044" s="4">
        <v>1.387778780781446E-17</v>
      </c>
      <c r="J1044" s="4">
        <v>-0.1025858666342665</v>
      </c>
      <c r="K1044" s="5">
        <v>2</v>
      </c>
      <c r="L1044" s="5">
        <v>0</v>
      </c>
      <c r="M1044" s="5">
        <v>0</v>
      </c>
    </row>
    <row r="1045" spans="1:13" hidden="1" x14ac:dyDescent="0.25">
      <c r="A1045" t="s">
        <v>1056</v>
      </c>
      <c r="B1045" s="1">
        <v>6.015107416214413E-2</v>
      </c>
      <c r="C1045" s="2">
        <v>1.7139163498548159E-5</v>
      </c>
      <c r="D1045" s="2"/>
      <c r="E1045" s="2">
        <v>1.980585920084762</v>
      </c>
      <c r="F1045" s="3">
        <v>268.51119575037848</v>
      </c>
      <c r="G1045" s="3">
        <v>1</v>
      </c>
      <c r="H1045" s="2">
        <v>5.4188793757450959E-5</v>
      </c>
      <c r="I1045" s="4">
        <v>2.2204460492503131E-16</v>
      </c>
      <c r="J1045" s="4">
        <v>1.980585920084762</v>
      </c>
      <c r="K1045" s="5">
        <v>1</v>
      </c>
      <c r="L1045" s="5">
        <v>0</v>
      </c>
      <c r="M1045" s="5">
        <v>0</v>
      </c>
    </row>
    <row r="1046" spans="1:13" hidden="1" x14ac:dyDescent="0.25">
      <c r="A1046" t="s">
        <v>1057</v>
      </c>
      <c r="B1046" s="1">
        <v>6.0122363122966552E-2</v>
      </c>
      <c r="C1046" s="2">
        <v>1.7130982710398781E-5</v>
      </c>
      <c r="D1046" s="2"/>
      <c r="E1046" s="2">
        <v>0.68617852290323311</v>
      </c>
      <c r="F1046" s="3">
        <v>151.9022848435379</v>
      </c>
      <c r="G1046" s="3">
        <v>1</v>
      </c>
      <c r="H1046" s="2">
        <v>5.4188793757450959E-5</v>
      </c>
      <c r="I1046" s="4">
        <v>-1.110223024625157E-16</v>
      </c>
      <c r="J1046" s="4">
        <v>0.68617852290323333</v>
      </c>
      <c r="K1046" s="5">
        <v>1</v>
      </c>
      <c r="L1046" s="5">
        <v>0</v>
      </c>
      <c r="M1046" s="5">
        <v>0</v>
      </c>
    </row>
    <row r="1047" spans="1:13" hidden="1" x14ac:dyDescent="0.25">
      <c r="A1047" t="s">
        <v>1058</v>
      </c>
      <c r="B1047" s="1">
        <v>6.0122011611291069E-2</v>
      </c>
      <c r="C1047" s="2">
        <v>1.7130882552319119E-5</v>
      </c>
      <c r="D1047" s="2"/>
      <c r="E1047" s="2">
        <v>-0.32364188347451278</v>
      </c>
      <c r="F1047" s="3">
        <v>60.930881206929868</v>
      </c>
      <c r="G1047" s="3">
        <v>1</v>
      </c>
      <c r="H1047" s="2">
        <v>5.4188793757450959E-5</v>
      </c>
      <c r="I1047" s="4">
        <v>5.5511151231257827E-17</v>
      </c>
      <c r="J1047" s="4">
        <v>-0.32364188347451289</v>
      </c>
      <c r="K1047" s="5">
        <v>1</v>
      </c>
      <c r="L1047" s="5">
        <v>0</v>
      </c>
      <c r="M1047" s="5">
        <v>0</v>
      </c>
    </row>
    <row r="1048" spans="1:13" hidden="1" x14ac:dyDescent="0.25">
      <c r="A1048" t="s">
        <v>1059</v>
      </c>
      <c r="B1048" s="1">
        <v>6.012111115359451E-2</v>
      </c>
      <c r="C1048" s="2">
        <v>1.7130625980148129E-5</v>
      </c>
      <c r="D1048" s="2"/>
      <c r="E1048" s="2">
        <v>0.81299601100463437</v>
      </c>
      <c r="F1048" s="3">
        <v>163.32685581218769</v>
      </c>
      <c r="G1048" s="3">
        <v>1</v>
      </c>
      <c r="H1048" s="2">
        <v>5.4188793757450959E-5</v>
      </c>
      <c r="I1048" s="4">
        <v>0</v>
      </c>
      <c r="J1048" s="4">
        <v>0.81299601100463437</v>
      </c>
      <c r="K1048" s="5">
        <v>1</v>
      </c>
      <c r="L1048" s="5">
        <v>0</v>
      </c>
      <c r="M1048" s="5">
        <v>0</v>
      </c>
    </row>
    <row r="1049" spans="1:13" hidden="1" x14ac:dyDescent="0.25">
      <c r="A1049" t="s">
        <v>1060</v>
      </c>
      <c r="B1049" s="1">
        <v>6.0059176584032127E-2</v>
      </c>
      <c r="C1049" s="2">
        <v>1.7112978635878269E-5</v>
      </c>
      <c r="D1049" s="2"/>
      <c r="E1049" s="2">
        <v>0.75488127043176845</v>
      </c>
      <c r="F1049" s="3">
        <v>158.0914897129278</v>
      </c>
      <c r="G1049" s="3">
        <v>1</v>
      </c>
      <c r="H1049" s="2">
        <v>5.4188793757450959E-5</v>
      </c>
      <c r="I1049" s="4">
        <v>-1.110223024625157E-16</v>
      </c>
      <c r="J1049" s="4">
        <v>0.75488127043176856</v>
      </c>
      <c r="K1049" s="5">
        <v>1</v>
      </c>
      <c r="L1049" s="5">
        <v>0</v>
      </c>
      <c r="M1049" s="5">
        <v>0</v>
      </c>
    </row>
    <row r="1050" spans="1:13" hidden="1" x14ac:dyDescent="0.25">
      <c r="A1050" t="s">
        <v>1061</v>
      </c>
      <c r="B1050" s="1">
        <v>6.00119909921909E-2</v>
      </c>
      <c r="C1050" s="2">
        <v>1.7099533795788411E-5</v>
      </c>
      <c r="D1050" s="2"/>
      <c r="E1050" s="2">
        <v>-0.27140953539388418</v>
      </c>
      <c r="F1050" s="3">
        <v>65.636321887392029</v>
      </c>
      <c r="G1050" s="3">
        <v>2</v>
      </c>
      <c r="H1050" s="2">
        <v>1.083775875149019E-4</v>
      </c>
      <c r="I1050" s="4">
        <v>-1.6653345369377351E-16</v>
      </c>
      <c r="J1050" s="4">
        <v>-0.27140953539388413</v>
      </c>
      <c r="K1050" s="5">
        <v>2</v>
      </c>
      <c r="L1050" s="5">
        <v>0</v>
      </c>
      <c r="M1050" s="5">
        <v>0</v>
      </c>
    </row>
    <row r="1051" spans="1:13" hidden="1" x14ac:dyDescent="0.25">
      <c r="A1051" t="s">
        <v>1062</v>
      </c>
      <c r="B1051" s="1">
        <v>6.0008212988231613E-2</v>
      </c>
      <c r="C1051" s="2">
        <v>1.7098457309151089E-5</v>
      </c>
      <c r="D1051" s="2"/>
      <c r="E1051" s="2">
        <v>2.0698355186309838</v>
      </c>
      <c r="F1051" s="3">
        <v>276.55139894143628</v>
      </c>
      <c r="G1051" s="3">
        <v>1</v>
      </c>
      <c r="H1051" s="2">
        <v>5.4188793757450959E-5</v>
      </c>
      <c r="I1051" s="4">
        <v>0</v>
      </c>
      <c r="J1051" s="4">
        <v>2.0698355186309838</v>
      </c>
      <c r="K1051" s="5">
        <v>1</v>
      </c>
      <c r="L1051" s="5">
        <v>0</v>
      </c>
      <c r="M1051" s="5">
        <v>0</v>
      </c>
    </row>
    <row r="1052" spans="1:13" hidden="1" x14ac:dyDescent="0.25">
      <c r="A1052" t="s">
        <v>1063</v>
      </c>
      <c r="B1052" s="1">
        <v>5.9957242278261172E-2</v>
      </c>
      <c r="C1052" s="2">
        <v>1.708393395534588E-5</v>
      </c>
      <c r="D1052" s="2"/>
      <c r="E1052" s="2">
        <v>-0.21093453012814059</v>
      </c>
      <c r="F1052" s="3">
        <v>71.084316480499922</v>
      </c>
      <c r="G1052" s="3">
        <v>2</v>
      </c>
      <c r="H1052" s="2">
        <v>1.083775875149019E-4</v>
      </c>
      <c r="I1052" s="4">
        <v>5.5511151231257827E-17</v>
      </c>
      <c r="J1052" s="4">
        <v>-0.21093453012814059</v>
      </c>
      <c r="K1052" s="5">
        <v>2</v>
      </c>
      <c r="L1052" s="5">
        <v>0</v>
      </c>
      <c r="M1052" s="5">
        <v>0</v>
      </c>
    </row>
    <row r="1053" spans="1:13" hidden="1" x14ac:dyDescent="0.25">
      <c r="A1053" t="s">
        <v>1064</v>
      </c>
      <c r="B1053" s="1">
        <v>5.9947849563724002E-2</v>
      </c>
      <c r="C1053" s="2">
        <v>1.70812576395462E-5</v>
      </c>
      <c r="D1053" s="2"/>
      <c r="E1053" s="2">
        <v>-0.34686776174193312</v>
      </c>
      <c r="F1053" s="3">
        <v>58.838538119648433</v>
      </c>
      <c r="G1053" s="3">
        <v>2</v>
      </c>
      <c r="H1053" s="2">
        <v>1.083775875149019E-4</v>
      </c>
      <c r="I1053" s="4">
        <v>1.110223024625157E-16</v>
      </c>
      <c r="J1053" s="4">
        <v>-0.34686776174193318</v>
      </c>
      <c r="K1053" s="5">
        <v>2</v>
      </c>
      <c r="L1053" s="5">
        <v>0</v>
      </c>
      <c r="M1053" s="5">
        <v>0</v>
      </c>
    </row>
    <row r="1054" spans="1:13" hidden="1" x14ac:dyDescent="0.25">
      <c r="A1054" t="s">
        <v>1065</v>
      </c>
      <c r="B1054" s="1">
        <v>5.9855549523613771E-2</v>
      </c>
      <c r="C1054" s="2">
        <v>1.7054958101251879E-5</v>
      </c>
      <c r="D1054" s="2"/>
      <c r="E1054" s="2">
        <v>0.37002080798740627</v>
      </c>
      <c r="F1054" s="3">
        <v>123.42067473268369</v>
      </c>
      <c r="G1054" s="3">
        <v>1</v>
      </c>
      <c r="H1054" s="2">
        <v>5.4188793757450959E-5</v>
      </c>
      <c r="I1054" s="4">
        <v>5.5511151231257827E-17</v>
      </c>
      <c r="J1054" s="4">
        <v>0.37002080798740627</v>
      </c>
      <c r="K1054" s="5">
        <v>1</v>
      </c>
      <c r="L1054" s="5">
        <v>0</v>
      </c>
      <c r="M1054" s="5">
        <v>0</v>
      </c>
    </row>
    <row r="1055" spans="1:13" hidden="1" x14ac:dyDescent="0.25">
      <c r="A1055" t="s">
        <v>1066</v>
      </c>
      <c r="B1055" s="1">
        <v>5.9796405419941093E-2</v>
      </c>
      <c r="C1055" s="2">
        <v>1.703810585917739E-5</v>
      </c>
      <c r="D1055" s="2"/>
      <c r="E1055" s="2">
        <v>0.74853174789781951</v>
      </c>
      <c r="F1055" s="3">
        <v>157.51948208296949</v>
      </c>
      <c r="G1055" s="3">
        <v>1</v>
      </c>
      <c r="H1055" s="2">
        <v>5.4188793757450959E-5</v>
      </c>
      <c r="I1055" s="4">
        <v>-1.110223024625157E-16</v>
      </c>
      <c r="J1055" s="4">
        <v>0.74853174789781962</v>
      </c>
      <c r="K1055" s="5">
        <v>1</v>
      </c>
      <c r="L1055" s="5">
        <v>0</v>
      </c>
      <c r="M1055" s="5">
        <v>1</v>
      </c>
    </row>
    <row r="1056" spans="1:13" hidden="1" x14ac:dyDescent="0.25">
      <c r="A1056" t="s">
        <v>1067</v>
      </c>
      <c r="B1056" s="1">
        <v>5.9785794937400327E-2</v>
      </c>
      <c r="C1056" s="2">
        <v>1.7035082558303749E-5</v>
      </c>
      <c r="D1056" s="2"/>
      <c r="E1056" s="2">
        <v>1.372678060196186E-2</v>
      </c>
      <c r="F1056" s="3">
        <v>91.323316059908663</v>
      </c>
      <c r="G1056" s="3">
        <v>1</v>
      </c>
      <c r="H1056" s="2">
        <v>5.4188793757450959E-5</v>
      </c>
      <c r="I1056" s="4">
        <v>2.2551405187698489E-17</v>
      </c>
      <c r="J1056" s="4">
        <v>1.3726780601961841E-2</v>
      </c>
      <c r="K1056" s="5">
        <v>1</v>
      </c>
      <c r="L1056" s="5">
        <v>0</v>
      </c>
      <c r="M1056" s="5">
        <v>0</v>
      </c>
    </row>
    <row r="1057" spans="1:13" hidden="1" x14ac:dyDescent="0.25">
      <c r="A1057" t="s">
        <v>1068</v>
      </c>
      <c r="B1057" s="1">
        <v>5.9694585838373442E-2</v>
      </c>
      <c r="C1057" s="2">
        <v>1.700909386761864E-5</v>
      </c>
      <c r="D1057" s="2"/>
      <c r="E1057" s="2">
        <v>-0.12791357064920361</v>
      </c>
      <c r="F1057" s="3">
        <v>78.56340203606716</v>
      </c>
      <c r="G1057" s="3">
        <v>2</v>
      </c>
      <c r="H1057" s="2">
        <v>1.083775875149019E-4</v>
      </c>
      <c r="I1057" s="4">
        <v>-3.05311331771918E-16</v>
      </c>
      <c r="J1057" s="4">
        <v>-0.12791357064920331</v>
      </c>
      <c r="K1057" s="5">
        <v>2</v>
      </c>
      <c r="L1057" s="5">
        <v>0</v>
      </c>
      <c r="M1057" s="5">
        <v>2</v>
      </c>
    </row>
    <row r="1058" spans="1:13" hidden="1" x14ac:dyDescent="0.25">
      <c r="A1058" t="s">
        <v>1069</v>
      </c>
      <c r="B1058" s="1">
        <v>5.9643346567743977E-2</v>
      </c>
      <c r="C1058" s="2">
        <v>1.6994493991405331E-5</v>
      </c>
      <c r="D1058" s="2"/>
      <c r="E1058" s="2">
        <v>1.172209239966213</v>
      </c>
      <c r="F1058" s="3">
        <v>195.6871957667847</v>
      </c>
      <c r="G1058" s="3">
        <v>1</v>
      </c>
      <c r="H1058" s="2">
        <v>5.4188793757450959E-5</v>
      </c>
      <c r="I1058" s="4">
        <v>-2.2204460492503131E-16</v>
      </c>
      <c r="J1058" s="4">
        <v>1.172209239966213</v>
      </c>
      <c r="K1058" s="5">
        <v>1</v>
      </c>
      <c r="L1058" s="5">
        <v>0</v>
      </c>
      <c r="M1058" s="5">
        <v>0</v>
      </c>
    </row>
    <row r="1059" spans="1:13" hidden="1" x14ac:dyDescent="0.25">
      <c r="A1059" t="s">
        <v>1070</v>
      </c>
      <c r="B1059" s="1">
        <v>5.9610951655861548E-2</v>
      </c>
      <c r="C1059" s="2">
        <v>1.6985263537934511E-5</v>
      </c>
      <c r="D1059" s="2"/>
      <c r="E1059" s="2">
        <v>-0.43430857099130538</v>
      </c>
      <c r="F1059" s="3">
        <v>50.961282815341683</v>
      </c>
      <c r="G1059" s="3">
        <v>10</v>
      </c>
      <c r="H1059" s="2">
        <v>5.4188793757450958E-4</v>
      </c>
      <c r="I1059" s="4">
        <v>8.697138162627549E-2</v>
      </c>
      <c r="J1059" s="4">
        <v>-0.52127995261758087</v>
      </c>
      <c r="K1059" s="5">
        <v>10</v>
      </c>
      <c r="L1059" s="5">
        <v>0</v>
      </c>
      <c r="M1059" s="5">
        <v>0</v>
      </c>
    </row>
    <row r="1060" spans="1:13" hidden="1" x14ac:dyDescent="0.25">
      <c r="A1060" t="s">
        <v>1071</v>
      </c>
      <c r="B1060" s="1">
        <v>5.9415562420480857E-2</v>
      </c>
      <c r="C1060" s="2">
        <v>1.6929590250338359E-5</v>
      </c>
      <c r="D1060" s="2"/>
      <c r="E1060" s="2">
        <v>-0.66768305927903415</v>
      </c>
      <c r="F1060" s="3">
        <v>29.937341688360601</v>
      </c>
      <c r="G1060" s="3">
        <v>7</v>
      </c>
      <c r="H1060" s="2">
        <v>3.7932155630215669E-4</v>
      </c>
      <c r="I1060" s="4">
        <v>0</v>
      </c>
      <c r="J1060" s="4">
        <v>-0.66768305927903415</v>
      </c>
      <c r="K1060" s="5">
        <v>7</v>
      </c>
      <c r="L1060" s="5">
        <v>0</v>
      </c>
      <c r="M1060" s="5">
        <v>0</v>
      </c>
    </row>
    <row r="1061" spans="1:13" hidden="1" x14ac:dyDescent="0.25">
      <c r="A1061" t="s">
        <v>1072</v>
      </c>
      <c r="B1061" s="1">
        <v>5.9314882006398187E-2</v>
      </c>
      <c r="C1061" s="2">
        <v>1.6900902847792351E-5</v>
      </c>
      <c r="D1061" s="2"/>
      <c r="E1061" s="2">
        <v>-0.1050244495587489</v>
      </c>
      <c r="F1061" s="3">
        <v>80.625407775361012</v>
      </c>
      <c r="G1061" s="3">
        <v>1</v>
      </c>
      <c r="H1061" s="2">
        <v>5.4188793757450959E-5</v>
      </c>
      <c r="I1061" s="4">
        <v>1.387778780781446E-17</v>
      </c>
      <c r="J1061" s="4">
        <v>-0.1050244495587489</v>
      </c>
      <c r="K1061" s="5">
        <v>1</v>
      </c>
      <c r="L1061" s="5">
        <v>0</v>
      </c>
      <c r="M1061" s="5">
        <v>0</v>
      </c>
    </row>
    <row r="1062" spans="1:13" hidden="1" x14ac:dyDescent="0.25">
      <c r="A1062" t="s">
        <v>1073</v>
      </c>
      <c r="B1062" s="1">
        <v>5.9307231499022513E-2</v>
      </c>
      <c r="C1062" s="2">
        <v>1.6898722948287901E-5</v>
      </c>
      <c r="D1062" s="2"/>
      <c r="E1062" s="2">
        <v>4.5038740169373037E-2</v>
      </c>
      <c r="F1062" s="3">
        <v>94.144107652621429</v>
      </c>
      <c r="G1062" s="3">
        <v>1</v>
      </c>
      <c r="H1062" s="2">
        <v>5.4188793757450959E-5</v>
      </c>
      <c r="I1062" s="4">
        <v>-6.9388939039072284E-17</v>
      </c>
      <c r="J1062" s="4">
        <v>4.5038740169373107E-2</v>
      </c>
      <c r="K1062" s="5">
        <v>1</v>
      </c>
      <c r="L1062" s="5">
        <v>1</v>
      </c>
      <c r="M1062" s="5">
        <v>0</v>
      </c>
    </row>
    <row r="1063" spans="1:13" hidden="1" x14ac:dyDescent="0.25">
      <c r="A1063" t="s">
        <v>1074</v>
      </c>
      <c r="B1063" s="1">
        <v>5.9213149835234437E-2</v>
      </c>
      <c r="C1063" s="2">
        <v>1.6871915762542008E-5</v>
      </c>
      <c r="D1063" s="2"/>
      <c r="E1063" s="2">
        <v>0.48060955699217311</v>
      </c>
      <c r="F1063" s="3">
        <v>133.383251899714</v>
      </c>
      <c r="G1063" s="3">
        <v>2</v>
      </c>
      <c r="H1063" s="2">
        <v>1.083775875149019E-4</v>
      </c>
      <c r="I1063" s="4">
        <v>-1.6653345369377351E-16</v>
      </c>
      <c r="J1063" s="4">
        <v>0.48060955699217328</v>
      </c>
      <c r="K1063" s="5">
        <v>2</v>
      </c>
      <c r="L1063" s="5">
        <v>0</v>
      </c>
      <c r="M1063" s="5">
        <v>0</v>
      </c>
    </row>
    <row r="1064" spans="1:13" hidden="1" x14ac:dyDescent="0.25">
      <c r="A1064" t="s">
        <v>1075</v>
      </c>
      <c r="B1064" s="1">
        <v>5.9199319357240758E-2</v>
      </c>
      <c r="C1064" s="2">
        <v>1.6867974971344201E-5</v>
      </c>
      <c r="D1064" s="2"/>
      <c r="E1064" s="2">
        <v>-0.39427005305235058</v>
      </c>
      <c r="F1064" s="3">
        <v>54.568221389203032</v>
      </c>
      <c r="G1064" s="3">
        <v>1</v>
      </c>
      <c r="H1064" s="2">
        <v>5.4188793757450959E-5</v>
      </c>
      <c r="I1064" s="4">
        <v>5.5511151231257827E-17</v>
      </c>
      <c r="J1064" s="4">
        <v>-0.39427005305235069</v>
      </c>
      <c r="K1064" s="5">
        <v>1</v>
      </c>
      <c r="L1064" s="5">
        <v>0</v>
      </c>
      <c r="M1064" s="5">
        <v>0</v>
      </c>
    </row>
    <row r="1065" spans="1:13" hidden="1" x14ac:dyDescent="0.25">
      <c r="A1065" t="s">
        <v>1076</v>
      </c>
      <c r="B1065" s="1">
        <v>5.9189690124216432E-2</v>
      </c>
      <c r="C1065" s="2">
        <v>1.686523126308182E-5</v>
      </c>
      <c r="D1065" s="2"/>
      <c r="E1065" s="2">
        <v>-0.41139677676950331</v>
      </c>
      <c r="F1065" s="3">
        <v>53.025331102568288</v>
      </c>
      <c r="G1065" s="3">
        <v>1</v>
      </c>
      <c r="H1065" s="2">
        <v>5.4188793757450959E-5</v>
      </c>
      <c r="I1065" s="4">
        <v>-5.5511151231257827E-17</v>
      </c>
      <c r="J1065" s="4">
        <v>-0.41139677676950331</v>
      </c>
      <c r="K1065" s="5">
        <v>1</v>
      </c>
      <c r="L1065" s="5">
        <v>0</v>
      </c>
      <c r="M1065" s="5">
        <v>0</v>
      </c>
    </row>
    <row r="1066" spans="1:13" hidden="1" x14ac:dyDescent="0.25">
      <c r="A1066" t="s">
        <v>1077</v>
      </c>
      <c r="B1066" s="1">
        <v>5.9111712989187937E-2</v>
      </c>
      <c r="C1066" s="2">
        <v>1.684301282583831E-5</v>
      </c>
      <c r="D1066" s="2"/>
      <c r="E1066" s="2">
        <v>-0.25310832071190048</v>
      </c>
      <c r="F1066" s="3">
        <v>67.2850182074109</v>
      </c>
      <c r="G1066" s="3">
        <v>1</v>
      </c>
      <c r="H1066" s="2">
        <v>5.4188793757450959E-5</v>
      </c>
      <c r="I1066" s="4">
        <v>5.5511151231257827E-17</v>
      </c>
      <c r="J1066" s="4">
        <v>-0.25310832071190048</v>
      </c>
      <c r="K1066" s="5">
        <v>1</v>
      </c>
      <c r="L1066" s="5">
        <v>0</v>
      </c>
      <c r="M1066" s="5">
        <v>0</v>
      </c>
    </row>
    <row r="1067" spans="1:13" hidden="1" x14ac:dyDescent="0.25">
      <c r="A1067" t="s">
        <v>1078</v>
      </c>
      <c r="B1067" s="1">
        <v>5.899459764192197E-2</v>
      </c>
      <c r="C1067" s="2">
        <v>1.680964253091107E-5</v>
      </c>
      <c r="D1067" s="2"/>
      <c r="E1067" s="2">
        <v>-0.26776863228735293</v>
      </c>
      <c r="F1067" s="3">
        <v>65.96431888964527</v>
      </c>
      <c r="G1067" s="3">
        <v>1</v>
      </c>
      <c r="H1067" s="2">
        <v>5.4188793757450959E-5</v>
      </c>
      <c r="I1067" s="4">
        <v>0</v>
      </c>
      <c r="J1067" s="4">
        <v>-0.26776863228735293</v>
      </c>
      <c r="K1067" s="5">
        <v>1</v>
      </c>
      <c r="L1067" s="5">
        <v>0</v>
      </c>
      <c r="M1067" s="5">
        <v>0</v>
      </c>
    </row>
    <row r="1068" spans="1:13" hidden="1" x14ac:dyDescent="0.25">
      <c r="A1068" t="s">
        <v>1079</v>
      </c>
      <c r="B1068" s="1">
        <v>5.8868445047354077E-2</v>
      </c>
      <c r="C1068" s="2">
        <v>1.6773697205342379E-5</v>
      </c>
      <c r="D1068" s="2"/>
      <c r="E1068" s="2">
        <v>5.9619960419729967</v>
      </c>
      <c r="F1068" s="3">
        <v>627.18335661547064</v>
      </c>
      <c r="G1068" s="3">
        <v>1</v>
      </c>
      <c r="H1068" s="2">
        <v>5.4188793757450959E-5</v>
      </c>
      <c r="I1068" s="4">
        <v>0</v>
      </c>
      <c r="J1068" s="4">
        <v>5.9619960419729967</v>
      </c>
      <c r="K1068" s="5">
        <v>1</v>
      </c>
      <c r="L1068" s="5">
        <v>0</v>
      </c>
      <c r="M1068" s="5">
        <v>0</v>
      </c>
    </row>
    <row r="1069" spans="1:13" hidden="1" x14ac:dyDescent="0.25">
      <c r="A1069" t="s">
        <v>1080</v>
      </c>
      <c r="B1069" s="1">
        <v>5.8796996879643293E-2</v>
      </c>
      <c r="C1069" s="2">
        <v>1.675333910126653E-5</v>
      </c>
      <c r="D1069" s="2"/>
      <c r="E1069" s="2">
        <v>-5.7805247479052017E-2</v>
      </c>
      <c r="F1069" s="3">
        <v>84.879230598370796</v>
      </c>
      <c r="G1069" s="3">
        <v>1</v>
      </c>
      <c r="H1069" s="2">
        <v>5.4188793757450959E-5</v>
      </c>
      <c r="I1069" s="4">
        <v>1.457167719820518E-16</v>
      </c>
      <c r="J1069" s="4">
        <v>-5.780524747905217E-2</v>
      </c>
      <c r="K1069" s="5">
        <v>1</v>
      </c>
      <c r="L1069" s="5">
        <v>0</v>
      </c>
      <c r="M1069" s="5">
        <v>0</v>
      </c>
    </row>
    <row r="1070" spans="1:13" hidden="1" x14ac:dyDescent="0.25">
      <c r="A1070" t="s">
        <v>1081</v>
      </c>
      <c r="B1070" s="1">
        <v>5.8732051632581363E-2</v>
      </c>
      <c r="C1070" s="2">
        <v>1.6734833908743321E-5</v>
      </c>
      <c r="D1070" s="2"/>
      <c r="E1070" s="2">
        <v>-0.40087314358431902</v>
      </c>
      <c r="F1070" s="3">
        <v>53.973370651152017</v>
      </c>
      <c r="G1070" s="3">
        <v>1</v>
      </c>
      <c r="H1070" s="2">
        <v>5.4188793757450959E-5</v>
      </c>
      <c r="I1070" s="4">
        <v>-5.5511151231257827E-17</v>
      </c>
      <c r="J1070" s="4">
        <v>-0.40087314358431902</v>
      </c>
      <c r="K1070" s="5">
        <v>1</v>
      </c>
      <c r="L1070" s="5">
        <v>0</v>
      </c>
      <c r="M1070" s="5">
        <v>0</v>
      </c>
    </row>
    <row r="1071" spans="1:13" hidden="1" x14ac:dyDescent="0.25">
      <c r="A1071" t="s">
        <v>1082</v>
      </c>
      <c r="B1071" s="1">
        <v>5.8642413745376293E-2</v>
      </c>
      <c r="C1071" s="2">
        <v>1.6709292911747482E-5</v>
      </c>
      <c r="D1071" s="2"/>
      <c r="E1071" s="2">
        <v>7.8663401579218917E-2</v>
      </c>
      <c r="F1071" s="3">
        <v>97.173242958206757</v>
      </c>
      <c r="G1071" s="3">
        <v>1</v>
      </c>
      <c r="H1071" s="2">
        <v>5.4188793757450959E-5</v>
      </c>
      <c r="I1071" s="4">
        <v>-1.387778780781446E-17</v>
      </c>
      <c r="J1071" s="4">
        <v>7.8663401579218931E-2</v>
      </c>
      <c r="K1071" s="5">
        <v>1</v>
      </c>
      <c r="L1071" s="5">
        <v>0</v>
      </c>
      <c r="M1071" s="5">
        <v>0</v>
      </c>
    </row>
    <row r="1072" spans="1:13" hidden="1" x14ac:dyDescent="0.25">
      <c r="A1072" t="s">
        <v>1083</v>
      </c>
      <c r="B1072" s="1">
        <v>5.8587480034824363E-2</v>
      </c>
      <c r="C1072" s="2">
        <v>1.6693640359239549E-5</v>
      </c>
      <c r="D1072" s="2"/>
      <c r="E1072" s="2">
        <v>1.134461453150408</v>
      </c>
      <c r="F1072" s="3">
        <v>192.28662163585881</v>
      </c>
      <c r="G1072" s="3">
        <v>1</v>
      </c>
      <c r="H1072" s="2">
        <v>5.4188793757450959E-5</v>
      </c>
      <c r="I1072" s="4">
        <v>0</v>
      </c>
      <c r="J1072" s="4">
        <v>1.134461453150408</v>
      </c>
      <c r="K1072" s="5">
        <v>1</v>
      </c>
      <c r="L1072" s="5">
        <v>0</v>
      </c>
      <c r="M1072" s="5">
        <v>0</v>
      </c>
    </row>
    <row r="1073" spans="1:13" hidden="1" x14ac:dyDescent="0.25">
      <c r="A1073" t="s">
        <v>1084</v>
      </c>
      <c r="B1073" s="1">
        <v>5.8448087956784002E-2</v>
      </c>
      <c r="C1073" s="2">
        <v>1.6653922637665759E-5</v>
      </c>
      <c r="D1073" s="2"/>
      <c r="E1073" s="2">
        <v>0.36807669167503182</v>
      </c>
      <c r="F1073" s="3">
        <v>123.2455356795882</v>
      </c>
      <c r="G1073" s="3">
        <v>3</v>
      </c>
      <c r="H1073" s="2">
        <v>1.6256638127235291E-4</v>
      </c>
      <c r="I1073" s="4">
        <v>-1.110223024625157E-16</v>
      </c>
      <c r="J1073" s="4">
        <v>0.36807669167503188</v>
      </c>
      <c r="K1073" s="5">
        <v>3</v>
      </c>
      <c r="L1073" s="5">
        <v>0</v>
      </c>
      <c r="M1073" s="5">
        <v>0</v>
      </c>
    </row>
    <row r="1074" spans="1:13" hidden="1" x14ac:dyDescent="0.25">
      <c r="A1074" t="s">
        <v>1085</v>
      </c>
      <c r="B1074" s="1">
        <v>5.8377462149081127E-2</v>
      </c>
      <c r="C1074" s="2">
        <v>1.6633798852973682E-5</v>
      </c>
      <c r="D1074" s="2"/>
      <c r="E1074" s="2">
        <v>0.6360025335409254</v>
      </c>
      <c r="F1074" s="3">
        <v>147.38209476586081</v>
      </c>
      <c r="G1074" s="3">
        <v>1</v>
      </c>
      <c r="H1074" s="2">
        <v>5.4188793757450959E-5</v>
      </c>
      <c r="I1074" s="4">
        <v>-1.110223024625157E-16</v>
      </c>
      <c r="J1074" s="4">
        <v>0.63600253354092562</v>
      </c>
      <c r="K1074" s="5">
        <v>1</v>
      </c>
      <c r="L1074" s="5">
        <v>0</v>
      </c>
      <c r="M1074" s="5">
        <v>0</v>
      </c>
    </row>
    <row r="1075" spans="1:13" hidden="1" x14ac:dyDescent="0.25">
      <c r="A1075" t="s">
        <v>1086</v>
      </c>
      <c r="B1075" s="1">
        <v>5.8304309756286747E-2</v>
      </c>
      <c r="C1075" s="2">
        <v>1.661295515503683E-5</v>
      </c>
      <c r="D1075" s="2"/>
      <c r="E1075" s="2">
        <v>-0.2981959510538561</v>
      </c>
      <c r="F1075" s="3">
        <v>63.223221681067109</v>
      </c>
      <c r="G1075" s="3">
        <v>1</v>
      </c>
      <c r="H1075" s="2">
        <v>5.4188793757450959E-5</v>
      </c>
      <c r="I1075" s="4">
        <v>0</v>
      </c>
      <c r="J1075" s="4">
        <v>-0.2981959510538561</v>
      </c>
      <c r="K1075" s="5">
        <v>1</v>
      </c>
      <c r="L1075" s="5">
        <v>0</v>
      </c>
      <c r="M1075" s="5">
        <v>0</v>
      </c>
    </row>
    <row r="1076" spans="1:13" hidden="1" x14ac:dyDescent="0.25">
      <c r="A1076" t="s">
        <v>1087</v>
      </c>
      <c r="B1076" s="1">
        <v>5.8285464062309743E-2</v>
      </c>
      <c r="C1076" s="2">
        <v>1.6607585351840209E-5</v>
      </c>
      <c r="D1076" s="2"/>
      <c r="E1076" s="2">
        <v>-0.43928848075013482</v>
      </c>
      <c r="F1076" s="3">
        <v>50.512659101775228</v>
      </c>
      <c r="G1076" s="3">
        <v>2</v>
      </c>
      <c r="H1076" s="2">
        <v>1.083775875149019E-4</v>
      </c>
      <c r="I1076" s="4">
        <v>-1.110223024625157E-16</v>
      </c>
      <c r="J1076" s="4">
        <v>-0.43928848075013471</v>
      </c>
      <c r="K1076" s="5">
        <v>2</v>
      </c>
      <c r="L1076" s="5">
        <v>0</v>
      </c>
      <c r="M1076" s="5">
        <v>0</v>
      </c>
    </row>
    <row r="1077" spans="1:13" hidden="1" x14ac:dyDescent="0.25">
      <c r="A1077" t="s">
        <v>1088</v>
      </c>
      <c r="B1077" s="1">
        <v>5.8125605775271129E-2</v>
      </c>
      <c r="C1077" s="2">
        <v>1.6562036085159341E-5</v>
      </c>
      <c r="D1077" s="2"/>
      <c r="E1077" s="2">
        <v>-0.18620541809030139</v>
      </c>
      <c r="F1077" s="3">
        <v>73.312080960759047</v>
      </c>
      <c r="G1077" s="3">
        <v>1</v>
      </c>
      <c r="H1077" s="2">
        <v>5.4188793757450959E-5</v>
      </c>
      <c r="I1077" s="4">
        <v>-2.775557561562891E-17</v>
      </c>
      <c r="J1077" s="4">
        <v>-0.18620541809030139</v>
      </c>
      <c r="K1077" s="5">
        <v>1</v>
      </c>
      <c r="L1077" s="5">
        <v>0</v>
      </c>
      <c r="M1077" s="5">
        <v>1</v>
      </c>
    </row>
    <row r="1078" spans="1:13" hidden="1" x14ac:dyDescent="0.25">
      <c r="A1078" t="s">
        <v>1089</v>
      </c>
      <c r="B1078" s="1">
        <v>5.8076014417799783E-2</v>
      </c>
      <c r="C1078" s="2">
        <v>1.654790575755247E-5</v>
      </c>
      <c r="D1078" s="2"/>
      <c r="E1078" s="2">
        <v>0.67405592346761045</v>
      </c>
      <c r="F1078" s="3">
        <v>150.8101996772867</v>
      </c>
      <c r="G1078" s="3">
        <v>2</v>
      </c>
      <c r="H1078" s="2">
        <v>1.083775875149019E-4</v>
      </c>
      <c r="I1078" s="4">
        <v>-3.3306690738754701E-16</v>
      </c>
      <c r="J1078" s="4">
        <v>0.67405592346761078</v>
      </c>
      <c r="K1078" s="5">
        <v>2</v>
      </c>
      <c r="L1078" s="5">
        <v>0</v>
      </c>
      <c r="M1078" s="5">
        <v>0</v>
      </c>
    </row>
    <row r="1079" spans="1:13" hidden="1" x14ac:dyDescent="0.25">
      <c r="A1079" t="s">
        <v>1090</v>
      </c>
      <c r="B1079" s="1">
        <v>5.8045528582810667E-2</v>
      </c>
      <c r="C1079" s="2">
        <v>1.6539219267451569E-5</v>
      </c>
      <c r="D1079" s="2"/>
      <c r="E1079" s="2">
        <v>6.8391984949434397</v>
      </c>
      <c r="F1079" s="3">
        <v>706.2076444157567</v>
      </c>
      <c r="G1079" s="3">
        <v>1</v>
      </c>
      <c r="H1079" s="2">
        <v>5.4188793757450959E-5</v>
      </c>
      <c r="I1079" s="4">
        <v>0</v>
      </c>
      <c r="J1079" s="4">
        <v>6.8391984949434397</v>
      </c>
      <c r="K1079" s="5">
        <v>1</v>
      </c>
      <c r="L1079" s="5">
        <v>0</v>
      </c>
      <c r="M1079" s="5">
        <v>0</v>
      </c>
    </row>
    <row r="1080" spans="1:13" hidden="1" x14ac:dyDescent="0.25">
      <c r="A1080" t="s">
        <v>1091</v>
      </c>
      <c r="B1080" s="1">
        <v>5.7900565970459478E-2</v>
      </c>
      <c r="C1080" s="2">
        <v>1.64979143040927E-5</v>
      </c>
      <c r="D1080" s="2"/>
      <c r="E1080" s="2">
        <v>-0.57929612518375984</v>
      </c>
      <c r="F1080" s="3">
        <v>37.899830272469963</v>
      </c>
      <c r="G1080" s="3">
        <v>2</v>
      </c>
      <c r="H1080" s="2">
        <v>1.083775875149019E-4</v>
      </c>
      <c r="I1080" s="4">
        <v>0</v>
      </c>
      <c r="J1080" s="4">
        <v>-0.57929612518375984</v>
      </c>
      <c r="K1080" s="5">
        <v>2</v>
      </c>
      <c r="L1080" s="5">
        <v>0</v>
      </c>
      <c r="M1080" s="5">
        <v>0</v>
      </c>
    </row>
    <row r="1081" spans="1:13" hidden="1" x14ac:dyDescent="0.25">
      <c r="A1081" t="s">
        <v>1092</v>
      </c>
      <c r="B1081" s="1">
        <v>5.7837887149418447E-2</v>
      </c>
      <c r="C1081" s="2">
        <v>1.648005489631517E-5</v>
      </c>
      <c r="D1081" s="2"/>
      <c r="E1081" s="2">
        <v>0.26650165454640962</v>
      </c>
      <c r="F1081" s="3">
        <v>114.0949742097749</v>
      </c>
      <c r="G1081" s="3">
        <v>1</v>
      </c>
      <c r="H1081" s="2">
        <v>5.4188793757450959E-5</v>
      </c>
      <c r="I1081" s="4">
        <v>-5.5511151231257827E-17</v>
      </c>
      <c r="J1081" s="4">
        <v>0.26650165454640973</v>
      </c>
      <c r="K1081" s="5">
        <v>1</v>
      </c>
      <c r="L1081" s="5">
        <v>0</v>
      </c>
      <c r="M1081" s="5">
        <v>0</v>
      </c>
    </row>
    <row r="1082" spans="1:13" hidden="1" x14ac:dyDescent="0.25">
      <c r="A1082" t="s">
        <v>1093</v>
      </c>
      <c r="B1082" s="1">
        <v>5.7700579140953931E-2</v>
      </c>
      <c r="C1082" s="2">
        <v>1.6440930999701291E-5</v>
      </c>
      <c r="D1082" s="2"/>
      <c r="E1082" s="2">
        <v>-0.1228167860523061</v>
      </c>
      <c r="F1082" s="3">
        <v>79.022554619917585</v>
      </c>
      <c r="G1082" s="3">
        <v>2</v>
      </c>
      <c r="H1082" s="2">
        <v>1.083775875149019E-4</v>
      </c>
      <c r="I1082" s="4">
        <v>-4.163336342344337E-17</v>
      </c>
      <c r="J1082" s="4">
        <v>-0.122816786052306</v>
      </c>
      <c r="K1082" s="5">
        <v>2</v>
      </c>
      <c r="L1082" s="5">
        <v>0</v>
      </c>
      <c r="M1082" s="5">
        <v>0</v>
      </c>
    </row>
    <row r="1083" spans="1:13" hidden="1" x14ac:dyDescent="0.25">
      <c r="A1083" t="s">
        <v>1094</v>
      </c>
      <c r="B1083" s="1">
        <v>5.7662634694990153E-2</v>
      </c>
      <c r="C1083" s="2">
        <v>1.6430119288151761E-5</v>
      </c>
      <c r="D1083" s="2"/>
      <c r="E1083" s="2">
        <v>0.21768493520204871</v>
      </c>
      <c r="F1083" s="3">
        <v>109.69723630346689</v>
      </c>
      <c r="G1083" s="3">
        <v>1</v>
      </c>
      <c r="H1083" s="2">
        <v>5.4188793757450959E-5</v>
      </c>
      <c r="I1083" s="4">
        <v>2.775557561562891E-17</v>
      </c>
      <c r="J1083" s="4">
        <v>0.21768493520204871</v>
      </c>
      <c r="K1083" s="5">
        <v>1</v>
      </c>
      <c r="L1083" s="5">
        <v>0</v>
      </c>
      <c r="M1083" s="5">
        <v>0</v>
      </c>
    </row>
    <row r="1084" spans="1:13" hidden="1" x14ac:dyDescent="0.25">
      <c r="A1084" t="s">
        <v>1095</v>
      </c>
      <c r="B1084" s="1">
        <v>5.7497067402324742E-2</v>
      </c>
      <c r="C1084" s="2">
        <v>1.6382943324321841E-5</v>
      </c>
      <c r="D1084" s="2"/>
      <c r="E1084" s="2" t="s">
        <v>303</v>
      </c>
      <c r="F1084" s="3" t="s">
        <v>303</v>
      </c>
      <c r="G1084" s="3">
        <v>1</v>
      </c>
      <c r="H1084" s="2">
        <v>5.4188793757450959E-5</v>
      </c>
      <c r="I1084" s="4" t="s">
        <v>303</v>
      </c>
      <c r="J1084" s="4">
        <v>0</v>
      </c>
      <c r="K1084" s="5">
        <v>1</v>
      </c>
      <c r="L1084" s="5">
        <v>0</v>
      </c>
      <c r="M1084" s="5">
        <v>1</v>
      </c>
    </row>
    <row r="1085" spans="1:13" hidden="1" x14ac:dyDescent="0.25">
      <c r="A1085" t="s">
        <v>1096</v>
      </c>
      <c r="B1085" s="1">
        <v>5.7285027002550781E-2</v>
      </c>
      <c r="C1085" s="2">
        <v>1.6322525532442902E-5</v>
      </c>
      <c r="D1085" s="2"/>
      <c r="E1085" s="2">
        <v>0.51840686313585693</v>
      </c>
      <c r="F1085" s="3">
        <v>136.78828706424139</v>
      </c>
      <c r="G1085" s="3">
        <v>1</v>
      </c>
      <c r="H1085" s="2">
        <v>5.4188793757450959E-5</v>
      </c>
      <c r="I1085" s="4">
        <v>0</v>
      </c>
      <c r="J1085" s="4">
        <v>0.51840686313585693</v>
      </c>
      <c r="K1085" s="5">
        <v>1</v>
      </c>
      <c r="L1085" s="5">
        <v>0</v>
      </c>
      <c r="M1085" s="5">
        <v>0</v>
      </c>
    </row>
    <row r="1086" spans="1:13" hidden="1" x14ac:dyDescent="0.25">
      <c r="A1086" t="s">
        <v>1097</v>
      </c>
      <c r="B1086" s="1">
        <v>5.7272081474172037E-2</v>
      </c>
      <c r="C1086" s="2">
        <v>1.6318836894616411E-5</v>
      </c>
      <c r="D1086" s="2"/>
      <c r="E1086" s="2">
        <v>0.20069406628730541</v>
      </c>
      <c r="F1086" s="3">
        <v>108.1665847297635</v>
      </c>
      <c r="G1086" s="3">
        <v>2</v>
      </c>
      <c r="H1086" s="2">
        <v>1.083775875149019E-4</v>
      </c>
      <c r="I1086" s="4">
        <v>1.110223024625157E-16</v>
      </c>
      <c r="J1086" s="4">
        <v>0.20069406628730521</v>
      </c>
      <c r="K1086" s="5">
        <v>2</v>
      </c>
      <c r="L1086" s="5">
        <v>0</v>
      </c>
      <c r="M1086" s="5">
        <v>0</v>
      </c>
    </row>
    <row r="1087" spans="1:13" hidden="1" x14ac:dyDescent="0.25">
      <c r="A1087" t="s">
        <v>1098</v>
      </c>
      <c r="B1087" s="1">
        <v>5.7267547900659778E-2</v>
      </c>
      <c r="C1087" s="2">
        <v>1.631754511955268E-5</v>
      </c>
      <c r="D1087" s="2"/>
      <c r="E1087" s="2">
        <v>-0.14306435773415521</v>
      </c>
      <c r="F1087" s="3">
        <v>77.198517390626719</v>
      </c>
      <c r="G1087" s="3">
        <v>2</v>
      </c>
      <c r="H1087" s="2">
        <v>1.083775875149019E-4</v>
      </c>
      <c r="I1087" s="4">
        <v>-2.775557561562891E-17</v>
      </c>
      <c r="J1087" s="4">
        <v>-0.1430643577341551</v>
      </c>
      <c r="K1087" s="5">
        <v>2</v>
      </c>
      <c r="L1087" s="5">
        <v>0</v>
      </c>
      <c r="M1087" s="5">
        <v>0</v>
      </c>
    </row>
    <row r="1088" spans="1:13" hidden="1" x14ac:dyDescent="0.25">
      <c r="A1088" t="s">
        <v>1099</v>
      </c>
      <c r="B1088" s="1">
        <v>5.7250304726722732E-2</v>
      </c>
      <c r="C1088" s="2">
        <v>1.6312631930861411E-5</v>
      </c>
      <c r="D1088" s="2"/>
      <c r="E1088" s="2">
        <v>-4.073316183038922E-2</v>
      </c>
      <c r="F1088" s="3">
        <v>86.417198720875049</v>
      </c>
      <c r="G1088" s="3">
        <v>1</v>
      </c>
      <c r="H1088" s="2">
        <v>5.4188793757450959E-5</v>
      </c>
      <c r="I1088" s="4">
        <v>-6.9388939039072284E-18</v>
      </c>
      <c r="J1088" s="4">
        <v>-4.0733161830389213E-2</v>
      </c>
      <c r="K1088" s="5">
        <v>1</v>
      </c>
      <c r="L1088" s="5">
        <v>0</v>
      </c>
      <c r="M1088" s="5">
        <v>0</v>
      </c>
    </row>
    <row r="1089" spans="1:13" hidden="1" x14ac:dyDescent="0.25">
      <c r="A1089" t="s">
        <v>1100</v>
      </c>
      <c r="B1089" s="1">
        <v>5.7172148716405288E-2</v>
      </c>
      <c r="C1089" s="2">
        <v>1.629036252573634E-5</v>
      </c>
      <c r="D1089" s="2"/>
      <c r="E1089" s="2">
        <v>2.056774588521959</v>
      </c>
      <c r="F1089" s="3">
        <v>275.37478264678288</v>
      </c>
      <c r="G1089" s="3">
        <v>2</v>
      </c>
      <c r="H1089" s="2">
        <v>1.083775875149019E-4</v>
      </c>
      <c r="I1089" s="4">
        <v>0.93076493312349284</v>
      </c>
      <c r="J1089" s="4">
        <v>1.126009655398466</v>
      </c>
      <c r="K1089" s="5">
        <v>2</v>
      </c>
      <c r="L1089" s="5">
        <v>0</v>
      </c>
      <c r="M1089" s="5">
        <v>0</v>
      </c>
    </row>
    <row r="1090" spans="1:13" hidden="1" x14ac:dyDescent="0.25">
      <c r="A1090" t="s">
        <v>1101</v>
      </c>
      <c r="B1090" s="1">
        <v>5.7070647496076862E-2</v>
      </c>
      <c r="C1090" s="2">
        <v>1.626144124652823E-5</v>
      </c>
      <c r="D1090" s="2"/>
      <c r="E1090" s="2" t="s">
        <v>303</v>
      </c>
      <c r="F1090" s="3" t="s">
        <v>303</v>
      </c>
      <c r="G1090" s="3">
        <v>1</v>
      </c>
      <c r="H1090" s="2">
        <v>5.4188793757450959E-5</v>
      </c>
      <c r="I1090" s="4" t="s">
        <v>303</v>
      </c>
      <c r="J1090" s="4">
        <v>0</v>
      </c>
      <c r="K1090" s="5">
        <v>1</v>
      </c>
      <c r="L1090" s="5">
        <v>0</v>
      </c>
      <c r="M1090" s="5">
        <v>1</v>
      </c>
    </row>
    <row r="1091" spans="1:13" hidden="1" x14ac:dyDescent="0.25">
      <c r="A1091" t="s">
        <v>1102</v>
      </c>
      <c r="B1091" s="1">
        <v>5.7041917238724468E-2</v>
      </c>
      <c r="C1091" s="2">
        <v>1.6253254982442731E-5</v>
      </c>
      <c r="D1091" s="2"/>
      <c r="E1091" s="2" t="s">
        <v>303</v>
      </c>
      <c r="F1091" s="3" t="s">
        <v>303</v>
      </c>
      <c r="G1091" s="3">
        <v>2</v>
      </c>
      <c r="H1091" s="2">
        <v>1.083775875149019E-4</v>
      </c>
      <c r="I1091" s="4" t="s">
        <v>303</v>
      </c>
      <c r="J1091" s="4">
        <v>0</v>
      </c>
      <c r="K1091" s="5">
        <v>2</v>
      </c>
      <c r="L1091" s="5">
        <v>0</v>
      </c>
      <c r="M1091" s="5">
        <v>0</v>
      </c>
    </row>
    <row r="1092" spans="1:13" hidden="1" x14ac:dyDescent="0.25">
      <c r="A1092" t="s">
        <v>1103</v>
      </c>
      <c r="B1092" s="1">
        <v>5.6987272911547412E-2</v>
      </c>
      <c r="C1092" s="2">
        <v>1.623768488546938E-5</v>
      </c>
      <c r="D1092" s="2"/>
      <c r="E1092" s="2">
        <v>0.31880363925329802</v>
      </c>
      <c r="F1092" s="3">
        <v>118.8066882251741</v>
      </c>
      <c r="G1092" s="3">
        <v>2</v>
      </c>
      <c r="H1092" s="2">
        <v>1.083775875149019E-4</v>
      </c>
      <c r="I1092" s="4">
        <v>-1.110223024625157E-16</v>
      </c>
      <c r="J1092" s="4">
        <v>0.31880363925329808</v>
      </c>
      <c r="K1092" s="5">
        <v>2</v>
      </c>
      <c r="L1092" s="5">
        <v>1</v>
      </c>
      <c r="M1092" s="5">
        <v>0</v>
      </c>
    </row>
    <row r="1093" spans="1:13" hidden="1" x14ac:dyDescent="0.25">
      <c r="A1093" t="s">
        <v>1104</v>
      </c>
      <c r="B1093" s="1">
        <v>5.691434959290223E-2</v>
      </c>
      <c r="C1093" s="2">
        <v>1.6216906458840662E-5</v>
      </c>
      <c r="D1093" s="2"/>
      <c r="E1093" s="2">
        <v>-6.7183829471171408E-2</v>
      </c>
      <c r="F1093" s="3">
        <v>84.03434495082827</v>
      </c>
      <c r="G1093" s="3">
        <v>1</v>
      </c>
      <c r="H1093" s="2">
        <v>5.4188793757450959E-5</v>
      </c>
      <c r="I1093" s="4">
        <v>2.775557561562891E-17</v>
      </c>
      <c r="J1093" s="4">
        <v>-6.7183829471171436E-2</v>
      </c>
      <c r="K1093" s="5">
        <v>1</v>
      </c>
      <c r="L1093" s="5">
        <v>0</v>
      </c>
      <c r="M1093" s="5">
        <v>0</v>
      </c>
    </row>
    <row r="1094" spans="1:13" hidden="1" x14ac:dyDescent="0.25">
      <c r="A1094" t="s">
        <v>1105</v>
      </c>
      <c r="B1094" s="1">
        <v>5.6870794507098692E-2</v>
      </c>
      <c r="C1094" s="2">
        <v>1.620449607802572E-5</v>
      </c>
      <c r="D1094" s="2"/>
      <c r="E1094" s="2">
        <v>-0.36125966950622451</v>
      </c>
      <c r="F1094" s="3">
        <v>57.542018419652962</v>
      </c>
      <c r="G1094" s="3">
        <v>1</v>
      </c>
      <c r="H1094" s="2">
        <v>5.4188793757450959E-5</v>
      </c>
      <c r="I1094" s="4">
        <v>0</v>
      </c>
      <c r="J1094" s="4">
        <v>-0.36125966950622451</v>
      </c>
      <c r="K1094" s="5">
        <v>1</v>
      </c>
      <c r="L1094" s="5">
        <v>0</v>
      </c>
      <c r="M1094" s="5">
        <v>0</v>
      </c>
    </row>
    <row r="1095" spans="1:13" hidden="1" x14ac:dyDescent="0.25">
      <c r="A1095" t="s">
        <v>1106</v>
      </c>
      <c r="B1095" s="1">
        <v>5.6860937716559729E-2</v>
      </c>
      <c r="C1095" s="2">
        <v>1.620168753059791E-5</v>
      </c>
      <c r="D1095" s="2"/>
      <c r="E1095" s="2">
        <v>0.3171109508323815</v>
      </c>
      <c r="F1095" s="3">
        <v>118.6541994850004</v>
      </c>
      <c r="G1095" s="3">
        <v>1</v>
      </c>
      <c r="H1095" s="2">
        <v>5.4188793757450959E-5</v>
      </c>
      <c r="I1095" s="4">
        <v>-1.110223024625157E-16</v>
      </c>
      <c r="J1095" s="4">
        <v>0.31711095083238161</v>
      </c>
      <c r="K1095" s="5">
        <v>1</v>
      </c>
      <c r="L1095" s="5">
        <v>0</v>
      </c>
      <c r="M1095" s="5">
        <v>0</v>
      </c>
    </row>
    <row r="1096" spans="1:13" hidden="1" x14ac:dyDescent="0.25">
      <c r="A1096" t="s">
        <v>1107</v>
      </c>
      <c r="B1096" s="1">
        <v>5.6860201806403471E-2</v>
      </c>
      <c r="C1096" s="2">
        <v>1.6201477843827322E-5</v>
      </c>
      <c r="D1096" s="2"/>
      <c r="E1096" s="2">
        <v>-0.32142437899910598</v>
      </c>
      <c r="F1096" s="3">
        <v>61.130648901684438</v>
      </c>
      <c r="G1096" s="3">
        <v>1</v>
      </c>
      <c r="H1096" s="2">
        <v>5.4188793757450959E-5</v>
      </c>
      <c r="I1096" s="4">
        <v>1.6653345369377351E-16</v>
      </c>
      <c r="J1096" s="4">
        <v>-0.3214243789991062</v>
      </c>
      <c r="K1096" s="5">
        <v>1</v>
      </c>
      <c r="L1096" s="5">
        <v>0</v>
      </c>
      <c r="M1096" s="5">
        <v>1</v>
      </c>
    </row>
    <row r="1097" spans="1:13" hidden="1" x14ac:dyDescent="0.25">
      <c r="A1097" t="s">
        <v>1108</v>
      </c>
      <c r="B1097" s="1">
        <v>5.6837422936816651E-2</v>
      </c>
      <c r="C1097" s="2">
        <v>1.6194987340114819E-5</v>
      </c>
      <c r="D1097" s="2"/>
      <c r="E1097" s="2">
        <v>2.3312430422650481</v>
      </c>
      <c r="F1097" s="3">
        <v>300.10074414774112</v>
      </c>
      <c r="G1097" s="3">
        <v>1</v>
      </c>
      <c r="H1097" s="2">
        <v>5.4188793757450959E-5</v>
      </c>
      <c r="I1097" s="4">
        <v>0</v>
      </c>
      <c r="J1097" s="4">
        <v>2.3312430422650481</v>
      </c>
      <c r="K1097" s="5">
        <v>1</v>
      </c>
      <c r="L1097" s="5">
        <v>0</v>
      </c>
      <c r="M1097" s="5">
        <v>0</v>
      </c>
    </row>
    <row r="1098" spans="1:13" hidden="1" x14ac:dyDescent="0.25">
      <c r="A1098" t="s">
        <v>1109</v>
      </c>
      <c r="B1098" s="1">
        <v>5.6671673412803561E-2</v>
      </c>
      <c r="C1098" s="2">
        <v>1.6147759452143791E-5</v>
      </c>
      <c r="D1098" s="2"/>
      <c r="E1098" s="2">
        <v>-0.62505701236188216</v>
      </c>
      <c r="F1098" s="3">
        <v>33.777382249080539</v>
      </c>
      <c r="G1098" s="3">
        <v>3</v>
      </c>
      <c r="H1098" s="2">
        <v>1.6256638127235291E-4</v>
      </c>
      <c r="I1098" s="4">
        <v>1.110223024625157E-16</v>
      </c>
      <c r="J1098" s="4">
        <v>-0.62505701236188227</v>
      </c>
      <c r="K1098" s="5">
        <v>3</v>
      </c>
      <c r="L1098" s="5">
        <v>0</v>
      </c>
      <c r="M1098" s="5">
        <v>0</v>
      </c>
    </row>
    <row r="1099" spans="1:13" hidden="1" x14ac:dyDescent="0.25">
      <c r="A1099" t="s">
        <v>1110</v>
      </c>
      <c r="B1099" s="1">
        <v>5.6665900640778172E-2</v>
      </c>
      <c r="C1099" s="2">
        <v>1.6146114585697739E-5</v>
      </c>
      <c r="D1099" s="2"/>
      <c r="E1099" s="2">
        <v>-0.34867958551513689</v>
      </c>
      <c r="F1099" s="3">
        <v>58.675316866889482</v>
      </c>
      <c r="G1099" s="3">
        <v>1</v>
      </c>
      <c r="H1099" s="2">
        <v>5.4188793757450959E-5</v>
      </c>
      <c r="I1099" s="4">
        <v>0</v>
      </c>
      <c r="J1099" s="4">
        <v>-0.34867958551513689</v>
      </c>
      <c r="K1099" s="5">
        <v>1</v>
      </c>
      <c r="L1099" s="5">
        <v>0</v>
      </c>
      <c r="M1099" s="5">
        <v>0</v>
      </c>
    </row>
    <row r="1100" spans="1:13" hidden="1" x14ac:dyDescent="0.25">
      <c r="A1100" t="s">
        <v>1111</v>
      </c>
      <c r="B1100" s="1">
        <v>5.6637330997337372E-2</v>
      </c>
      <c r="C1100" s="2">
        <v>1.613797408618301E-5</v>
      </c>
      <c r="D1100" s="2"/>
      <c r="E1100" s="2">
        <v>3.159737898815322</v>
      </c>
      <c r="F1100" s="3">
        <v>374.73712456754328</v>
      </c>
      <c r="G1100" s="3">
        <v>1</v>
      </c>
      <c r="H1100" s="2">
        <v>5.4188793757450959E-5</v>
      </c>
      <c r="I1100" s="4">
        <v>-4.4408920985006262E-16</v>
      </c>
      <c r="J1100" s="4">
        <v>3.1597378988153229</v>
      </c>
      <c r="K1100" s="5">
        <v>1</v>
      </c>
      <c r="L1100" s="5">
        <v>0</v>
      </c>
      <c r="M1100" s="5">
        <v>0</v>
      </c>
    </row>
    <row r="1101" spans="1:13" hidden="1" x14ac:dyDescent="0.25">
      <c r="A1101" t="s">
        <v>1112</v>
      </c>
      <c r="B1101" s="1">
        <v>5.66092580277286E-2</v>
      </c>
      <c r="C1101" s="2">
        <v>1.6129975106568489E-5</v>
      </c>
      <c r="D1101" s="2"/>
      <c r="E1101" s="2">
        <v>-0.69229533669836107</v>
      </c>
      <c r="F1101" s="3">
        <v>27.72010245513777</v>
      </c>
      <c r="G1101" s="3">
        <v>2</v>
      </c>
      <c r="H1101" s="2">
        <v>1.083775875149019E-4</v>
      </c>
      <c r="I1101" s="4">
        <v>0</v>
      </c>
      <c r="J1101" s="4">
        <v>-0.69229533669836107</v>
      </c>
      <c r="K1101" s="5">
        <v>2</v>
      </c>
      <c r="L1101" s="5">
        <v>0</v>
      </c>
      <c r="M1101" s="5">
        <v>0</v>
      </c>
    </row>
    <row r="1102" spans="1:13" hidden="1" x14ac:dyDescent="0.25">
      <c r="A1102" t="s">
        <v>1113</v>
      </c>
      <c r="B1102" s="1">
        <v>5.6578576694140022E-2</v>
      </c>
      <c r="C1102" s="2">
        <v>1.6121232912018309E-5</v>
      </c>
      <c r="D1102" s="2"/>
      <c r="E1102" s="2">
        <v>-5.4526820619970613E-2</v>
      </c>
      <c r="F1102" s="3">
        <v>85.174573306051272</v>
      </c>
      <c r="G1102" s="3">
        <v>2</v>
      </c>
      <c r="H1102" s="2">
        <v>1.083775875149019E-4</v>
      </c>
      <c r="I1102" s="4">
        <v>-9.7144514654701197E-17</v>
      </c>
      <c r="J1102" s="4">
        <v>-5.4526820619970509E-2</v>
      </c>
      <c r="K1102" s="5">
        <v>2</v>
      </c>
      <c r="L1102" s="5">
        <v>0</v>
      </c>
      <c r="M1102" s="5">
        <v>0</v>
      </c>
    </row>
    <row r="1103" spans="1:13" hidden="1" x14ac:dyDescent="0.25">
      <c r="A1103" t="s">
        <v>1114</v>
      </c>
      <c r="B1103" s="1">
        <v>5.6474390045474623E-2</v>
      </c>
      <c r="C1103" s="2">
        <v>1.609154645951991E-5</v>
      </c>
      <c r="D1103" s="2"/>
      <c r="E1103" s="2">
        <v>-0.35898490718982168</v>
      </c>
      <c r="F1103" s="3">
        <v>57.746944285238413</v>
      </c>
      <c r="G1103" s="3">
        <v>3</v>
      </c>
      <c r="H1103" s="2">
        <v>1.6256638127235291E-4</v>
      </c>
      <c r="I1103" s="4">
        <v>0</v>
      </c>
      <c r="J1103" s="4">
        <v>-0.35898490718982168</v>
      </c>
      <c r="K1103" s="5">
        <v>3</v>
      </c>
      <c r="L1103" s="5">
        <v>0</v>
      </c>
      <c r="M1103" s="5">
        <v>0</v>
      </c>
    </row>
    <row r="1104" spans="1:13" hidden="1" x14ac:dyDescent="0.25">
      <c r="A1104" t="s">
        <v>1115</v>
      </c>
      <c r="B1104" s="1">
        <v>5.6386542765377162E-2</v>
      </c>
      <c r="C1104" s="2">
        <v>1.606651566967176E-5</v>
      </c>
      <c r="D1104" s="2"/>
      <c r="E1104" s="2">
        <v>0.87526120594201695</v>
      </c>
      <c r="F1104" s="3">
        <v>168.9361227129022</v>
      </c>
      <c r="G1104" s="3">
        <v>1</v>
      </c>
      <c r="H1104" s="2">
        <v>5.4188793757450959E-5</v>
      </c>
      <c r="I1104" s="4">
        <v>0</v>
      </c>
      <c r="J1104" s="4">
        <v>0.87526120594201695</v>
      </c>
      <c r="K1104" s="5">
        <v>1</v>
      </c>
      <c r="L1104" s="5">
        <v>0</v>
      </c>
      <c r="M1104" s="5">
        <v>1</v>
      </c>
    </row>
    <row r="1105" spans="1:13" hidden="1" x14ac:dyDescent="0.25">
      <c r="A1105" t="s">
        <v>1116</v>
      </c>
      <c r="B1105" s="1">
        <v>5.6284954203952707E-2</v>
      </c>
      <c r="C1105" s="2">
        <v>1.6037569503903511E-5</v>
      </c>
      <c r="D1105" s="2"/>
      <c r="E1105" s="2" t="s">
        <v>303</v>
      </c>
      <c r="F1105" s="3" t="s">
        <v>303</v>
      </c>
      <c r="G1105" s="3">
        <v>1</v>
      </c>
      <c r="H1105" s="2">
        <v>5.4188793757450959E-5</v>
      </c>
      <c r="I1105" s="4" t="s">
        <v>303</v>
      </c>
      <c r="J1105" s="4">
        <v>0</v>
      </c>
      <c r="K1105" s="5">
        <v>1</v>
      </c>
      <c r="L1105" s="5">
        <v>0</v>
      </c>
      <c r="M1105" s="5">
        <v>0</v>
      </c>
    </row>
    <row r="1106" spans="1:13" hidden="1" x14ac:dyDescent="0.25">
      <c r="A1106" t="s">
        <v>1117</v>
      </c>
      <c r="B1106" s="1">
        <v>5.6209053361467691E-2</v>
      </c>
      <c r="C1106" s="2">
        <v>1.6015942675668961E-5</v>
      </c>
      <c r="D1106" s="2"/>
      <c r="E1106" s="2">
        <v>-0.20337261620519481</v>
      </c>
      <c r="F1106" s="3">
        <v>71.765544468570752</v>
      </c>
      <c r="G1106" s="3">
        <v>2</v>
      </c>
      <c r="H1106" s="2">
        <v>1.083775875149019E-4</v>
      </c>
      <c r="I1106" s="4">
        <v>1.9428902930940239E-16</v>
      </c>
      <c r="J1106" s="4">
        <v>-0.20337261620519501</v>
      </c>
      <c r="K1106" s="5">
        <v>2</v>
      </c>
      <c r="L1106" s="5">
        <v>0</v>
      </c>
      <c r="M1106" s="5">
        <v>0</v>
      </c>
    </row>
    <row r="1107" spans="1:13" hidden="1" x14ac:dyDescent="0.25">
      <c r="A1107" t="s">
        <v>1118</v>
      </c>
      <c r="B1107" s="1">
        <v>5.6115266300035688E-2</v>
      </c>
      <c r="C1107" s="2">
        <v>1.5989219432529549E-5</v>
      </c>
      <c r="D1107" s="2"/>
      <c r="E1107" s="2">
        <v>0.62272631727422634</v>
      </c>
      <c r="F1107" s="3">
        <v>146.1860840483738</v>
      </c>
      <c r="G1107" s="3">
        <v>1</v>
      </c>
      <c r="H1107" s="2">
        <v>5.4188793757450959E-5</v>
      </c>
      <c r="I1107" s="4">
        <v>-1.110223024625157E-16</v>
      </c>
      <c r="J1107" s="4">
        <v>0.62272631727422645</v>
      </c>
      <c r="K1107" s="5">
        <v>1</v>
      </c>
      <c r="L1107" s="5">
        <v>0</v>
      </c>
      <c r="M1107" s="5">
        <v>0</v>
      </c>
    </row>
    <row r="1108" spans="1:13" hidden="1" x14ac:dyDescent="0.25">
      <c r="A1108" t="s">
        <v>1119</v>
      </c>
      <c r="B1108" s="1">
        <v>5.6110222428347033E-2</v>
      </c>
      <c r="C1108" s="2">
        <v>1.5987782255509159E-5</v>
      </c>
      <c r="D1108" s="2"/>
      <c r="E1108" s="2">
        <v>2.009678878967569E-2</v>
      </c>
      <c r="F1108" s="3">
        <v>91.897169175129079</v>
      </c>
      <c r="G1108" s="3">
        <v>1</v>
      </c>
      <c r="H1108" s="2">
        <v>5.4188793757450959E-5</v>
      </c>
      <c r="I1108" s="4">
        <v>3.1225022567582528E-17</v>
      </c>
      <c r="J1108" s="4">
        <v>2.0096788789675659E-2</v>
      </c>
      <c r="K1108" s="5">
        <v>1</v>
      </c>
      <c r="L1108" s="5">
        <v>0</v>
      </c>
      <c r="M1108" s="5">
        <v>0</v>
      </c>
    </row>
    <row r="1109" spans="1:13" hidden="1" x14ac:dyDescent="0.25">
      <c r="A1109" t="s">
        <v>1120</v>
      </c>
      <c r="B1109" s="1">
        <v>5.6061186873249659E-2</v>
      </c>
      <c r="C1109" s="2">
        <v>1.597381029561048E-5</v>
      </c>
      <c r="D1109" s="2"/>
      <c r="E1109" s="2">
        <v>0.14073978571524259</v>
      </c>
      <c r="F1109" s="3">
        <v>102.7655005139794</v>
      </c>
      <c r="G1109" s="3">
        <v>1</v>
      </c>
      <c r="H1109" s="2">
        <v>5.4188793757450959E-5</v>
      </c>
      <c r="I1109" s="4">
        <v>0</v>
      </c>
      <c r="J1109" s="4">
        <v>0.14073978571524259</v>
      </c>
      <c r="K1109" s="5">
        <v>1</v>
      </c>
      <c r="L1109" s="5">
        <v>0</v>
      </c>
      <c r="M1109" s="5">
        <v>0</v>
      </c>
    </row>
    <row r="1110" spans="1:13" hidden="1" x14ac:dyDescent="0.25">
      <c r="A1110" t="s">
        <v>1121</v>
      </c>
      <c r="B1110" s="1">
        <v>5.6013431926055367E-2</v>
      </c>
      <c r="C1110" s="2">
        <v>1.596020322609048E-5</v>
      </c>
      <c r="D1110" s="2"/>
      <c r="E1110" s="2">
        <v>-0.48152399021697218</v>
      </c>
      <c r="F1110" s="3">
        <v>46.707800777226623</v>
      </c>
      <c r="G1110" s="3">
        <v>1</v>
      </c>
      <c r="H1110" s="2">
        <v>5.4188793757450959E-5</v>
      </c>
      <c r="I1110" s="4">
        <v>5.5511151231257827E-17</v>
      </c>
      <c r="J1110" s="4">
        <v>-0.48152399021697229</v>
      </c>
      <c r="K1110" s="5">
        <v>1</v>
      </c>
      <c r="L1110" s="5">
        <v>0</v>
      </c>
      <c r="M1110" s="5">
        <v>0</v>
      </c>
    </row>
    <row r="1111" spans="1:13" hidden="1" x14ac:dyDescent="0.25">
      <c r="A1111" t="s">
        <v>1122</v>
      </c>
      <c r="B1111" s="1">
        <v>5.6004524557830407E-2</v>
      </c>
      <c r="C1111" s="2">
        <v>1.5957665202580901E-5</v>
      </c>
      <c r="D1111" s="2"/>
      <c r="E1111" s="2">
        <v>-0.33090967014435713</v>
      </c>
      <c r="F1111" s="3">
        <v>60.276150177024498</v>
      </c>
      <c r="G1111" s="3">
        <v>1</v>
      </c>
      <c r="H1111" s="2">
        <v>5.4188793757450959E-5</v>
      </c>
      <c r="I1111" s="4">
        <v>5.5511151231257827E-17</v>
      </c>
      <c r="J1111" s="4">
        <v>-0.33090967014435718</v>
      </c>
      <c r="K1111" s="5">
        <v>1</v>
      </c>
      <c r="L1111" s="5">
        <v>0</v>
      </c>
      <c r="M1111" s="5">
        <v>0</v>
      </c>
    </row>
    <row r="1112" spans="1:13" hidden="1" x14ac:dyDescent="0.25">
      <c r="A1112" t="s">
        <v>1123</v>
      </c>
      <c r="B1112" s="1">
        <v>5.5946356778703979E-2</v>
      </c>
      <c r="C1112" s="2">
        <v>1.5941091149819889E-5</v>
      </c>
      <c r="D1112" s="2"/>
      <c r="E1112" s="2">
        <v>0.86911339609334903</v>
      </c>
      <c r="F1112" s="3">
        <v>168.38228671623179</v>
      </c>
      <c r="G1112" s="3">
        <v>4</v>
      </c>
      <c r="H1112" s="2">
        <v>2.1675517502980381E-4</v>
      </c>
      <c r="I1112" s="4">
        <v>-3.3306690738754701E-16</v>
      </c>
      <c r="J1112" s="4">
        <v>0.86911339609334937</v>
      </c>
      <c r="K1112" s="5">
        <v>4</v>
      </c>
      <c r="L1112" s="5">
        <v>0</v>
      </c>
      <c r="M1112" s="5">
        <v>0</v>
      </c>
    </row>
    <row r="1113" spans="1:13" hidden="1" x14ac:dyDescent="0.25">
      <c r="A1113" t="s">
        <v>1124</v>
      </c>
      <c r="B1113" s="1">
        <v>5.5927664635568447E-2</v>
      </c>
      <c r="C1113" s="2">
        <v>1.5935765098676148E-5</v>
      </c>
      <c r="D1113" s="2"/>
      <c r="E1113" s="2">
        <v>-0.54462269505313854</v>
      </c>
      <c r="F1113" s="3">
        <v>41.023445707409543</v>
      </c>
      <c r="G1113" s="3">
        <v>3</v>
      </c>
      <c r="H1113" s="2">
        <v>1.6256638127235291E-4</v>
      </c>
      <c r="I1113" s="4">
        <v>-0.10931364103180161</v>
      </c>
      <c r="J1113" s="4">
        <v>-0.43530905402133702</v>
      </c>
      <c r="K1113" s="5">
        <v>2</v>
      </c>
      <c r="L1113" s="5">
        <v>0</v>
      </c>
      <c r="M1113" s="5">
        <v>0</v>
      </c>
    </row>
    <row r="1114" spans="1:13" hidden="1" x14ac:dyDescent="0.25">
      <c r="A1114" t="s">
        <v>1125</v>
      </c>
      <c r="B1114" s="1">
        <v>5.5818277322623087E-2</v>
      </c>
      <c r="C1114" s="2">
        <v>1.5904596793415571E-5</v>
      </c>
      <c r="D1114" s="2"/>
      <c r="E1114" s="2">
        <v>0.23274347475132409</v>
      </c>
      <c r="F1114" s="3">
        <v>111.05381067140701</v>
      </c>
      <c r="G1114" s="3">
        <v>1</v>
      </c>
      <c r="H1114" s="2">
        <v>5.4188793757450959E-5</v>
      </c>
      <c r="I1114" s="4">
        <v>-5.5511151231257827E-17</v>
      </c>
      <c r="J1114" s="4">
        <v>0.2327434747513242</v>
      </c>
      <c r="K1114" s="5">
        <v>1</v>
      </c>
      <c r="L1114" s="5">
        <v>0</v>
      </c>
      <c r="M1114" s="5">
        <v>1</v>
      </c>
    </row>
    <row r="1115" spans="1:13" hidden="1" x14ac:dyDescent="0.25">
      <c r="A1115" t="s">
        <v>1126</v>
      </c>
      <c r="B1115" s="1">
        <v>5.5795790807629503E-2</v>
      </c>
      <c r="C1115" s="2">
        <v>1.5898189591842601E-5</v>
      </c>
      <c r="D1115" s="2"/>
      <c r="E1115" s="2">
        <v>1.3668178276163201</v>
      </c>
      <c r="F1115" s="3">
        <v>213.21884423264621</v>
      </c>
      <c r="G1115" s="3">
        <v>1</v>
      </c>
      <c r="H1115" s="2">
        <v>5.4188793757450959E-5</v>
      </c>
      <c r="I1115" s="4">
        <v>0</v>
      </c>
      <c r="J1115" s="4">
        <v>1.3668178276163201</v>
      </c>
      <c r="K1115" s="5">
        <v>1</v>
      </c>
      <c r="L1115" s="5">
        <v>0</v>
      </c>
      <c r="M1115" s="5">
        <v>0</v>
      </c>
    </row>
    <row r="1116" spans="1:13" hidden="1" x14ac:dyDescent="0.25">
      <c r="A1116" t="s">
        <v>1127</v>
      </c>
      <c r="B1116" s="1">
        <v>5.579205163323811E-2</v>
      </c>
      <c r="C1116" s="2">
        <v>1.5897124169119299E-5</v>
      </c>
      <c r="D1116" s="2"/>
      <c r="E1116" s="2">
        <v>2.1414650003045429E-2</v>
      </c>
      <c r="F1116" s="3">
        <v>92.015890963301814</v>
      </c>
      <c r="G1116" s="3">
        <v>1</v>
      </c>
      <c r="H1116" s="2">
        <v>5.4188793757450959E-5</v>
      </c>
      <c r="I1116" s="4">
        <v>6.591949208711867E-17</v>
      </c>
      <c r="J1116" s="4">
        <v>2.141465000304537E-2</v>
      </c>
      <c r="K1116" s="5">
        <v>1</v>
      </c>
      <c r="L1116" s="5">
        <v>0</v>
      </c>
      <c r="M1116" s="5">
        <v>0</v>
      </c>
    </row>
    <row r="1117" spans="1:13" hidden="1" x14ac:dyDescent="0.25">
      <c r="A1117" t="s">
        <v>1128</v>
      </c>
      <c r="B1117" s="1">
        <v>5.57027626368716E-2</v>
      </c>
      <c r="C1117" s="2">
        <v>1.58716825834342E-5</v>
      </c>
      <c r="D1117" s="2"/>
      <c r="E1117" s="2">
        <v>1.540124926693285</v>
      </c>
      <c r="F1117" s="3">
        <v>228.83151155809</v>
      </c>
      <c r="G1117" s="3">
        <v>1</v>
      </c>
      <c r="H1117" s="2">
        <v>5.4188793757450959E-5</v>
      </c>
      <c r="I1117" s="4">
        <v>8.8817841970012523E-16</v>
      </c>
      <c r="J1117" s="4">
        <v>1.5401249266932839</v>
      </c>
      <c r="K1117" s="5">
        <v>1</v>
      </c>
      <c r="L1117" s="5">
        <v>0</v>
      </c>
      <c r="M1117" s="5">
        <v>0</v>
      </c>
    </row>
    <row r="1118" spans="1:13" hidden="1" x14ac:dyDescent="0.25">
      <c r="A1118" t="s">
        <v>1129</v>
      </c>
      <c r="B1118" s="1">
        <v>5.5613706878137548E-2</v>
      </c>
      <c r="C1118" s="2">
        <v>1.5846307455380529E-5</v>
      </c>
      <c r="D1118" s="2"/>
      <c r="E1118" s="2">
        <v>0.2193521126650988</v>
      </c>
      <c r="F1118" s="3">
        <v>109.84742684523761</v>
      </c>
      <c r="G1118" s="3">
        <v>2</v>
      </c>
      <c r="H1118" s="2">
        <v>1.083775875149019E-4</v>
      </c>
      <c r="I1118" s="4">
        <v>1.3877787807814459E-16</v>
      </c>
      <c r="J1118" s="4">
        <v>0.21935211266509869</v>
      </c>
      <c r="K1118" s="5">
        <v>2</v>
      </c>
      <c r="L1118" s="5">
        <v>0</v>
      </c>
      <c r="M1118" s="5">
        <v>0</v>
      </c>
    </row>
    <row r="1119" spans="1:13" hidden="1" x14ac:dyDescent="0.25">
      <c r="A1119" t="s">
        <v>1130</v>
      </c>
      <c r="B1119" s="1">
        <v>5.559325540142239E-2</v>
      </c>
      <c r="C1119" s="2">
        <v>1.584048010802073E-5</v>
      </c>
      <c r="D1119" s="2"/>
      <c r="E1119" s="2">
        <v>0.67559173054217925</v>
      </c>
      <c r="F1119" s="3">
        <v>150.94855549224761</v>
      </c>
      <c r="G1119" s="3">
        <v>1</v>
      </c>
      <c r="H1119" s="2">
        <v>5.4188793757450959E-5</v>
      </c>
      <c r="I1119" s="4">
        <v>0</v>
      </c>
      <c r="J1119" s="4">
        <v>0.67559173054217925</v>
      </c>
      <c r="K1119" s="5">
        <v>1</v>
      </c>
      <c r="L1119" s="5">
        <v>0</v>
      </c>
      <c r="M1119" s="5">
        <v>0</v>
      </c>
    </row>
    <row r="1120" spans="1:13" hidden="1" x14ac:dyDescent="0.25">
      <c r="A1120" t="s">
        <v>1131</v>
      </c>
      <c r="B1120" s="1">
        <v>5.5557590594256932E-2</v>
      </c>
      <c r="C1120" s="2">
        <v>1.583031794600338E-5</v>
      </c>
      <c r="D1120" s="2"/>
      <c r="E1120" s="2">
        <v>-0.37131383501219162</v>
      </c>
      <c r="F1120" s="3">
        <v>56.636271672314543</v>
      </c>
      <c r="G1120" s="3">
        <v>1</v>
      </c>
      <c r="H1120" s="2">
        <v>5.4188793757450959E-5</v>
      </c>
      <c r="I1120" s="4">
        <v>0</v>
      </c>
      <c r="J1120" s="4">
        <v>-0.37131383501219162</v>
      </c>
      <c r="K1120" s="5">
        <v>1</v>
      </c>
      <c r="L1120" s="5">
        <v>0</v>
      </c>
      <c r="M1120" s="5">
        <v>0</v>
      </c>
    </row>
    <row r="1121" spans="1:13" hidden="1" x14ac:dyDescent="0.25">
      <c r="A1121" t="s">
        <v>1132</v>
      </c>
      <c r="B1121" s="1">
        <v>5.5495991993825398E-2</v>
      </c>
      <c r="C1121" s="2">
        <v>1.5812766331193781E-5</v>
      </c>
      <c r="D1121" s="2"/>
      <c r="E1121" s="2">
        <v>-0.65464217847226114</v>
      </c>
      <c r="F1121" s="3">
        <v>31.1121518072265</v>
      </c>
      <c r="G1121" s="3">
        <v>2</v>
      </c>
      <c r="H1121" s="2">
        <v>1.083775875149019E-4</v>
      </c>
      <c r="I1121" s="4">
        <v>0</v>
      </c>
      <c r="J1121" s="4">
        <v>-0.65464217847226114</v>
      </c>
      <c r="K1121" s="5">
        <v>2</v>
      </c>
      <c r="L1121" s="5">
        <v>0</v>
      </c>
      <c r="M1121" s="5">
        <v>2</v>
      </c>
    </row>
    <row r="1122" spans="1:13" hidden="1" x14ac:dyDescent="0.25">
      <c r="A1122" t="s">
        <v>1133</v>
      </c>
      <c r="B1122" s="1">
        <v>5.5355447786225101E-2</v>
      </c>
      <c r="C1122" s="2">
        <v>1.577272032725473E-5</v>
      </c>
      <c r="D1122" s="2"/>
      <c r="E1122" s="2">
        <v>0.7913278438173037</v>
      </c>
      <c r="F1122" s="3">
        <v>161.37484179978051</v>
      </c>
      <c r="G1122" s="3">
        <v>1</v>
      </c>
      <c r="H1122" s="2">
        <v>5.4188793757450959E-5</v>
      </c>
      <c r="I1122" s="4">
        <v>0</v>
      </c>
      <c r="J1122" s="4">
        <v>0.7913278438173037</v>
      </c>
      <c r="K1122" s="5">
        <v>1</v>
      </c>
      <c r="L1122" s="5">
        <v>0</v>
      </c>
      <c r="M1122" s="5">
        <v>0</v>
      </c>
    </row>
    <row r="1123" spans="1:13" hidden="1" x14ac:dyDescent="0.25">
      <c r="A1123" t="s">
        <v>1134</v>
      </c>
      <c r="B1123" s="1">
        <v>5.5340899090513547E-2</v>
      </c>
      <c r="C1123" s="2">
        <v>1.5768574890486319E-5</v>
      </c>
      <c r="D1123" s="2"/>
      <c r="E1123" s="2">
        <v>-0.43171811962519718</v>
      </c>
      <c r="F1123" s="3">
        <v>51.194648070528523</v>
      </c>
      <c r="G1123" s="3">
        <v>3</v>
      </c>
      <c r="H1123" s="2">
        <v>1.6256638127235291E-4</v>
      </c>
      <c r="I1123" s="4">
        <v>-0.38060783987082708</v>
      </c>
      <c r="J1123" s="4">
        <v>-5.1110279754370082E-2</v>
      </c>
      <c r="K1123" s="5">
        <v>3</v>
      </c>
      <c r="L1123" s="5">
        <v>0</v>
      </c>
      <c r="M1123" s="5">
        <v>0</v>
      </c>
    </row>
    <row r="1124" spans="1:13" hidden="1" x14ac:dyDescent="0.25">
      <c r="A1124" t="s">
        <v>1135</v>
      </c>
      <c r="B1124" s="1">
        <v>5.5174469342060072E-2</v>
      </c>
      <c r="C1124" s="2">
        <v>1.572115318257007E-5</v>
      </c>
      <c r="D1124" s="2"/>
      <c r="E1124" s="2">
        <v>-0.60037371568552755</v>
      </c>
      <c r="F1124" s="3">
        <v>36.001019373904917</v>
      </c>
      <c r="G1124" s="3">
        <v>5</v>
      </c>
      <c r="H1124" s="2">
        <v>2.7094396878725479E-4</v>
      </c>
      <c r="I1124" s="4">
        <v>-0.1062136893845415</v>
      </c>
      <c r="J1124" s="4">
        <v>-0.49416002630098599</v>
      </c>
      <c r="K1124" s="5">
        <v>5</v>
      </c>
      <c r="L1124" s="5">
        <v>0</v>
      </c>
      <c r="M1124" s="5">
        <v>0</v>
      </c>
    </row>
    <row r="1125" spans="1:13" hidden="1" x14ac:dyDescent="0.25">
      <c r="A1125" t="s">
        <v>1136</v>
      </c>
      <c r="B1125" s="1">
        <v>5.5122403956770573E-2</v>
      </c>
      <c r="C1125" s="2">
        <v>1.5706317917140122E-5</v>
      </c>
      <c r="D1125" s="2"/>
      <c r="E1125" s="2">
        <v>-0.48037789232463501</v>
      </c>
      <c r="F1125" s="3">
        <v>46.811048971967359</v>
      </c>
      <c r="G1125" s="3">
        <v>1</v>
      </c>
      <c r="H1125" s="2">
        <v>5.4188793757450959E-5</v>
      </c>
      <c r="I1125" s="4">
        <v>5.5511151231257827E-17</v>
      </c>
      <c r="J1125" s="4">
        <v>-0.48037789232463513</v>
      </c>
      <c r="K1125" s="5">
        <v>1</v>
      </c>
      <c r="L1125" s="5">
        <v>1</v>
      </c>
      <c r="M1125" s="5">
        <v>1</v>
      </c>
    </row>
    <row r="1126" spans="1:13" hidden="1" x14ac:dyDescent="0.25">
      <c r="A1126" t="s">
        <v>1137</v>
      </c>
      <c r="B1126" s="1">
        <v>5.5092585601406709E-2</v>
      </c>
      <c r="C1126" s="2">
        <v>1.569782161553691E-5</v>
      </c>
      <c r="D1126" s="2"/>
      <c r="E1126" s="2">
        <v>-0.27975987458662621</v>
      </c>
      <c r="F1126" s="3">
        <v>64.884067256362769</v>
      </c>
      <c r="G1126" s="3">
        <v>1</v>
      </c>
      <c r="H1126" s="2">
        <v>5.4188793757450959E-5</v>
      </c>
      <c r="I1126" s="4">
        <v>-0.21198578795214679</v>
      </c>
      <c r="J1126" s="4">
        <v>-6.7774086634479369E-2</v>
      </c>
      <c r="K1126" s="5">
        <v>1</v>
      </c>
      <c r="L1126" s="5">
        <v>0</v>
      </c>
      <c r="M1126" s="5">
        <v>0</v>
      </c>
    </row>
    <row r="1127" spans="1:13" hidden="1" x14ac:dyDescent="0.25">
      <c r="A1127" t="s">
        <v>1138</v>
      </c>
      <c r="B1127" s="1">
        <v>5.5060454148158029E-2</v>
      </c>
      <c r="C1127" s="2">
        <v>1.5688666230727141E-5</v>
      </c>
      <c r="D1127" s="2"/>
      <c r="E1127" s="2">
        <v>9.7819869277975702E-2</v>
      </c>
      <c r="F1127" s="3">
        <v>98.898986213412243</v>
      </c>
      <c r="G1127" s="3">
        <v>1</v>
      </c>
      <c r="H1127" s="2">
        <v>5.4188793757450959E-5</v>
      </c>
      <c r="I1127" s="4">
        <v>-8.3266726846886741E-17</v>
      </c>
      <c r="J1127" s="4">
        <v>9.7819869277975785E-2</v>
      </c>
      <c r="K1127" s="5">
        <v>1</v>
      </c>
      <c r="L1127" s="5">
        <v>0</v>
      </c>
      <c r="M1127" s="5">
        <v>0</v>
      </c>
    </row>
    <row r="1128" spans="1:13" hidden="1" x14ac:dyDescent="0.25">
      <c r="A1128" t="s">
        <v>1139</v>
      </c>
      <c r="B1128" s="1">
        <v>5.4970789919711598E-2</v>
      </c>
      <c r="C1128" s="2">
        <v>1.5663117728182169E-5</v>
      </c>
      <c r="D1128" s="2"/>
      <c r="E1128" s="2">
        <v>0.21423573541577151</v>
      </c>
      <c r="F1128" s="3">
        <v>109.3865092236822</v>
      </c>
      <c r="G1128" s="3">
        <v>1</v>
      </c>
      <c r="H1128" s="2">
        <v>5.4188793757450959E-5</v>
      </c>
      <c r="I1128" s="4">
        <v>8.3266726846886741E-17</v>
      </c>
      <c r="J1128" s="4">
        <v>0.21423573541577151</v>
      </c>
      <c r="K1128" s="5">
        <v>1</v>
      </c>
      <c r="L1128" s="5">
        <v>0</v>
      </c>
      <c r="M1128" s="5">
        <v>0</v>
      </c>
    </row>
    <row r="1129" spans="1:13" hidden="1" x14ac:dyDescent="0.25">
      <c r="A1129" t="s">
        <v>1140</v>
      </c>
      <c r="B1129" s="1">
        <v>5.4688981352585812E-2</v>
      </c>
      <c r="C1129" s="2">
        <v>1.5582820523609541E-5</v>
      </c>
      <c r="D1129" s="2"/>
      <c r="E1129" s="2">
        <v>-0.19098511432184651</v>
      </c>
      <c r="F1129" s="3">
        <v>72.881493826260566</v>
      </c>
      <c r="G1129" s="3">
        <v>1</v>
      </c>
      <c r="H1129" s="2">
        <v>5.4188793757450959E-5</v>
      </c>
      <c r="I1129" s="4">
        <v>5.5511151231257827E-17</v>
      </c>
      <c r="J1129" s="4">
        <v>-0.19098511432184659</v>
      </c>
      <c r="K1129" s="5">
        <v>1</v>
      </c>
      <c r="L1129" s="5">
        <v>0</v>
      </c>
      <c r="M1129" s="5">
        <v>0</v>
      </c>
    </row>
    <row r="1130" spans="1:13" hidden="1" x14ac:dyDescent="0.25">
      <c r="A1130" t="s">
        <v>1141</v>
      </c>
      <c r="B1130" s="1">
        <v>5.4680164100012023E-2</v>
      </c>
      <c r="C1130" s="2">
        <v>1.5580308177228789E-5</v>
      </c>
      <c r="D1130" s="2"/>
      <c r="E1130" s="2">
        <v>-0.25369091543036792</v>
      </c>
      <c r="F1130" s="3">
        <v>67.232534162767394</v>
      </c>
      <c r="G1130" s="3">
        <v>1</v>
      </c>
      <c r="H1130" s="2">
        <v>5.4188793757450959E-5</v>
      </c>
      <c r="I1130" s="4">
        <v>0</v>
      </c>
      <c r="J1130" s="4">
        <v>-0.25369091543036792</v>
      </c>
      <c r="K1130" s="5">
        <v>1</v>
      </c>
      <c r="L1130" s="5">
        <v>0</v>
      </c>
      <c r="M1130" s="5">
        <v>1</v>
      </c>
    </row>
    <row r="1131" spans="1:13" hidden="1" x14ac:dyDescent="0.25">
      <c r="A1131" t="s">
        <v>1142</v>
      </c>
      <c r="B1131" s="1">
        <v>5.4671188794160011E-2</v>
      </c>
      <c r="C1131" s="2">
        <v>1.5577750795892051E-5</v>
      </c>
      <c r="D1131" s="2"/>
      <c r="E1131" s="2">
        <v>-0.14921235976270061</v>
      </c>
      <c r="F1131" s="3">
        <v>76.644664081102405</v>
      </c>
      <c r="G1131" s="3">
        <v>1</v>
      </c>
      <c r="H1131" s="2">
        <v>5.4188793757450959E-5</v>
      </c>
      <c r="I1131" s="4">
        <v>0</v>
      </c>
      <c r="J1131" s="4">
        <v>-0.14921235976270061</v>
      </c>
      <c r="K1131" s="5">
        <v>1</v>
      </c>
      <c r="L1131" s="5">
        <v>0</v>
      </c>
      <c r="M1131" s="5">
        <v>0</v>
      </c>
    </row>
    <row r="1132" spans="1:13" hidden="1" x14ac:dyDescent="0.25">
      <c r="A1132" t="s">
        <v>1143</v>
      </c>
      <c r="B1132" s="1">
        <v>5.4663330883725887E-2</v>
      </c>
      <c r="C1132" s="2">
        <v>1.5575511799937889E-5</v>
      </c>
      <c r="D1132" s="2"/>
      <c r="E1132" s="2">
        <v>-2.363376855914456E-2</v>
      </c>
      <c r="F1132" s="3">
        <v>87.957626897405262</v>
      </c>
      <c r="G1132" s="3">
        <v>1</v>
      </c>
      <c r="H1132" s="2">
        <v>5.4188793757450959E-5</v>
      </c>
      <c r="I1132" s="4">
        <v>-1.1796119636642291E-16</v>
      </c>
      <c r="J1132" s="4">
        <v>-2.3633768559144449E-2</v>
      </c>
      <c r="K1132" s="5">
        <v>1</v>
      </c>
      <c r="L1132" s="5">
        <v>0</v>
      </c>
      <c r="M1132" s="5">
        <v>0</v>
      </c>
    </row>
    <row r="1133" spans="1:13" hidden="1" x14ac:dyDescent="0.25">
      <c r="A1133" t="s">
        <v>1144</v>
      </c>
      <c r="B1133" s="1">
        <v>5.4599889996333403E-2</v>
      </c>
      <c r="C1133" s="2">
        <v>1.5557435252566821E-5</v>
      </c>
      <c r="D1133" s="2"/>
      <c r="E1133" s="2">
        <v>0.3546784589130092</v>
      </c>
      <c r="F1133" s="3">
        <v>122.03853289680301</v>
      </c>
      <c r="G1133" s="3">
        <v>2</v>
      </c>
      <c r="H1133" s="2">
        <v>1.083775875149019E-4</v>
      </c>
      <c r="I1133" s="4">
        <v>0</v>
      </c>
      <c r="J1133" s="4">
        <v>0.3546784589130092</v>
      </c>
      <c r="K1133" s="5">
        <v>2</v>
      </c>
      <c r="L1133" s="5">
        <v>0</v>
      </c>
      <c r="M1133" s="5">
        <v>0</v>
      </c>
    </row>
    <row r="1134" spans="1:13" hidden="1" x14ac:dyDescent="0.25">
      <c r="A1134" t="s">
        <v>1145</v>
      </c>
      <c r="B1134" s="1">
        <v>5.4498326107798138E-2</v>
      </c>
      <c r="C1134" s="2">
        <v>1.5528496116975289E-5</v>
      </c>
      <c r="D1134" s="2"/>
      <c r="E1134" s="2">
        <v>-0.34348304054847439</v>
      </c>
      <c r="F1134" s="3">
        <v>59.143456534787227</v>
      </c>
      <c r="G1134" s="3">
        <v>2</v>
      </c>
      <c r="H1134" s="2">
        <v>1.083775875149019E-4</v>
      </c>
      <c r="I1134" s="4">
        <v>2.2204460492503131E-16</v>
      </c>
      <c r="J1134" s="4">
        <v>-0.34348304054847462</v>
      </c>
      <c r="K1134" s="5">
        <v>2</v>
      </c>
      <c r="L1134" s="5">
        <v>0</v>
      </c>
      <c r="M1134" s="5">
        <v>0</v>
      </c>
    </row>
    <row r="1135" spans="1:13" hidden="1" x14ac:dyDescent="0.25">
      <c r="A1135" t="s">
        <v>1146</v>
      </c>
      <c r="B1135" s="1">
        <v>5.4277606599850599E-2</v>
      </c>
      <c r="C1135" s="2">
        <v>1.5465605340929721E-5</v>
      </c>
      <c r="D1135" s="2"/>
      <c r="E1135" s="2">
        <v>1.153395394095093</v>
      </c>
      <c r="F1135" s="3">
        <v>193.99231818668321</v>
      </c>
      <c r="G1135" s="3">
        <v>1</v>
      </c>
      <c r="H1135" s="2">
        <v>5.4188793757450959E-5</v>
      </c>
      <c r="I1135" s="4">
        <v>-2.2204460492503131E-16</v>
      </c>
      <c r="J1135" s="4">
        <v>1.153395394095093</v>
      </c>
      <c r="K1135" s="5">
        <v>1</v>
      </c>
      <c r="L1135" s="5">
        <v>0</v>
      </c>
      <c r="M1135" s="5">
        <v>0</v>
      </c>
    </row>
    <row r="1136" spans="1:13" hidden="1" x14ac:dyDescent="0.25">
      <c r="A1136" t="s">
        <v>1147</v>
      </c>
      <c r="B1136" s="1">
        <v>5.4248195589494813E-2</v>
      </c>
      <c r="C1136" s="2">
        <v>1.5457225106292731E-5</v>
      </c>
      <c r="D1136" s="2"/>
      <c r="E1136" s="2">
        <v>1.3241770694355941</v>
      </c>
      <c r="F1136" s="3">
        <v>209.3774783825103</v>
      </c>
      <c r="G1136" s="3">
        <v>1</v>
      </c>
      <c r="H1136" s="2">
        <v>5.4188793757450959E-5</v>
      </c>
      <c r="I1136" s="4">
        <v>0</v>
      </c>
      <c r="J1136" s="4">
        <v>1.3241770694355941</v>
      </c>
      <c r="K1136" s="5">
        <v>1</v>
      </c>
      <c r="L1136" s="5">
        <v>0</v>
      </c>
      <c r="M1136" s="5">
        <v>0</v>
      </c>
    </row>
    <row r="1137" spans="1:13" hidden="1" x14ac:dyDescent="0.25">
      <c r="A1137" t="s">
        <v>1148</v>
      </c>
      <c r="B1137" s="1">
        <v>5.4241303518610007E-2</v>
      </c>
      <c r="C1137" s="2">
        <v>1.5455261312106451E-5</v>
      </c>
      <c r="D1137" s="2"/>
      <c r="E1137" s="2">
        <v>0.8622344525104122</v>
      </c>
      <c r="F1137" s="3">
        <v>167.7625852828636</v>
      </c>
      <c r="G1137" s="3">
        <v>1</v>
      </c>
      <c r="H1137" s="2">
        <v>5.4188793757450959E-5</v>
      </c>
      <c r="I1137" s="4">
        <v>1.110223024625157E-16</v>
      </c>
      <c r="J1137" s="4">
        <v>0.86223445251041209</v>
      </c>
      <c r="K1137" s="5">
        <v>1</v>
      </c>
      <c r="L1137" s="5">
        <v>0</v>
      </c>
      <c r="M1137" s="5">
        <v>0</v>
      </c>
    </row>
    <row r="1138" spans="1:13" hidden="1" x14ac:dyDescent="0.25">
      <c r="A1138" t="s">
        <v>1149</v>
      </c>
      <c r="B1138" s="1">
        <v>5.4054547799465107E-2</v>
      </c>
      <c r="C1138" s="2">
        <v>1.5402048017925118E-5</v>
      </c>
      <c r="D1138" s="2"/>
      <c r="E1138" s="2">
        <v>0.1156324976966472</v>
      </c>
      <c r="F1138" s="3">
        <v>100.50366740174</v>
      </c>
      <c r="G1138" s="3">
        <v>1</v>
      </c>
      <c r="H1138" s="2">
        <v>5.4188793757450959E-5</v>
      </c>
      <c r="I1138" s="4">
        <v>0</v>
      </c>
      <c r="J1138" s="4">
        <v>0.1156324976966472</v>
      </c>
      <c r="K1138" s="5">
        <v>1</v>
      </c>
      <c r="L1138" s="5">
        <v>0</v>
      </c>
      <c r="M1138" s="5">
        <v>0</v>
      </c>
    </row>
    <row r="1139" spans="1:13" hidden="1" x14ac:dyDescent="0.25">
      <c r="A1139" t="s">
        <v>1150</v>
      </c>
      <c r="B1139" s="1">
        <v>5.3986556355962348E-2</v>
      </c>
      <c r="C1139" s="2">
        <v>1.5382674856548901E-5</v>
      </c>
      <c r="D1139" s="2"/>
      <c r="E1139" s="2">
        <v>0.2209376094013564</v>
      </c>
      <c r="F1139" s="3">
        <v>109.9902590386134</v>
      </c>
      <c r="G1139" s="3">
        <v>1</v>
      </c>
      <c r="H1139" s="2">
        <v>5.4188793757450959E-5</v>
      </c>
      <c r="I1139" s="4">
        <v>5.5511151231257827E-17</v>
      </c>
      <c r="J1139" s="4">
        <v>0.2209376094013564</v>
      </c>
      <c r="K1139" s="5">
        <v>1</v>
      </c>
      <c r="L1139" s="5">
        <v>0</v>
      </c>
      <c r="M1139" s="5">
        <v>0</v>
      </c>
    </row>
    <row r="1140" spans="1:13" hidden="1" x14ac:dyDescent="0.25">
      <c r="A1140" t="s">
        <v>1151</v>
      </c>
      <c r="B1140" s="1">
        <v>5.3957849355892651E-2</v>
      </c>
      <c r="C1140" s="2">
        <v>1.537449521928389E-5</v>
      </c>
      <c r="D1140" s="2"/>
      <c r="E1140" s="2">
        <v>-0.50613582879815788</v>
      </c>
      <c r="F1140" s="3">
        <v>44.490601077490552</v>
      </c>
      <c r="G1140" s="3">
        <v>1</v>
      </c>
      <c r="H1140" s="2">
        <v>5.4188793757450959E-5</v>
      </c>
      <c r="I1140" s="4">
        <v>0</v>
      </c>
      <c r="J1140" s="4">
        <v>-0.50613582879815788</v>
      </c>
      <c r="K1140" s="5">
        <v>1</v>
      </c>
      <c r="L1140" s="5">
        <v>0</v>
      </c>
      <c r="M1140" s="5">
        <v>0</v>
      </c>
    </row>
    <row r="1141" spans="1:13" hidden="1" x14ac:dyDescent="0.25">
      <c r="A1141" t="s">
        <v>1152</v>
      </c>
      <c r="B1141" s="1">
        <v>5.3901021551214248E-2</v>
      </c>
      <c r="C1141" s="2">
        <v>1.5358302972524978E-5</v>
      </c>
      <c r="D1141" s="2"/>
      <c r="E1141" s="2">
        <v>-0.51936775028370197</v>
      </c>
      <c r="F1141" s="3">
        <v>43.29858073135086</v>
      </c>
      <c r="G1141" s="3">
        <v>1</v>
      </c>
      <c r="H1141" s="2">
        <v>5.4188793757450959E-5</v>
      </c>
      <c r="I1141" s="4">
        <v>-1.110223024625157E-16</v>
      </c>
      <c r="J1141" s="4">
        <v>-0.51936775028370186</v>
      </c>
      <c r="K1141" s="5">
        <v>1</v>
      </c>
      <c r="L1141" s="5">
        <v>0</v>
      </c>
      <c r="M1141" s="5">
        <v>0</v>
      </c>
    </row>
    <row r="1142" spans="1:13" hidden="1" x14ac:dyDescent="0.25">
      <c r="A1142" t="s">
        <v>1153</v>
      </c>
      <c r="B1142" s="1">
        <v>5.3790284330613267E-2</v>
      </c>
      <c r="C1142" s="2">
        <v>1.5326750030940942E-5</v>
      </c>
      <c r="D1142" s="2"/>
      <c r="E1142" s="2">
        <v>-0.36944498362001038</v>
      </c>
      <c r="F1142" s="3">
        <v>56.804630355958878</v>
      </c>
      <c r="G1142" s="3">
        <v>1</v>
      </c>
      <c r="H1142" s="2">
        <v>5.4188793757450959E-5</v>
      </c>
      <c r="I1142" s="4">
        <v>0</v>
      </c>
      <c r="J1142" s="4">
        <v>-0.36944498362001038</v>
      </c>
      <c r="K1142" s="5">
        <v>1</v>
      </c>
      <c r="L1142" s="5">
        <v>0</v>
      </c>
      <c r="M1142" s="5">
        <v>0</v>
      </c>
    </row>
    <row r="1143" spans="1:13" hidden="1" x14ac:dyDescent="0.25">
      <c r="A1143" t="s">
        <v>1154</v>
      </c>
      <c r="B1143" s="1">
        <v>5.3774413550504337E-2</v>
      </c>
      <c r="C1143" s="2">
        <v>1.5322227885677119E-5</v>
      </c>
      <c r="D1143" s="2"/>
      <c r="E1143" s="2">
        <v>-0.43202858231392338</v>
      </c>
      <c r="F1143" s="3">
        <v>51.166679506621684</v>
      </c>
      <c r="G1143" s="3">
        <v>1</v>
      </c>
      <c r="H1143" s="2">
        <v>5.4188793757450959E-5</v>
      </c>
      <c r="I1143" s="4">
        <v>0</v>
      </c>
      <c r="J1143" s="4">
        <v>-0.43202858231392338</v>
      </c>
      <c r="K1143" s="5">
        <v>1</v>
      </c>
      <c r="L1143" s="5">
        <v>0</v>
      </c>
      <c r="M1143" s="5">
        <v>0</v>
      </c>
    </row>
    <row r="1144" spans="1:13" hidden="1" x14ac:dyDescent="0.25">
      <c r="A1144" t="s">
        <v>1155</v>
      </c>
      <c r="B1144" s="1">
        <v>5.3770611643911191E-2</v>
      </c>
      <c r="C1144" s="2">
        <v>1.5321144588335988E-5</v>
      </c>
      <c r="D1144" s="2"/>
      <c r="E1144" s="2">
        <v>0.4861988619720814</v>
      </c>
      <c r="F1144" s="3">
        <v>133.88677402717749</v>
      </c>
      <c r="G1144" s="3">
        <v>3</v>
      </c>
      <c r="H1144" s="2">
        <v>1.6256638127235291E-4</v>
      </c>
      <c r="I1144" s="4">
        <v>1.110223024625157E-16</v>
      </c>
      <c r="J1144" s="4">
        <v>0.48619886197208129</v>
      </c>
      <c r="K1144" s="5">
        <v>3</v>
      </c>
      <c r="L1144" s="5">
        <v>0</v>
      </c>
      <c r="M1144" s="5">
        <v>0</v>
      </c>
    </row>
    <row r="1145" spans="1:13" hidden="1" x14ac:dyDescent="0.25">
      <c r="A1145" t="s">
        <v>1156</v>
      </c>
      <c r="B1145" s="1">
        <v>5.3700825844891033E-2</v>
      </c>
      <c r="C1145" s="2">
        <v>1.5301260151757861E-5</v>
      </c>
      <c r="D1145" s="2"/>
      <c r="E1145" s="2">
        <v>8.2173536712886852E-2</v>
      </c>
      <c r="F1145" s="3">
        <v>97.489459503294583</v>
      </c>
      <c r="G1145" s="3">
        <v>1</v>
      </c>
      <c r="H1145" s="2">
        <v>5.4188793757450959E-5</v>
      </c>
      <c r="I1145" s="4">
        <v>-8.3266726846886741E-17</v>
      </c>
      <c r="J1145" s="4">
        <v>8.2173536712886935E-2</v>
      </c>
      <c r="K1145" s="5">
        <v>1</v>
      </c>
      <c r="L1145" s="5">
        <v>0</v>
      </c>
      <c r="M1145" s="5">
        <v>0</v>
      </c>
    </row>
    <row r="1146" spans="1:13" hidden="1" x14ac:dyDescent="0.25">
      <c r="A1146" t="s">
        <v>1157</v>
      </c>
      <c r="B1146" s="1">
        <v>5.3592663466137613E-2</v>
      </c>
      <c r="C1146" s="2">
        <v>1.5270440873471161E-5</v>
      </c>
      <c r="D1146" s="2"/>
      <c r="E1146" s="2">
        <v>-0.77156824622620901</v>
      </c>
      <c r="F1146" s="3">
        <v>20.578666409124139</v>
      </c>
      <c r="G1146" s="3">
        <v>2</v>
      </c>
      <c r="H1146" s="2">
        <v>1.083775875149019E-4</v>
      </c>
      <c r="I1146" s="4">
        <v>-0.7005990494979798</v>
      </c>
      <c r="J1146" s="4">
        <v>-7.0969196728229184E-2</v>
      </c>
      <c r="K1146" s="5">
        <v>2</v>
      </c>
      <c r="L1146" s="5">
        <v>0</v>
      </c>
      <c r="M1146" s="5">
        <v>1</v>
      </c>
    </row>
    <row r="1147" spans="1:13" hidden="1" x14ac:dyDescent="0.25">
      <c r="A1147" t="s">
        <v>1158</v>
      </c>
      <c r="B1147" s="1">
        <v>5.3577669175984242E-2</v>
      </c>
      <c r="C1147" s="2">
        <v>1.526616847112319E-5</v>
      </c>
      <c r="D1147" s="2"/>
      <c r="E1147" s="2">
        <v>1.71273176620832E-2</v>
      </c>
      <c r="F1147" s="3">
        <v>91.629659274527583</v>
      </c>
      <c r="G1147" s="3">
        <v>3</v>
      </c>
      <c r="H1147" s="2">
        <v>1.6256638127235291E-4</v>
      </c>
      <c r="I1147" s="4">
        <v>0.1037309045831187</v>
      </c>
      <c r="J1147" s="4">
        <v>-8.6603586921035494E-2</v>
      </c>
      <c r="K1147" s="5">
        <v>3</v>
      </c>
      <c r="L1147" s="5">
        <v>0</v>
      </c>
      <c r="M1147" s="5">
        <v>0</v>
      </c>
    </row>
    <row r="1148" spans="1:13" hidden="1" x14ac:dyDescent="0.25">
      <c r="A1148" t="s">
        <v>1159</v>
      </c>
      <c r="B1148" s="1">
        <v>5.3464550450436243E-2</v>
      </c>
      <c r="C1148" s="2">
        <v>1.52339369547468E-5</v>
      </c>
      <c r="D1148" s="2"/>
      <c r="E1148" s="2">
        <v>0.76812946516022462</v>
      </c>
      <c r="F1148" s="3">
        <v>159.28497606207171</v>
      </c>
      <c r="G1148" s="3">
        <v>1</v>
      </c>
      <c r="H1148" s="2">
        <v>5.4188793757450959E-5</v>
      </c>
      <c r="I1148" s="4">
        <v>0</v>
      </c>
      <c r="J1148" s="4">
        <v>0.76812946516022462</v>
      </c>
      <c r="K1148" s="5">
        <v>1</v>
      </c>
      <c r="L1148" s="5">
        <v>0</v>
      </c>
      <c r="M1148" s="5">
        <v>1</v>
      </c>
    </row>
    <row r="1149" spans="1:13" hidden="1" x14ac:dyDescent="0.25">
      <c r="A1149" t="s">
        <v>1160</v>
      </c>
      <c r="B1149" s="1">
        <v>5.3237745352029762E-2</v>
      </c>
      <c r="C1149" s="2">
        <v>1.516931217924547E-5</v>
      </c>
      <c r="D1149" s="2"/>
      <c r="E1149" s="2">
        <v>-0.1197860002962446</v>
      </c>
      <c r="F1149" s="3">
        <v>79.295588154008797</v>
      </c>
      <c r="G1149" s="3">
        <v>1</v>
      </c>
      <c r="H1149" s="2">
        <v>5.4188793757450959E-5</v>
      </c>
      <c r="I1149" s="4">
        <v>4.163336342344337E-17</v>
      </c>
      <c r="J1149" s="4">
        <v>-0.1197860002962447</v>
      </c>
      <c r="K1149" s="5">
        <v>1</v>
      </c>
      <c r="L1149" s="5">
        <v>0</v>
      </c>
      <c r="M1149" s="5">
        <v>0</v>
      </c>
    </row>
    <row r="1150" spans="1:13" hidden="1" x14ac:dyDescent="0.25">
      <c r="A1150" t="s">
        <v>1161</v>
      </c>
      <c r="B1150" s="1">
        <v>5.3210310047681987E-2</v>
      </c>
      <c r="C1150" s="2">
        <v>1.516149489296424E-5</v>
      </c>
      <c r="D1150" s="2"/>
      <c r="E1150" s="2">
        <v>5.8791128011563158E-2</v>
      </c>
      <c r="F1150" s="3">
        <v>95.383015103349905</v>
      </c>
      <c r="G1150" s="3">
        <v>1</v>
      </c>
      <c r="H1150" s="2">
        <v>5.4188793757450959E-5</v>
      </c>
      <c r="I1150" s="4">
        <v>6.9388939039072284E-17</v>
      </c>
      <c r="J1150" s="4">
        <v>5.8791128011563103E-2</v>
      </c>
      <c r="K1150" s="5">
        <v>1</v>
      </c>
      <c r="L1150" s="5">
        <v>0</v>
      </c>
      <c r="M1150" s="5">
        <v>1</v>
      </c>
    </row>
    <row r="1151" spans="1:13" hidden="1" x14ac:dyDescent="0.25">
      <c r="A1151" t="s">
        <v>1162</v>
      </c>
      <c r="B1151" s="1">
        <v>5.3204866185833387E-2</v>
      </c>
      <c r="C1151" s="2">
        <v>1.515994374463337E-5</v>
      </c>
      <c r="D1151" s="2"/>
      <c r="E1151" s="2">
        <v>0.5106446423862343</v>
      </c>
      <c r="F1151" s="3">
        <v>136.08901409206669</v>
      </c>
      <c r="G1151" s="3">
        <v>1</v>
      </c>
      <c r="H1151" s="2">
        <v>5.4188793757450959E-5</v>
      </c>
      <c r="I1151" s="4">
        <v>0</v>
      </c>
      <c r="J1151" s="4">
        <v>0.5106446423862343</v>
      </c>
      <c r="K1151" s="5">
        <v>1</v>
      </c>
      <c r="L1151" s="5">
        <v>0</v>
      </c>
      <c r="M1151" s="5">
        <v>0</v>
      </c>
    </row>
    <row r="1152" spans="1:13" hidden="1" x14ac:dyDescent="0.25">
      <c r="A1152" t="s">
        <v>1163</v>
      </c>
      <c r="B1152" s="1">
        <v>5.301664874858826E-2</v>
      </c>
      <c r="C1152" s="2">
        <v>1.5106313955387599E-5</v>
      </c>
      <c r="D1152" s="2"/>
      <c r="E1152" s="2">
        <v>0.19612554888672529</v>
      </c>
      <c r="F1152" s="3">
        <v>107.75502200252591</v>
      </c>
      <c r="G1152" s="3">
        <v>2</v>
      </c>
      <c r="H1152" s="2">
        <v>1.083775875149019E-4</v>
      </c>
      <c r="I1152" s="4">
        <v>3.05311331771918E-16</v>
      </c>
      <c r="J1152" s="4">
        <v>0.19612554888672501</v>
      </c>
      <c r="K1152" s="5">
        <v>2</v>
      </c>
      <c r="L1152" s="5">
        <v>0</v>
      </c>
      <c r="M1152" s="5">
        <v>0</v>
      </c>
    </row>
    <row r="1153" spans="1:13" hidden="1" x14ac:dyDescent="0.25">
      <c r="A1153" t="s">
        <v>1164</v>
      </c>
      <c r="B1153" s="1">
        <v>5.2973007857247477E-2</v>
      </c>
      <c r="C1153" s="2">
        <v>1.50938791255474E-5</v>
      </c>
      <c r="D1153" s="2"/>
      <c r="E1153" s="2">
        <v>-0.58175656178326651</v>
      </c>
      <c r="F1153" s="3">
        <v>37.678177620570317</v>
      </c>
      <c r="G1153" s="3">
        <v>2</v>
      </c>
      <c r="H1153" s="2">
        <v>1.083775875149019E-4</v>
      </c>
      <c r="I1153" s="4">
        <v>0</v>
      </c>
      <c r="J1153" s="4">
        <v>-0.58175656178326651</v>
      </c>
      <c r="K1153" s="5">
        <v>2</v>
      </c>
      <c r="L1153" s="5">
        <v>0</v>
      </c>
      <c r="M1153" s="5">
        <v>0</v>
      </c>
    </row>
    <row r="1154" spans="1:13" hidden="1" x14ac:dyDescent="0.25">
      <c r="A1154" t="s">
        <v>1165</v>
      </c>
      <c r="B1154" s="1">
        <v>5.2958120057316607E-2</v>
      </c>
      <c r="C1154" s="2">
        <v>1.508963706602139E-5</v>
      </c>
      <c r="D1154" s="2"/>
      <c r="E1154" s="2" t="s">
        <v>303</v>
      </c>
      <c r="F1154" s="3" t="s">
        <v>303</v>
      </c>
      <c r="G1154" s="3">
        <v>1</v>
      </c>
      <c r="H1154" s="2">
        <v>5.4188793757450959E-5</v>
      </c>
      <c r="I1154" s="4" t="s">
        <v>303</v>
      </c>
      <c r="J1154" s="4">
        <v>0</v>
      </c>
      <c r="K1154" s="5">
        <v>1</v>
      </c>
      <c r="L1154" s="5">
        <v>0</v>
      </c>
      <c r="M1154" s="5">
        <v>0</v>
      </c>
    </row>
    <row r="1155" spans="1:13" hidden="1" x14ac:dyDescent="0.25">
      <c r="A1155" t="s">
        <v>1166</v>
      </c>
      <c r="B1155" s="1">
        <v>5.2893157430701332E-2</v>
      </c>
      <c r="C1155" s="2">
        <v>1.5071126921450191E-5</v>
      </c>
      <c r="D1155" s="2"/>
      <c r="E1155" s="2">
        <v>-0.63565722582321216</v>
      </c>
      <c r="F1155" s="3">
        <v>32.822443834948182</v>
      </c>
      <c r="G1155" s="3">
        <v>1</v>
      </c>
      <c r="H1155" s="2">
        <v>5.4188793757450959E-5</v>
      </c>
      <c r="I1155" s="4">
        <v>-0.79052078788932278</v>
      </c>
      <c r="J1155" s="4">
        <v>0.15486356206611071</v>
      </c>
      <c r="K1155" s="5">
        <v>1</v>
      </c>
      <c r="L1155" s="5">
        <v>0</v>
      </c>
      <c r="M1155" s="5">
        <v>0</v>
      </c>
    </row>
    <row r="1156" spans="1:13" hidden="1" x14ac:dyDescent="0.25">
      <c r="A1156" t="s">
        <v>1167</v>
      </c>
      <c r="B1156" s="1">
        <v>5.2764845417169762E-2</v>
      </c>
      <c r="C1156" s="2">
        <v>1.503456630122224E-5</v>
      </c>
      <c r="D1156" s="2"/>
      <c r="E1156" s="2">
        <v>3.9286188722237791</v>
      </c>
      <c r="F1156" s="3">
        <v>444.00308605801041</v>
      </c>
      <c r="G1156" s="3">
        <v>1</v>
      </c>
      <c r="H1156" s="2">
        <v>5.4188793757450959E-5</v>
      </c>
      <c r="I1156" s="4">
        <v>8.8817841970012523E-16</v>
      </c>
      <c r="J1156" s="4">
        <v>3.9286188722237778</v>
      </c>
      <c r="K1156" s="5">
        <v>1</v>
      </c>
      <c r="L1156" s="5">
        <v>0</v>
      </c>
      <c r="M1156" s="5">
        <v>0</v>
      </c>
    </row>
    <row r="1157" spans="1:13" hidden="1" x14ac:dyDescent="0.25">
      <c r="A1157" t="s">
        <v>1168</v>
      </c>
      <c r="B1157" s="1">
        <v>5.2743459160885159E-2</v>
      </c>
      <c r="C1157" s="2">
        <v>1.5028472602178801E-5</v>
      </c>
      <c r="D1157" s="2"/>
      <c r="E1157" s="2">
        <v>4.9731552608436926</v>
      </c>
      <c r="F1157" s="3">
        <v>538.10193850952408</v>
      </c>
      <c r="G1157" s="3">
        <v>1</v>
      </c>
      <c r="H1157" s="2">
        <v>5.4188793757450959E-5</v>
      </c>
      <c r="I1157" s="4">
        <v>0</v>
      </c>
      <c r="J1157" s="4">
        <v>4.9731552608436926</v>
      </c>
      <c r="K1157" s="5">
        <v>1</v>
      </c>
      <c r="L1157" s="5">
        <v>0</v>
      </c>
      <c r="M1157" s="5">
        <v>0</v>
      </c>
    </row>
    <row r="1158" spans="1:13" hidden="1" x14ac:dyDescent="0.25">
      <c r="A1158" t="s">
        <v>1169</v>
      </c>
      <c r="B1158" s="1">
        <v>5.269026537583564E-2</v>
      </c>
      <c r="C1158" s="2">
        <v>1.501331581584091E-5</v>
      </c>
      <c r="D1158" s="2"/>
      <c r="E1158" s="2">
        <v>-0.1035552793776198</v>
      </c>
      <c r="F1158" s="3">
        <v>80.757760491462065</v>
      </c>
      <c r="G1158" s="3">
        <v>2</v>
      </c>
      <c r="H1158" s="2">
        <v>1.083775875149019E-4</v>
      </c>
      <c r="I1158" s="4">
        <v>-1.52655665885959E-16</v>
      </c>
      <c r="J1158" s="4">
        <v>-0.1035552793776196</v>
      </c>
      <c r="K1158" s="5">
        <v>2</v>
      </c>
      <c r="L1158" s="5">
        <v>0</v>
      </c>
      <c r="M1158" s="5">
        <v>2</v>
      </c>
    </row>
    <row r="1159" spans="1:13" hidden="1" x14ac:dyDescent="0.25">
      <c r="A1159" t="s">
        <v>1170</v>
      </c>
      <c r="B1159" s="1">
        <v>5.2654177997424043E-2</v>
      </c>
      <c r="C1159" s="2">
        <v>1.500303324836484E-5</v>
      </c>
      <c r="D1159" s="2"/>
      <c r="E1159" s="2">
        <v>-0.54295144967860343</v>
      </c>
      <c r="F1159" s="3">
        <v>41.174002713964789</v>
      </c>
      <c r="G1159" s="3">
        <v>1</v>
      </c>
      <c r="H1159" s="2">
        <v>5.4188793757450959E-5</v>
      </c>
      <c r="I1159" s="4">
        <v>1.110223024625157E-16</v>
      </c>
      <c r="J1159" s="4">
        <v>-0.54295144967860354</v>
      </c>
      <c r="K1159" s="5">
        <v>1</v>
      </c>
      <c r="L1159" s="5">
        <v>0</v>
      </c>
      <c r="M1159" s="5">
        <v>0</v>
      </c>
    </row>
    <row r="1160" spans="1:13" hidden="1" x14ac:dyDescent="0.25">
      <c r="A1160" t="s">
        <v>1171</v>
      </c>
      <c r="B1160" s="1">
        <v>5.2635347168992978E-2</v>
      </c>
      <c r="C1160" s="2">
        <v>1.499766768088681E-5</v>
      </c>
      <c r="D1160" s="2"/>
      <c r="E1160" s="2">
        <v>0.52075803742727489</v>
      </c>
      <c r="F1160" s="3">
        <v>137.00009663367939</v>
      </c>
      <c r="G1160" s="3">
        <v>1</v>
      </c>
      <c r="H1160" s="2">
        <v>5.4188793757450959E-5</v>
      </c>
      <c r="I1160" s="4">
        <v>-1.110223024625157E-16</v>
      </c>
      <c r="J1160" s="4">
        <v>0.520758037427275</v>
      </c>
      <c r="K1160" s="5">
        <v>1</v>
      </c>
      <c r="L1160" s="5">
        <v>0</v>
      </c>
      <c r="M1160" s="5">
        <v>0</v>
      </c>
    </row>
    <row r="1161" spans="1:13" hidden="1" x14ac:dyDescent="0.25">
      <c r="A1161" t="s">
        <v>1172</v>
      </c>
      <c r="B1161" s="1">
        <v>5.2572056683344782E-2</v>
      </c>
      <c r="C1161" s="2">
        <v>1.497963398827971E-5</v>
      </c>
      <c r="D1161" s="2"/>
      <c r="E1161" s="2">
        <v>0.18345433659551749</v>
      </c>
      <c r="F1161" s="3">
        <v>106.61351410604421</v>
      </c>
      <c r="G1161" s="3">
        <v>1</v>
      </c>
      <c r="H1161" s="2">
        <v>5.4188793757450959E-5</v>
      </c>
      <c r="I1161" s="4">
        <v>-5.5511151231257827E-17</v>
      </c>
      <c r="J1161" s="4">
        <v>0.18345433659551749</v>
      </c>
      <c r="K1161" s="5">
        <v>1</v>
      </c>
      <c r="L1161" s="5">
        <v>0</v>
      </c>
      <c r="M1161" s="5">
        <v>0</v>
      </c>
    </row>
    <row r="1162" spans="1:13" hidden="1" x14ac:dyDescent="0.25">
      <c r="A1162" t="s">
        <v>1173</v>
      </c>
      <c r="B1162" s="1">
        <v>5.2534939375157387E-2</v>
      </c>
      <c r="C1162" s="2">
        <v>1.496905795746877E-5</v>
      </c>
      <c r="D1162" s="2"/>
      <c r="E1162" s="2">
        <v>0.35386224331154098</v>
      </c>
      <c r="F1162" s="3">
        <v>121.9650027141421</v>
      </c>
      <c r="G1162" s="3">
        <v>1</v>
      </c>
      <c r="H1162" s="2">
        <v>5.4188793757450959E-5</v>
      </c>
      <c r="I1162" s="4">
        <v>5.5511151231257827E-17</v>
      </c>
      <c r="J1162" s="4">
        <v>0.35386224331154098</v>
      </c>
      <c r="K1162" s="5">
        <v>1</v>
      </c>
      <c r="L1162" s="5">
        <v>0</v>
      </c>
      <c r="M1162" s="5">
        <v>0</v>
      </c>
    </row>
    <row r="1163" spans="1:13" hidden="1" x14ac:dyDescent="0.25">
      <c r="A1163" t="s">
        <v>1174</v>
      </c>
      <c r="B1163" s="1">
        <v>5.2389832226654123E-2</v>
      </c>
      <c r="C1163" s="2">
        <v>1.4927711810660131E-5</v>
      </c>
      <c r="D1163" s="2"/>
      <c r="E1163" s="2">
        <v>-0.10690147028218459</v>
      </c>
      <c r="F1163" s="3">
        <v>80.456313143496274</v>
      </c>
      <c r="G1163" s="3">
        <v>2</v>
      </c>
      <c r="H1163" s="2">
        <v>1.083775875149019E-4</v>
      </c>
      <c r="I1163" s="4">
        <v>-1.387778780781446E-17</v>
      </c>
      <c r="J1163" s="4">
        <v>-0.10690147028218459</v>
      </c>
      <c r="K1163" s="5">
        <v>2</v>
      </c>
      <c r="L1163" s="5">
        <v>0</v>
      </c>
      <c r="M1163" s="5">
        <v>0</v>
      </c>
    </row>
    <row r="1164" spans="1:13" hidden="1" x14ac:dyDescent="0.25">
      <c r="A1164" t="s">
        <v>1175</v>
      </c>
      <c r="B1164" s="1">
        <v>5.2344230640502157E-2</v>
      </c>
      <c r="C1164" s="2">
        <v>1.491471830968382E-5</v>
      </c>
      <c r="D1164" s="2"/>
      <c r="E1164" s="2" t="s">
        <v>303</v>
      </c>
      <c r="F1164" s="3" t="s">
        <v>303</v>
      </c>
      <c r="G1164" s="3">
        <v>1</v>
      </c>
      <c r="H1164" s="2">
        <v>5.4188793757450959E-5</v>
      </c>
      <c r="I1164" s="4" t="s">
        <v>303</v>
      </c>
      <c r="J1164" s="4">
        <v>0</v>
      </c>
      <c r="K1164" s="5">
        <v>1</v>
      </c>
      <c r="L1164" s="5">
        <v>0</v>
      </c>
      <c r="M1164" s="5">
        <v>0</v>
      </c>
    </row>
    <row r="1165" spans="1:13" hidden="1" x14ac:dyDescent="0.25">
      <c r="A1165" t="s">
        <v>1176</v>
      </c>
      <c r="B1165" s="1">
        <v>5.2339581881237281E-2</v>
      </c>
      <c r="C1165" s="2">
        <v>1.491339371413477E-5</v>
      </c>
      <c r="D1165" s="2"/>
      <c r="E1165" s="2">
        <v>0.76620191208368116</v>
      </c>
      <c r="F1165" s="3">
        <v>159.1113291364899</v>
      </c>
      <c r="G1165" s="3">
        <v>2</v>
      </c>
      <c r="H1165" s="2">
        <v>1.083775875149019E-4</v>
      </c>
      <c r="I1165" s="4">
        <v>0</v>
      </c>
      <c r="J1165" s="4">
        <v>0.76620191208368116</v>
      </c>
      <c r="K1165" s="5">
        <v>2</v>
      </c>
      <c r="L1165" s="5">
        <v>0</v>
      </c>
      <c r="M1165" s="5">
        <v>0</v>
      </c>
    </row>
    <row r="1166" spans="1:13" hidden="1" x14ac:dyDescent="0.25">
      <c r="A1166" t="s">
        <v>1177</v>
      </c>
      <c r="B1166" s="1">
        <v>5.2301945077372861E-2</v>
      </c>
      <c r="C1166" s="2">
        <v>1.49026696606747E-5</v>
      </c>
      <c r="D1166" s="2"/>
      <c r="E1166" s="2">
        <v>0.33502135332407618</v>
      </c>
      <c r="F1166" s="3">
        <v>120.267688818426</v>
      </c>
      <c r="G1166" s="3">
        <v>1</v>
      </c>
      <c r="H1166" s="2">
        <v>5.4188793757450959E-5</v>
      </c>
      <c r="I1166" s="4">
        <v>0</v>
      </c>
      <c r="J1166" s="4">
        <v>0.33502135332407618</v>
      </c>
      <c r="K1166" s="5">
        <v>1</v>
      </c>
      <c r="L1166" s="5">
        <v>0</v>
      </c>
      <c r="M1166" s="5">
        <v>0</v>
      </c>
    </row>
    <row r="1167" spans="1:13" hidden="1" x14ac:dyDescent="0.25">
      <c r="A1167" t="s">
        <v>1178</v>
      </c>
      <c r="B1167" s="1">
        <v>5.2243401825503598E-2</v>
      </c>
      <c r="C1167" s="2">
        <v>1.4885988622480451E-5</v>
      </c>
      <c r="D1167" s="2"/>
      <c r="E1167" s="2">
        <v>-0.11059669453620059</v>
      </c>
      <c r="F1167" s="3">
        <v>80.123422527484962</v>
      </c>
      <c r="G1167" s="3">
        <v>1</v>
      </c>
      <c r="H1167" s="2">
        <v>5.4188793757450959E-5</v>
      </c>
      <c r="I1167" s="4">
        <v>-0.12672444020206591</v>
      </c>
      <c r="J1167" s="4">
        <v>1.6127745665865369E-2</v>
      </c>
      <c r="K1167" s="5">
        <v>1</v>
      </c>
      <c r="L1167" s="5">
        <v>1</v>
      </c>
      <c r="M1167" s="5">
        <v>0</v>
      </c>
    </row>
    <row r="1168" spans="1:13" hidden="1" x14ac:dyDescent="0.25">
      <c r="A1168" t="s">
        <v>1179</v>
      </c>
      <c r="B1168" s="1">
        <v>5.2218812242915587E-2</v>
      </c>
      <c r="C1168" s="2">
        <v>1.4878982182741721E-5</v>
      </c>
      <c r="D1168" s="2"/>
      <c r="E1168" s="2">
        <v>0.93120126443879681</v>
      </c>
      <c r="F1168" s="3">
        <v>173.97557884671139</v>
      </c>
      <c r="G1168" s="3">
        <v>1</v>
      </c>
      <c r="H1168" s="2">
        <v>5.4188793757450959E-5</v>
      </c>
      <c r="I1168" s="4">
        <v>0</v>
      </c>
      <c r="J1168" s="4">
        <v>0.93120126443879681</v>
      </c>
      <c r="K1168" s="5">
        <v>1</v>
      </c>
      <c r="L1168" s="5">
        <v>0</v>
      </c>
      <c r="M1168" s="5">
        <v>0</v>
      </c>
    </row>
    <row r="1169" spans="1:13" hidden="1" x14ac:dyDescent="0.25">
      <c r="A1169" t="s">
        <v>1180</v>
      </c>
      <c r="B1169" s="1">
        <v>5.2184279908469647E-2</v>
      </c>
      <c r="C1169" s="2">
        <v>1.48691427021622E-5</v>
      </c>
      <c r="D1169" s="2"/>
      <c r="E1169" s="2">
        <v>1.890650235447598</v>
      </c>
      <c r="F1169" s="3">
        <v>260.40918531685043</v>
      </c>
      <c r="G1169" s="3">
        <v>1</v>
      </c>
      <c r="H1169" s="2">
        <v>5.4188793757450959E-5</v>
      </c>
      <c r="I1169" s="4">
        <v>0</v>
      </c>
      <c r="J1169" s="4">
        <v>1.890650235447598</v>
      </c>
      <c r="K1169" s="5">
        <v>1</v>
      </c>
      <c r="L1169" s="5">
        <v>0</v>
      </c>
      <c r="M1169" s="5">
        <v>0</v>
      </c>
    </row>
    <row r="1170" spans="1:13" hidden="1" x14ac:dyDescent="0.25">
      <c r="A1170" t="s">
        <v>1181</v>
      </c>
      <c r="B1170" s="1">
        <v>5.2153314944693947E-2</v>
      </c>
      <c r="C1170" s="2">
        <v>1.4860319691363631E-5</v>
      </c>
      <c r="D1170" s="2"/>
      <c r="E1170" s="2">
        <v>0.92294439935097505</v>
      </c>
      <c r="F1170" s="3">
        <v>173.231744990777</v>
      </c>
      <c r="G1170" s="3">
        <v>1</v>
      </c>
      <c r="H1170" s="2">
        <v>5.4188793757450959E-5</v>
      </c>
      <c r="I1170" s="4">
        <v>0</v>
      </c>
      <c r="J1170" s="4">
        <v>0.92294439935097505</v>
      </c>
      <c r="K1170" s="5">
        <v>1</v>
      </c>
      <c r="L1170" s="5">
        <v>0</v>
      </c>
      <c r="M1170" s="5">
        <v>0</v>
      </c>
    </row>
    <row r="1171" spans="1:13" hidden="1" x14ac:dyDescent="0.25">
      <c r="A1171" t="s">
        <v>1182</v>
      </c>
      <c r="B1171" s="1">
        <v>5.2121862988098969E-2</v>
      </c>
      <c r="C1171" s="2">
        <v>1.485135791912699E-5</v>
      </c>
      <c r="D1171" s="2"/>
      <c r="E1171" s="2">
        <v>-0.42594632120432202</v>
      </c>
      <c r="F1171" s="3">
        <v>51.714610432685589</v>
      </c>
      <c r="G1171" s="3">
        <v>3</v>
      </c>
      <c r="H1171" s="2">
        <v>1.6256638127235291E-4</v>
      </c>
      <c r="I1171" s="4">
        <v>5.5511151231257827E-17</v>
      </c>
      <c r="J1171" s="4">
        <v>-0.42594632120432202</v>
      </c>
      <c r="K1171" s="5">
        <v>3</v>
      </c>
      <c r="L1171" s="5">
        <v>0</v>
      </c>
      <c r="M1171" s="5">
        <v>2</v>
      </c>
    </row>
    <row r="1172" spans="1:13" hidden="1" x14ac:dyDescent="0.25">
      <c r="A1172" t="s">
        <v>1183</v>
      </c>
      <c r="B1172" s="1">
        <v>5.2109636883454033E-2</v>
      </c>
      <c r="C1172" s="2">
        <v>1.4847874270507589E-5</v>
      </c>
      <c r="D1172" s="2"/>
      <c r="E1172" s="2">
        <v>-0.44474436931923622</v>
      </c>
      <c r="F1172" s="3">
        <v>50.021156020552681</v>
      </c>
      <c r="G1172" s="3">
        <v>1</v>
      </c>
      <c r="H1172" s="2">
        <v>5.4188793757450959E-5</v>
      </c>
      <c r="I1172" s="4">
        <v>0</v>
      </c>
      <c r="J1172" s="4">
        <v>-0.44474436931923622</v>
      </c>
      <c r="K1172" s="5">
        <v>1</v>
      </c>
      <c r="L1172" s="5">
        <v>0</v>
      </c>
      <c r="M1172" s="5">
        <v>1</v>
      </c>
    </row>
    <row r="1173" spans="1:13" hidden="1" x14ac:dyDescent="0.25">
      <c r="A1173" t="s">
        <v>1184</v>
      </c>
      <c r="B1173" s="1">
        <v>5.2074030663425669E-2</v>
      </c>
      <c r="C1173" s="2">
        <v>1.4837728802032891E-5</v>
      </c>
      <c r="D1173" s="2"/>
      <c r="E1173" s="2">
        <v>-4.6998667122477578E-4</v>
      </c>
      <c r="F1173" s="3">
        <v>90.044375925814236</v>
      </c>
      <c r="G1173" s="3">
        <v>1</v>
      </c>
      <c r="H1173" s="2">
        <v>5.4188793757450959E-5</v>
      </c>
      <c r="I1173" s="4">
        <v>1.539567084929416E-17</v>
      </c>
      <c r="J1173" s="4">
        <v>-4.6998667122479123E-4</v>
      </c>
      <c r="K1173" s="5">
        <v>1</v>
      </c>
      <c r="L1173" s="5">
        <v>1</v>
      </c>
      <c r="M1173" s="5">
        <v>1</v>
      </c>
    </row>
    <row r="1174" spans="1:13" hidden="1" x14ac:dyDescent="0.25">
      <c r="A1174" t="s">
        <v>1185</v>
      </c>
      <c r="B1174" s="1">
        <v>5.1979006715176128E-2</v>
      </c>
      <c r="C1174" s="2">
        <v>1.4810653126194819E-5</v>
      </c>
      <c r="D1174" s="2"/>
      <c r="E1174" s="2">
        <v>0.66755255870772245</v>
      </c>
      <c r="F1174" s="3">
        <v>150.2243329064913</v>
      </c>
      <c r="G1174" s="3">
        <v>1</v>
      </c>
      <c r="H1174" s="2">
        <v>5.4188793757450959E-5</v>
      </c>
      <c r="I1174" s="4">
        <v>0</v>
      </c>
      <c r="J1174" s="4">
        <v>0.66755255870772245</v>
      </c>
      <c r="K1174" s="5">
        <v>1</v>
      </c>
      <c r="L1174" s="5">
        <v>0</v>
      </c>
      <c r="M1174" s="5">
        <v>0</v>
      </c>
    </row>
    <row r="1175" spans="1:13" hidden="1" x14ac:dyDescent="0.25">
      <c r="A1175" t="s">
        <v>1186</v>
      </c>
      <c r="B1175" s="1">
        <v>5.1819963377680578E-2</v>
      </c>
      <c r="C1175" s="2">
        <v>1.476533606739478E-5</v>
      </c>
      <c r="D1175" s="2"/>
      <c r="E1175" s="2">
        <v>-0.13581306967400519</v>
      </c>
      <c r="F1175" s="3">
        <v>77.851762114974719</v>
      </c>
      <c r="G1175" s="3">
        <v>1</v>
      </c>
      <c r="H1175" s="2">
        <v>5.4188793757450959E-5</v>
      </c>
      <c r="I1175" s="4">
        <v>-2.775557561562891E-17</v>
      </c>
      <c r="J1175" s="4">
        <v>-0.13581306967400519</v>
      </c>
      <c r="K1175" s="5">
        <v>1</v>
      </c>
      <c r="L1175" s="5">
        <v>0</v>
      </c>
      <c r="M1175" s="5">
        <v>0</v>
      </c>
    </row>
    <row r="1176" spans="1:13" hidden="1" x14ac:dyDescent="0.25">
      <c r="A1176" t="s">
        <v>1187</v>
      </c>
      <c r="B1176" s="1">
        <v>5.1700633550736147E-2</v>
      </c>
      <c r="C1176" s="2">
        <v>1.47313347890678E-5</v>
      </c>
      <c r="D1176" s="2"/>
      <c r="E1176" s="2">
        <v>-3.6950954363306643E-2</v>
      </c>
      <c r="F1176" s="3">
        <v>86.75792536885352</v>
      </c>
      <c r="G1176" s="3">
        <v>1</v>
      </c>
      <c r="H1176" s="2">
        <v>5.4188793757450959E-5</v>
      </c>
      <c r="I1176" s="4">
        <v>6.9388939039072284E-18</v>
      </c>
      <c r="J1176" s="4">
        <v>-3.695095436330665E-2</v>
      </c>
      <c r="K1176" s="5">
        <v>1</v>
      </c>
      <c r="L1176" s="5">
        <v>0</v>
      </c>
      <c r="M1176" s="5">
        <v>1</v>
      </c>
    </row>
    <row r="1177" spans="1:13" hidden="1" x14ac:dyDescent="0.25">
      <c r="A1177" t="s">
        <v>1188</v>
      </c>
      <c r="B1177" s="1">
        <v>5.1611894543339282E-2</v>
      </c>
      <c r="C1177" s="2">
        <v>1.470604991464687E-5</v>
      </c>
      <c r="D1177" s="2"/>
      <c r="E1177" s="2">
        <v>0.50447392539473945</v>
      </c>
      <c r="F1177" s="3">
        <v>135.53311446613799</v>
      </c>
      <c r="G1177" s="3">
        <v>2</v>
      </c>
      <c r="H1177" s="2">
        <v>1.083775875149019E-4</v>
      </c>
      <c r="I1177" s="4">
        <v>-2.2204460492503131E-16</v>
      </c>
      <c r="J1177" s="4">
        <v>0.50447392539473968</v>
      </c>
      <c r="K1177" s="5">
        <v>2</v>
      </c>
      <c r="L1177" s="5">
        <v>0</v>
      </c>
      <c r="M1177" s="5">
        <v>0</v>
      </c>
    </row>
    <row r="1178" spans="1:13" hidden="1" x14ac:dyDescent="0.25">
      <c r="A1178" t="s">
        <v>1189</v>
      </c>
      <c r="B1178" s="1">
        <v>5.1532992372916239E-2</v>
      </c>
      <c r="C1178" s="2">
        <v>1.4683567902178971E-5</v>
      </c>
      <c r="D1178" s="2"/>
      <c r="E1178" s="2">
        <v>-9.3252864215120135E-2</v>
      </c>
      <c r="F1178" s="3">
        <v>81.685871234976858</v>
      </c>
      <c r="G1178" s="3">
        <v>1</v>
      </c>
      <c r="H1178" s="2">
        <v>5.4188793757450959E-5</v>
      </c>
      <c r="I1178" s="4">
        <v>4.163336342344337E-17</v>
      </c>
      <c r="J1178" s="4">
        <v>-9.3252864215120176E-2</v>
      </c>
      <c r="K1178" s="5">
        <v>1</v>
      </c>
      <c r="L1178" s="5">
        <v>0</v>
      </c>
      <c r="M1178" s="5">
        <v>1</v>
      </c>
    </row>
    <row r="1179" spans="1:13" hidden="1" x14ac:dyDescent="0.25">
      <c r="A1179" t="s">
        <v>1190</v>
      </c>
      <c r="B1179" s="1">
        <v>5.1517514573349417E-2</v>
      </c>
      <c r="C1179" s="2">
        <v>1.467915773093817E-5</v>
      </c>
      <c r="D1179" s="2"/>
      <c r="E1179" s="2">
        <v>1.8444460984298641</v>
      </c>
      <c r="F1179" s="3">
        <v>256.24680637127273</v>
      </c>
      <c r="G1179" s="3">
        <v>1</v>
      </c>
      <c r="H1179" s="2">
        <v>5.4188793757450959E-5</v>
      </c>
      <c r="I1179" s="4">
        <v>0</v>
      </c>
      <c r="J1179" s="4">
        <v>1.8444460984298641</v>
      </c>
      <c r="K1179" s="5">
        <v>1</v>
      </c>
      <c r="L1179" s="5">
        <v>0</v>
      </c>
      <c r="M1179" s="5">
        <v>0</v>
      </c>
    </row>
    <row r="1180" spans="1:13" hidden="1" x14ac:dyDescent="0.25">
      <c r="A1180" t="s">
        <v>1191</v>
      </c>
      <c r="B1180" s="1">
        <v>5.1461931068473632E-2</v>
      </c>
      <c r="C1180" s="2">
        <v>1.466332002909895E-5</v>
      </c>
      <c r="D1180" s="2"/>
      <c r="E1180" s="2">
        <v>0.54891694354731557</v>
      </c>
      <c r="F1180" s="3">
        <v>139.53683999758141</v>
      </c>
      <c r="G1180" s="3">
        <v>1</v>
      </c>
      <c r="H1180" s="2">
        <v>5.4188793757450959E-5</v>
      </c>
      <c r="I1180" s="4">
        <v>1.110223024625157E-16</v>
      </c>
      <c r="J1180" s="4">
        <v>0.54891694354731546</v>
      </c>
      <c r="K1180" s="5">
        <v>1</v>
      </c>
      <c r="L1180" s="5">
        <v>0</v>
      </c>
      <c r="M1180" s="5">
        <v>0</v>
      </c>
    </row>
    <row r="1181" spans="1:13" hidden="1" x14ac:dyDescent="0.25">
      <c r="A1181" t="s">
        <v>1192</v>
      </c>
      <c r="B1181" s="1">
        <v>5.1261006796817249E-2</v>
      </c>
      <c r="C1181" s="2">
        <v>1.4606069614360511E-5</v>
      </c>
      <c r="D1181" s="2"/>
      <c r="E1181" s="2" t="s">
        <v>303</v>
      </c>
      <c r="F1181" s="3" t="s">
        <v>303</v>
      </c>
      <c r="G1181" s="3">
        <v>2</v>
      </c>
      <c r="H1181" s="2">
        <v>1.083775875149019E-4</v>
      </c>
      <c r="I1181" s="4" t="s">
        <v>303</v>
      </c>
      <c r="J1181" s="4">
        <v>0</v>
      </c>
      <c r="K1181" s="5">
        <v>2</v>
      </c>
      <c r="L1181" s="5">
        <v>0</v>
      </c>
      <c r="M1181" s="5">
        <v>0</v>
      </c>
    </row>
    <row r="1182" spans="1:13" hidden="1" x14ac:dyDescent="0.25">
      <c r="A1182" t="s">
        <v>1193</v>
      </c>
      <c r="B1182" s="1">
        <v>5.1258951162296333E-2</v>
      </c>
      <c r="C1182" s="2">
        <v>1.4605483891551099E-5</v>
      </c>
      <c r="D1182" s="2"/>
      <c r="E1182" s="2">
        <v>0.29387887050553968</v>
      </c>
      <c r="F1182" s="3">
        <v>116.5612976745564</v>
      </c>
      <c r="G1182" s="3">
        <v>2</v>
      </c>
      <c r="H1182" s="2">
        <v>1.083775875149019E-4</v>
      </c>
      <c r="I1182" s="4">
        <v>1.110223024625157E-16</v>
      </c>
      <c r="J1182" s="4">
        <v>0.29387887050553962</v>
      </c>
      <c r="K1182" s="5">
        <v>2</v>
      </c>
      <c r="L1182" s="5">
        <v>0</v>
      </c>
      <c r="M1182" s="5">
        <v>0</v>
      </c>
    </row>
    <row r="1183" spans="1:13" hidden="1" x14ac:dyDescent="0.25">
      <c r="A1183" t="s">
        <v>1194</v>
      </c>
      <c r="B1183" s="1">
        <v>5.1190256726428358E-2</v>
      </c>
      <c r="C1183" s="2">
        <v>1.458591042284449E-5</v>
      </c>
      <c r="D1183" s="2"/>
      <c r="E1183" s="2">
        <v>0.1078152693134604</v>
      </c>
      <c r="F1183" s="3">
        <v>99.799438972531178</v>
      </c>
      <c r="G1183" s="3">
        <v>1</v>
      </c>
      <c r="H1183" s="2">
        <v>5.4188793757450959E-5</v>
      </c>
      <c r="I1183" s="4">
        <v>1.52655665885959E-16</v>
      </c>
      <c r="J1183" s="4">
        <v>0.10781526931346019</v>
      </c>
      <c r="K1183" s="5">
        <v>1</v>
      </c>
      <c r="L1183" s="5">
        <v>0</v>
      </c>
      <c r="M1183" s="5">
        <v>0</v>
      </c>
    </row>
    <row r="1184" spans="1:13" hidden="1" x14ac:dyDescent="0.25">
      <c r="A1184" t="s">
        <v>1195</v>
      </c>
      <c r="B1184" s="1">
        <v>5.0967768004249209E-2</v>
      </c>
      <c r="C1184" s="2">
        <v>1.452251553523646E-5</v>
      </c>
      <c r="D1184" s="2"/>
      <c r="E1184" s="2">
        <v>-0.37625658586523092</v>
      </c>
      <c r="F1184" s="3">
        <v>56.190995482521622</v>
      </c>
      <c r="G1184" s="3">
        <v>1</v>
      </c>
      <c r="H1184" s="2">
        <v>5.4188793757450959E-5</v>
      </c>
      <c r="I1184" s="4">
        <v>-5.5511151231257827E-17</v>
      </c>
      <c r="J1184" s="4">
        <v>-0.37625658586523092</v>
      </c>
      <c r="K1184" s="5">
        <v>1</v>
      </c>
      <c r="L1184" s="5">
        <v>0</v>
      </c>
      <c r="M1184" s="5">
        <v>0</v>
      </c>
    </row>
    <row r="1185" spans="1:13" hidden="1" x14ac:dyDescent="0.25">
      <c r="A1185" t="s">
        <v>1196</v>
      </c>
      <c r="B1185" s="1">
        <v>5.0894957979183433E-2</v>
      </c>
      <c r="C1185" s="2">
        <v>1.450176938994615E-5</v>
      </c>
      <c r="D1185" s="2"/>
      <c r="E1185" s="2">
        <v>-7.6250268868484627E-2</v>
      </c>
      <c r="F1185" s="3">
        <v>83.217579204413667</v>
      </c>
      <c r="G1185" s="3">
        <v>1</v>
      </c>
      <c r="H1185" s="2">
        <v>5.4188793757450959E-5</v>
      </c>
      <c r="I1185" s="4">
        <v>-5.5511151231257827E-17</v>
      </c>
      <c r="J1185" s="4">
        <v>-7.6250268868484572E-2</v>
      </c>
      <c r="K1185" s="5">
        <v>1</v>
      </c>
      <c r="L1185" s="5">
        <v>0</v>
      </c>
      <c r="M1185" s="5">
        <v>0</v>
      </c>
    </row>
    <row r="1186" spans="1:13" hidden="1" x14ac:dyDescent="0.25">
      <c r="A1186" t="s">
        <v>1197</v>
      </c>
      <c r="B1186" s="1">
        <v>5.0466637339949577E-2</v>
      </c>
      <c r="C1186" s="2">
        <v>1.4379725726256239E-5</v>
      </c>
      <c r="D1186" s="2"/>
      <c r="E1186" s="2">
        <v>0.60319821997816059</v>
      </c>
      <c r="F1186" s="3">
        <v>144.42686190337119</v>
      </c>
      <c r="G1186" s="3">
        <v>1</v>
      </c>
      <c r="H1186" s="2">
        <v>5.4188793757450959E-5</v>
      </c>
      <c r="I1186" s="4">
        <v>0</v>
      </c>
      <c r="J1186" s="4">
        <v>0.60319821997816059</v>
      </c>
      <c r="K1186" s="5">
        <v>1</v>
      </c>
      <c r="L1186" s="5">
        <v>0</v>
      </c>
      <c r="M1186" s="5">
        <v>0</v>
      </c>
    </row>
    <row r="1187" spans="1:13" hidden="1" x14ac:dyDescent="0.25">
      <c r="A1187" t="s">
        <v>1198</v>
      </c>
      <c r="B1187" s="1">
        <v>5.0411532161798708E-2</v>
      </c>
      <c r="C1187" s="2">
        <v>1.4364024316579031E-5</v>
      </c>
      <c r="D1187" s="2"/>
      <c r="E1187" s="2">
        <v>-0.40800745196650817</v>
      </c>
      <c r="F1187" s="3">
        <v>53.330664241769568</v>
      </c>
      <c r="G1187" s="3">
        <v>1</v>
      </c>
      <c r="H1187" s="2">
        <v>5.4188793757450959E-5</v>
      </c>
      <c r="I1187" s="4">
        <v>0</v>
      </c>
      <c r="J1187" s="4">
        <v>-0.40800745196650817</v>
      </c>
      <c r="K1187" s="5">
        <v>1</v>
      </c>
      <c r="L1187" s="5">
        <v>0</v>
      </c>
      <c r="M1187" s="5">
        <v>1</v>
      </c>
    </row>
    <row r="1188" spans="1:13" hidden="1" x14ac:dyDescent="0.25">
      <c r="A1188" t="s">
        <v>1199</v>
      </c>
      <c r="B1188" s="1">
        <v>5.040952148735562E-2</v>
      </c>
      <c r="C1188" s="2">
        <v>1.4363451404482241E-5</v>
      </c>
      <c r="D1188" s="2"/>
      <c r="E1188" s="2">
        <v>-0.69945075780829336</v>
      </c>
      <c r="F1188" s="3">
        <v>27.075494069458099</v>
      </c>
      <c r="G1188" s="3">
        <v>2</v>
      </c>
      <c r="H1188" s="2">
        <v>1.083775875149019E-4</v>
      </c>
      <c r="I1188" s="4">
        <v>0</v>
      </c>
      <c r="J1188" s="4">
        <v>-0.69945075780829336</v>
      </c>
      <c r="K1188" s="5">
        <v>2</v>
      </c>
      <c r="L1188" s="5">
        <v>0</v>
      </c>
      <c r="M1188" s="5">
        <v>0</v>
      </c>
    </row>
    <row r="1189" spans="1:13" hidden="1" x14ac:dyDescent="0.25">
      <c r="A1189" t="s">
        <v>1200</v>
      </c>
      <c r="B1189" s="1">
        <v>5.0358947238340522E-2</v>
      </c>
      <c r="C1189" s="2">
        <v>1.4349041016392579E-5</v>
      </c>
      <c r="D1189" s="2"/>
      <c r="E1189" s="2">
        <v>-0.36900949191437937</v>
      </c>
      <c r="F1189" s="3">
        <v>56.843862373338553</v>
      </c>
      <c r="G1189" s="3">
        <v>1</v>
      </c>
      <c r="H1189" s="2">
        <v>5.4188793757450959E-5</v>
      </c>
      <c r="I1189" s="4">
        <v>-0.44475683481068939</v>
      </c>
      <c r="J1189" s="4">
        <v>7.5747342896309924E-2</v>
      </c>
      <c r="K1189" s="5">
        <v>1</v>
      </c>
      <c r="L1189" s="5">
        <v>0</v>
      </c>
      <c r="M1189" s="5">
        <v>1</v>
      </c>
    </row>
    <row r="1190" spans="1:13" hidden="1" x14ac:dyDescent="0.25">
      <c r="A1190" t="s">
        <v>1201</v>
      </c>
      <c r="B1190" s="1">
        <v>5.0322905321560391E-2</v>
      </c>
      <c r="C1190" s="2">
        <v>1.433877140253946E-5</v>
      </c>
      <c r="D1190" s="2"/>
      <c r="E1190" s="2">
        <v>-0.1900133240572566</v>
      </c>
      <c r="F1190" s="3">
        <v>72.969039219334235</v>
      </c>
      <c r="G1190" s="3">
        <v>1</v>
      </c>
      <c r="H1190" s="2">
        <v>5.4188793757450959E-5</v>
      </c>
      <c r="I1190" s="4">
        <v>0</v>
      </c>
      <c r="J1190" s="4">
        <v>-0.1900133240572566</v>
      </c>
      <c r="K1190" s="5">
        <v>1</v>
      </c>
      <c r="L1190" s="5">
        <v>0</v>
      </c>
      <c r="M1190" s="5">
        <v>0</v>
      </c>
    </row>
    <row r="1191" spans="1:13" hidden="1" x14ac:dyDescent="0.25">
      <c r="A1191" t="s">
        <v>1202</v>
      </c>
      <c r="B1191" s="1">
        <v>5.0234712744609812E-2</v>
      </c>
      <c r="C1191" s="2">
        <v>1.4313642225433831E-5</v>
      </c>
      <c r="D1191" s="2"/>
      <c r="E1191" s="2" t="s">
        <v>303</v>
      </c>
      <c r="F1191" s="3" t="s">
        <v>303</v>
      </c>
      <c r="G1191" s="3">
        <v>1</v>
      </c>
      <c r="H1191" s="2">
        <v>5.4188793757450959E-5</v>
      </c>
      <c r="I1191" s="4" t="s">
        <v>303</v>
      </c>
      <c r="J1191" s="4">
        <v>0</v>
      </c>
      <c r="K1191" s="5">
        <v>1</v>
      </c>
      <c r="L1191" s="5">
        <v>0</v>
      </c>
      <c r="M1191" s="5">
        <v>0</v>
      </c>
    </row>
    <row r="1192" spans="1:13" hidden="1" x14ac:dyDescent="0.25">
      <c r="A1192" t="s">
        <v>1203</v>
      </c>
      <c r="B1192" s="1">
        <v>5.0151667161672513E-2</v>
      </c>
      <c r="C1192" s="2">
        <v>1.428997960853762E-5</v>
      </c>
      <c r="D1192" s="2"/>
      <c r="E1192" s="2">
        <v>-0.1036993327485743</v>
      </c>
      <c r="F1192" s="3">
        <v>80.744783196418751</v>
      </c>
      <c r="G1192" s="3">
        <v>1</v>
      </c>
      <c r="H1192" s="2">
        <v>5.4188793757450959E-5</v>
      </c>
      <c r="I1192" s="4">
        <v>-2.775557561562891E-17</v>
      </c>
      <c r="J1192" s="4">
        <v>-0.1036993327485743</v>
      </c>
      <c r="K1192" s="5">
        <v>1</v>
      </c>
      <c r="L1192" s="5">
        <v>0</v>
      </c>
      <c r="M1192" s="5">
        <v>0</v>
      </c>
    </row>
    <row r="1193" spans="1:13" hidden="1" x14ac:dyDescent="0.25">
      <c r="A1193" t="s">
        <v>1204</v>
      </c>
      <c r="B1193" s="1">
        <v>5.0024966510048487E-2</v>
      </c>
      <c r="C1193" s="2">
        <v>1.4253878122175079E-5</v>
      </c>
      <c r="D1193" s="2"/>
      <c r="E1193" s="2">
        <v>-0.66542409189372709</v>
      </c>
      <c r="F1193" s="3">
        <v>30.140844640482399</v>
      </c>
      <c r="G1193" s="3">
        <v>1</v>
      </c>
      <c r="H1193" s="2">
        <v>5.4188793757450959E-5</v>
      </c>
      <c r="I1193" s="4">
        <v>-0.66542409189372709</v>
      </c>
      <c r="J1193" s="4">
        <v>0</v>
      </c>
      <c r="K1193" s="5">
        <v>1</v>
      </c>
      <c r="L1193" s="5">
        <v>0</v>
      </c>
      <c r="M1193" s="5">
        <v>1</v>
      </c>
    </row>
    <row r="1194" spans="1:13" hidden="1" x14ac:dyDescent="0.25">
      <c r="A1194" t="s">
        <v>1205</v>
      </c>
      <c r="B1194" s="1">
        <v>4.9980241405292017E-2</v>
      </c>
      <c r="C1194" s="2">
        <v>1.424113436167557E-5</v>
      </c>
      <c r="D1194" s="2"/>
      <c r="E1194" s="2">
        <v>-9.4497549712072693E-2</v>
      </c>
      <c r="F1194" s="3">
        <v>81.573741606749152</v>
      </c>
      <c r="G1194" s="3">
        <v>2</v>
      </c>
      <c r="H1194" s="2">
        <v>1.083775875149019E-4</v>
      </c>
      <c r="I1194" s="4">
        <v>2.775557561562891E-17</v>
      </c>
      <c r="J1194" s="4">
        <v>-9.449754971207272E-2</v>
      </c>
      <c r="K1194" s="5">
        <v>2</v>
      </c>
      <c r="L1194" s="5">
        <v>0</v>
      </c>
      <c r="M1194" s="5">
        <v>0</v>
      </c>
    </row>
    <row r="1195" spans="1:13" hidden="1" x14ac:dyDescent="0.25">
      <c r="A1195" t="s">
        <v>1206</v>
      </c>
      <c r="B1195" s="1">
        <v>4.9948717105596487E-2</v>
      </c>
      <c r="C1195" s="2">
        <v>1.4232151976336901E-5</v>
      </c>
      <c r="D1195" s="2"/>
      <c r="E1195" s="2">
        <v>0.17355809654921761</v>
      </c>
      <c r="F1195" s="3">
        <v>105.7219943446581</v>
      </c>
      <c r="G1195" s="3">
        <v>1</v>
      </c>
      <c r="H1195" s="2">
        <v>5.4188793757450959E-5</v>
      </c>
      <c r="I1195" s="4">
        <v>-2.775557561562891E-17</v>
      </c>
      <c r="J1195" s="4">
        <v>0.17355809654921761</v>
      </c>
      <c r="K1195" s="5">
        <v>1</v>
      </c>
      <c r="L1195" s="5">
        <v>0</v>
      </c>
      <c r="M1195" s="5">
        <v>1</v>
      </c>
    </row>
    <row r="1196" spans="1:13" hidden="1" x14ac:dyDescent="0.25">
      <c r="A1196" t="s">
        <v>1207</v>
      </c>
      <c r="B1196" s="1">
        <v>4.9925019672910548E-2</v>
      </c>
      <c r="C1196" s="2">
        <v>1.422539974158536E-5</v>
      </c>
      <c r="D1196" s="2"/>
      <c r="E1196" s="2">
        <v>-0.31942039362321928</v>
      </c>
      <c r="F1196" s="3">
        <v>61.311181362070748</v>
      </c>
      <c r="G1196" s="3">
        <v>1</v>
      </c>
      <c r="H1196" s="2">
        <v>5.4188793757450959E-5</v>
      </c>
      <c r="I1196" s="4">
        <v>-5.5511151231257827E-17</v>
      </c>
      <c r="J1196" s="4">
        <v>-0.31942039362321922</v>
      </c>
      <c r="K1196" s="5">
        <v>1</v>
      </c>
      <c r="L1196" s="5">
        <v>0</v>
      </c>
      <c r="M1196" s="5">
        <v>1</v>
      </c>
    </row>
    <row r="1197" spans="1:13" hidden="1" x14ac:dyDescent="0.25">
      <c r="A1197" t="s">
        <v>1208</v>
      </c>
      <c r="B1197" s="1">
        <v>4.9812004287271852E-2</v>
      </c>
      <c r="C1197" s="2">
        <v>1.4193197670395549E-5</v>
      </c>
      <c r="D1197" s="2"/>
      <c r="E1197" s="2">
        <v>-0.42136674286452203</v>
      </c>
      <c r="F1197" s="3">
        <v>52.127169603607683</v>
      </c>
      <c r="G1197" s="3">
        <v>1</v>
      </c>
      <c r="H1197" s="2">
        <v>5.4188793757450959E-5</v>
      </c>
      <c r="I1197" s="4">
        <v>-0.45161289700255608</v>
      </c>
      <c r="J1197" s="4">
        <v>3.0246154138034029E-2</v>
      </c>
      <c r="K1197" s="5">
        <v>1</v>
      </c>
      <c r="L1197" s="5">
        <v>0</v>
      </c>
      <c r="M1197" s="5">
        <v>0</v>
      </c>
    </row>
    <row r="1198" spans="1:13" hidden="1" x14ac:dyDescent="0.25">
      <c r="A1198" t="s">
        <v>1209</v>
      </c>
      <c r="B1198" s="1">
        <v>4.9806061680056662E-2</v>
      </c>
      <c r="C1198" s="2">
        <v>1.4191504411911179E-5</v>
      </c>
      <c r="D1198" s="2"/>
      <c r="E1198" s="2">
        <v>2.145270450388983</v>
      </c>
      <c r="F1198" s="3">
        <v>283.34708417607379</v>
      </c>
      <c r="G1198" s="3">
        <v>1</v>
      </c>
      <c r="H1198" s="2">
        <v>5.4188793757450959E-5</v>
      </c>
      <c r="I1198" s="4">
        <v>-4.4408920985006262E-16</v>
      </c>
      <c r="J1198" s="4">
        <v>2.145270450388983</v>
      </c>
      <c r="K1198" s="5">
        <v>1</v>
      </c>
      <c r="L1198" s="5">
        <v>0</v>
      </c>
      <c r="M1198" s="5">
        <v>0</v>
      </c>
    </row>
    <row r="1199" spans="1:13" hidden="1" x14ac:dyDescent="0.25">
      <c r="A1199" t="s">
        <v>1210</v>
      </c>
      <c r="B1199" s="1">
        <v>4.9654241773264642E-2</v>
      </c>
      <c r="C1199" s="2">
        <v>1.4148245563402029E-5</v>
      </c>
      <c r="D1199" s="2"/>
      <c r="E1199" s="2">
        <v>-0.75212192759467678</v>
      </c>
      <c r="F1199" s="3">
        <v>22.330521382842559</v>
      </c>
      <c r="G1199" s="3">
        <v>2</v>
      </c>
      <c r="H1199" s="2">
        <v>1.083775875149019E-4</v>
      </c>
      <c r="I1199" s="4">
        <v>0</v>
      </c>
      <c r="J1199" s="4">
        <v>-0.75212192759467678</v>
      </c>
      <c r="K1199" s="5">
        <v>2</v>
      </c>
      <c r="L1199" s="5">
        <v>0</v>
      </c>
      <c r="M1199" s="5">
        <v>0</v>
      </c>
    </row>
    <row r="1200" spans="1:13" hidden="1" x14ac:dyDescent="0.25">
      <c r="A1200" t="s">
        <v>1211</v>
      </c>
      <c r="B1200" s="1">
        <v>4.9639813975540563E-2</v>
      </c>
      <c r="C1200" s="2">
        <v>1.4144134574736221E-5</v>
      </c>
      <c r="D1200" s="2"/>
      <c r="E1200" s="2">
        <v>3.7773634187006737E-2</v>
      </c>
      <c r="F1200" s="3">
        <v>93.489618117046163</v>
      </c>
      <c r="G1200" s="3">
        <v>1</v>
      </c>
      <c r="H1200" s="2">
        <v>5.4188793757450959E-5</v>
      </c>
      <c r="I1200" s="4">
        <v>0</v>
      </c>
      <c r="J1200" s="4">
        <v>3.7773634187006737E-2</v>
      </c>
      <c r="K1200" s="5">
        <v>1</v>
      </c>
      <c r="L1200" s="5">
        <v>0</v>
      </c>
      <c r="M1200" s="5">
        <v>0</v>
      </c>
    </row>
    <row r="1201" spans="1:13" hidden="1" x14ac:dyDescent="0.25">
      <c r="A1201" t="s">
        <v>1212</v>
      </c>
      <c r="B1201" s="1">
        <v>4.9540645663369333E-2</v>
      </c>
      <c r="C1201" s="2">
        <v>1.4115878023380281E-5</v>
      </c>
      <c r="D1201" s="2"/>
      <c r="E1201" s="2">
        <v>1.3461728384237099</v>
      </c>
      <c r="F1201" s="3">
        <v>211.35900496513611</v>
      </c>
      <c r="G1201" s="3">
        <v>1</v>
      </c>
      <c r="H1201" s="2">
        <v>5.4188793757450959E-5</v>
      </c>
      <c r="I1201" s="4">
        <v>2.2204460492503131E-16</v>
      </c>
      <c r="J1201" s="4">
        <v>1.3461728384237099</v>
      </c>
      <c r="K1201" s="5">
        <v>1</v>
      </c>
      <c r="L1201" s="5">
        <v>0</v>
      </c>
      <c r="M1201" s="5">
        <v>0</v>
      </c>
    </row>
    <row r="1202" spans="1:13" hidden="1" x14ac:dyDescent="0.25">
      <c r="A1202" t="s">
        <v>1213</v>
      </c>
      <c r="B1202" s="1">
        <v>4.9401125642457952E-2</v>
      </c>
      <c r="C1202" s="2">
        <v>1.4076123846367989E-5</v>
      </c>
      <c r="D1202" s="2"/>
      <c r="E1202" s="2">
        <v>0.29836453487528192</v>
      </c>
      <c r="F1202" s="3">
        <v>116.9653964443782</v>
      </c>
      <c r="G1202" s="3">
        <v>3</v>
      </c>
      <c r="H1202" s="2">
        <v>1.6256638127235291E-4</v>
      </c>
      <c r="I1202" s="4">
        <v>-5.5511151231257827E-17</v>
      </c>
      <c r="J1202" s="4">
        <v>0.29836453487528197</v>
      </c>
      <c r="K1202" s="5">
        <v>3</v>
      </c>
      <c r="L1202" s="5">
        <v>2</v>
      </c>
      <c r="M1202" s="5">
        <v>1</v>
      </c>
    </row>
    <row r="1203" spans="1:13" hidden="1" x14ac:dyDescent="0.25">
      <c r="A1203" t="s">
        <v>1214</v>
      </c>
      <c r="B1203" s="1">
        <v>4.934639110642193E-2</v>
      </c>
      <c r="C1203" s="2">
        <v>1.406052804570765E-5</v>
      </c>
      <c r="D1203" s="2"/>
      <c r="E1203" s="2">
        <v>0.39512426573206549</v>
      </c>
      <c r="F1203" s="3">
        <v>125.6821627881248</v>
      </c>
      <c r="G1203" s="3">
        <v>3</v>
      </c>
      <c r="H1203" s="2">
        <v>1.6256638127235291E-4</v>
      </c>
      <c r="I1203" s="4">
        <v>5.5511151231257827E-17</v>
      </c>
      <c r="J1203" s="4">
        <v>0.39512426573206538</v>
      </c>
      <c r="K1203" s="5">
        <v>2</v>
      </c>
      <c r="L1203" s="5">
        <v>0</v>
      </c>
      <c r="M1203" s="5">
        <v>2</v>
      </c>
    </row>
    <row r="1204" spans="1:13" hidden="1" x14ac:dyDescent="0.25">
      <c r="A1204" t="s">
        <v>1215</v>
      </c>
      <c r="B1204" s="1">
        <v>4.9329584606603687E-2</v>
      </c>
      <c r="C1204" s="2">
        <v>1.405573928088116E-5</v>
      </c>
      <c r="D1204" s="2"/>
      <c r="E1204" s="2">
        <v>-0.18516209633700459</v>
      </c>
      <c r="F1204" s="3">
        <v>73.406070390703775</v>
      </c>
      <c r="G1204" s="3">
        <v>1</v>
      </c>
      <c r="H1204" s="2">
        <v>5.4188793757450959E-5</v>
      </c>
      <c r="I1204" s="4">
        <v>2.7755575615628909E-16</v>
      </c>
      <c r="J1204" s="4">
        <v>-0.18516209633700489</v>
      </c>
      <c r="K1204" s="5">
        <v>1</v>
      </c>
      <c r="L1204" s="5">
        <v>0</v>
      </c>
      <c r="M1204" s="5">
        <v>0</v>
      </c>
    </row>
    <row r="1205" spans="1:13" hidden="1" x14ac:dyDescent="0.25">
      <c r="A1205" t="s">
        <v>1216</v>
      </c>
      <c r="B1205" s="1">
        <v>4.9242629167012247E-2</v>
      </c>
      <c r="C1205" s="2">
        <v>1.403096260786234E-5</v>
      </c>
      <c r="D1205" s="2"/>
      <c r="E1205" s="2">
        <v>0.94230141620944741</v>
      </c>
      <c r="F1205" s="3">
        <v>174.97555506107369</v>
      </c>
      <c r="G1205" s="3">
        <v>2</v>
      </c>
      <c r="H1205" s="2">
        <v>1.083775875149019E-4</v>
      </c>
      <c r="I1205" s="4">
        <v>1.110223024625157E-16</v>
      </c>
      <c r="J1205" s="4">
        <v>0.9423014162094473</v>
      </c>
      <c r="K1205" s="5">
        <v>2</v>
      </c>
      <c r="L1205" s="5">
        <v>0</v>
      </c>
      <c r="M1205" s="5">
        <v>0</v>
      </c>
    </row>
    <row r="1206" spans="1:13" hidden="1" x14ac:dyDescent="0.25">
      <c r="A1206" t="s">
        <v>1217</v>
      </c>
      <c r="B1206" s="1">
        <v>4.922568166963065E-2</v>
      </c>
      <c r="C1206" s="2">
        <v>1.402613366785487E-5</v>
      </c>
      <c r="D1206" s="2"/>
      <c r="E1206" s="2">
        <v>0.69897650646614018</v>
      </c>
      <c r="F1206" s="3">
        <v>153.0552131475045</v>
      </c>
      <c r="G1206" s="3">
        <v>1</v>
      </c>
      <c r="H1206" s="2">
        <v>5.4188793757450959E-5</v>
      </c>
      <c r="I1206" s="4">
        <v>-1.110223024625157E-16</v>
      </c>
      <c r="J1206" s="4">
        <v>0.69897650646614029</v>
      </c>
      <c r="K1206" s="5">
        <v>1</v>
      </c>
      <c r="L1206" s="5">
        <v>0</v>
      </c>
      <c r="M1206" s="5">
        <v>1</v>
      </c>
    </row>
    <row r="1207" spans="1:13" hidden="1" x14ac:dyDescent="0.25">
      <c r="A1207" t="s">
        <v>1218</v>
      </c>
      <c r="B1207" s="1">
        <v>4.9223678092874118E-2</v>
      </c>
      <c r="C1207" s="2">
        <v>1.402556277813942E-5</v>
      </c>
      <c r="D1207" s="2"/>
      <c r="E1207" s="2">
        <v>5.1480893704118866</v>
      </c>
      <c r="F1207" s="3">
        <v>553.86117786617638</v>
      </c>
      <c r="G1207" s="3">
        <v>1</v>
      </c>
      <c r="H1207" s="2">
        <v>5.4188793757450959E-5</v>
      </c>
      <c r="I1207" s="4">
        <v>0</v>
      </c>
      <c r="J1207" s="4">
        <v>5.1480893704118866</v>
      </c>
      <c r="K1207" s="5">
        <v>0</v>
      </c>
      <c r="L1207" s="5">
        <v>0</v>
      </c>
      <c r="M1207" s="5">
        <v>0</v>
      </c>
    </row>
    <row r="1208" spans="1:13" hidden="1" x14ac:dyDescent="0.25">
      <c r="A1208" t="s">
        <v>1219</v>
      </c>
      <c r="B1208" s="1">
        <v>4.9217103405810057E-2</v>
      </c>
      <c r="C1208" s="2">
        <v>1.402368941780276E-5</v>
      </c>
      <c r="D1208" s="2"/>
      <c r="E1208" s="2">
        <v>-0.26397779416285821</v>
      </c>
      <c r="F1208" s="3">
        <v>66.305823045202459</v>
      </c>
      <c r="G1208" s="3">
        <v>2</v>
      </c>
      <c r="H1208" s="2">
        <v>1.083775875149019E-4</v>
      </c>
      <c r="I1208" s="4">
        <v>5.5511151231257827E-17</v>
      </c>
      <c r="J1208" s="4">
        <v>-0.26397779416285821</v>
      </c>
      <c r="K1208" s="5">
        <v>2</v>
      </c>
      <c r="L1208" s="5">
        <v>0</v>
      </c>
      <c r="M1208" s="5">
        <v>0</v>
      </c>
    </row>
    <row r="1209" spans="1:13" hidden="1" x14ac:dyDescent="0.25">
      <c r="A1209" t="s">
        <v>1220</v>
      </c>
      <c r="B1209" s="1">
        <v>4.9216747321587317E-2</v>
      </c>
      <c r="C1209" s="2">
        <v>1.4023587956843041E-5</v>
      </c>
      <c r="D1209" s="2"/>
      <c r="E1209" s="2">
        <v>-0.57925330058813662</v>
      </c>
      <c r="F1209" s="3">
        <v>37.903688199631468</v>
      </c>
      <c r="G1209" s="3">
        <v>2</v>
      </c>
      <c r="H1209" s="2">
        <v>1.083775875149019E-4</v>
      </c>
      <c r="I1209" s="4">
        <v>0</v>
      </c>
      <c r="J1209" s="4">
        <v>-0.57925330058813662</v>
      </c>
      <c r="K1209" s="5">
        <v>2</v>
      </c>
      <c r="L1209" s="5">
        <v>0</v>
      </c>
      <c r="M1209" s="5">
        <v>1</v>
      </c>
    </row>
    <row r="1210" spans="1:13" hidden="1" x14ac:dyDescent="0.25">
      <c r="A1210" t="s">
        <v>1221</v>
      </c>
      <c r="B1210" s="1">
        <v>4.9070646478725298E-2</v>
      </c>
      <c r="C1210" s="2">
        <v>1.3981958671448439E-5</v>
      </c>
      <c r="D1210" s="2"/>
      <c r="E1210" s="2">
        <v>0.30389125551223861</v>
      </c>
      <c r="F1210" s="3">
        <v>117.4632805539446</v>
      </c>
      <c r="G1210" s="3">
        <v>1</v>
      </c>
      <c r="H1210" s="2">
        <v>5.4188793757450959E-5</v>
      </c>
      <c r="I1210" s="4">
        <v>0</v>
      </c>
      <c r="J1210" s="4">
        <v>0.30389125551223861</v>
      </c>
      <c r="K1210" s="5">
        <v>1</v>
      </c>
      <c r="L1210" s="5">
        <v>1</v>
      </c>
      <c r="M1210" s="5">
        <v>0</v>
      </c>
    </row>
    <row r="1211" spans="1:13" hidden="1" x14ac:dyDescent="0.25">
      <c r="A1211" t="s">
        <v>1222</v>
      </c>
      <c r="B1211" s="1">
        <v>4.9005381733554731E-2</v>
      </c>
      <c r="C1211" s="2">
        <v>1.3963362442640381E-5</v>
      </c>
      <c r="D1211" s="2"/>
      <c r="E1211" s="2">
        <v>0.46619830446009841</v>
      </c>
      <c r="F1211" s="3">
        <v>132.08498949312721</v>
      </c>
      <c r="G1211" s="3">
        <v>1</v>
      </c>
      <c r="H1211" s="2">
        <v>5.4188793757450959E-5</v>
      </c>
      <c r="I1211" s="4">
        <v>0</v>
      </c>
      <c r="J1211" s="4">
        <v>0.46619830446009841</v>
      </c>
      <c r="K1211" s="5">
        <v>1</v>
      </c>
      <c r="L1211" s="5">
        <v>0</v>
      </c>
      <c r="M1211" s="5">
        <v>0</v>
      </c>
    </row>
    <row r="1212" spans="1:13" hidden="1" x14ac:dyDescent="0.25">
      <c r="A1212" t="s">
        <v>1223</v>
      </c>
      <c r="B1212" s="1">
        <v>4.8966161922082217E-2</v>
      </c>
      <c r="C1212" s="2">
        <v>1.3952187334455319E-5</v>
      </c>
      <c r="D1212" s="2"/>
      <c r="E1212" s="2">
        <v>-0.52880454554278611</v>
      </c>
      <c r="F1212" s="3">
        <v>42.448450841790027</v>
      </c>
      <c r="G1212" s="3">
        <v>2</v>
      </c>
      <c r="H1212" s="2">
        <v>1.083775875149019E-4</v>
      </c>
      <c r="I1212" s="4">
        <v>0</v>
      </c>
      <c r="J1212" s="4">
        <v>-0.52880454554278611</v>
      </c>
      <c r="K1212" s="5">
        <v>2</v>
      </c>
      <c r="L1212" s="5">
        <v>0</v>
      </c>
      <c r="M1212" s="5">
        <v>0</v>
      </c>
    </row>
    <row r="1213" spans="1:13" hidden="1" x14ac:dyDescent="0.25">
      <c r="A1213" t="s">
        <v>1224</v>
      </c>
      <c r="B1213" s="1">
        <v>4.8942039321950973E-2</v>
      </c>
      <c r="C1213" s="2">
        <v>1.3945313954496299E-5</v>
      </c>
      <c r="D1213" s="2"/>
      <c r="E1213" s="2">
        <v>0.64877190247515903</v>
      </c>
      <c r="F1213" s="3">
        <v>148.53244527191541</v>
      </c>
      <c r="G1213" s="3">
        <v>1</v>
      </c>
      <c r="H1213" s="2">
        <v>5.4188793757450959E-5</v>
      </c>
      <c r="I1213" s="4">
        <v>-1.110223024625157E-16</v>
      </c>
      <c r="J1213" s="4">
        <v>0.64877190247515915</v>
      </c>
      <c r="K1213" s="5">
        <v>1</v>
      </c>
      <c r="L1213" s="5">
        <v>0</v>
      </c>
      <c r="M1213" s="5">
        <v>0</v>
      </c>
    </row>
    <row r="1214" spans="1:13" hidden="1" x14ac:dyDescent="0.25">
      <c r="A1214" t="s">
        <v>1225</v>
      </c>
      <c r="B1214" s="1">
        <v>4.8931928882754883E-2</v>
      </c>
      <c r="C1214" s="2">
        <v>1.394243313361592E-5</v>
      </c>
      <c r="D1214" s="2"/>
      <c r="E1214" s="2">
        <v>-0.49976475597387249</v>
      </c>
      <c r="F1214" s="3">
        <v>45.064550102322883</v>
      </c>
      <c r="G1214" s="3">
        <v>1</v>
      </c>
      <c r="H1214" s="2">
        <v>5.4188793757450959E-5</v>
      </c>
      <c r="I1214" s="4">
        <v>5.5511151231257827E-17</v>
      </c>
      <c r="J1214" s="4">
        <v>-0.49976475597387249</v>
      </c>
      <c r="K1214" s="5">
        <v>1</v>
      </c>
      <c r="L1214" s="5">
        <v>0</v>
      </c>
      <c r="M1214" s="5">
        <v>1</v>
      </c>
    </row>
    <row r="1215" spans="1:13" hidden="1" x14ac:dyDescent="0.25">
      <c r="A1215" t="s">
        <v>1226</v>
      </c>
      <c r="B1215" s="1">
        <v>4.8811316746260158E-2</v>
      </c>
      <c r="C1215" s="2">
        <v>1.3908066480050931E-5</v>
      </c>
      <c r="D1215" s="2"/>
      <c r="E1215" s="2">
        <v>-0.22092414591233209</v>
      </c>
      <c r="F1215" s="3">
        <v>70.184384805581502</v>
      </c>
      <c r="G1215" s="3">
        <v>1</v>
      </c>
      <c r="H1215" s="2">
        <v>5.4188793757450959E-5</v>
      </c>
      <c r="I1215" s="4">
        <v>-2.775557561562891E-17</v>
      </c>
      <c r="J1215" s="4">
        <v>-0.22092414591233209</v>
      </c>
      <c r="K1215" s="5">
        <v>1</v>
      </c>
      <c r="L1215" s="5">
        <v>0</v>
      </c>
      <c r="M1215" s="5">
        <v>0</v>
      </c>
    </row>
    <row r="1216" spans="1:13" hidden="1" x14ac:dyDescent="0.25">
      <c r="A1216" t="s">
        <v>1227</v>
      </c>
      <c r="B1216" s="1">
        <v>4.8699758886911713E-2</v>
      </c>
      <c r="C1216" s="2">
        <v>1.3876279709530971E-5</v>
      </c>
      <c r="D1216" s="2"/>
      <c r="E1216" s="2">
        <v>-0.31917377114220269</v>
      </c>
      <c r="F1216" s="3">
        <v>61.333398771349387</v>
      </c>
      <c r="G1216" s="3">
        <v>1</v>
      </c>
      <c r="H1216" s="2">
        <v>5.4188793757450959E-5</v>
      </c>
      <c r="I1216" s="4">
        <v>0</v>
      </c>
      <c r="J1216" s="4">
        <v>-0.31917377114220269</v>
      </c>
      <c r="K1216" s="5">
        <v>1</v>
      </c>
      <c r="L1216" s="5">
        <v>0</v>
      </c>
      <c r="M1216" s="5">
        <v>0</v>
      </c>
    </row>
    <row r="1217" spans="1:13" hidden="1" x14ac:dyDescent="0.25">
      <c r="A1217" t="s">
        <v>1228</v>
      </c>
      <c r="B1217" s="1">
        <v>4.8682008928937301E-2</v>
      </c>
      <c r="C1217" s="2">
        <v>1.387122212018526E-5</v>
      </c>
      <c r="D1217" s="2"/>
      <c r="E1217" s="2">
        <v>0.30692082158643191</v>
      </c>
      <c r="F1217" s="3">
        <v>117.7362042109024</v>
      </c>
      <c r="G1217" s="3">
        <v>1</v>
      </c>
      <c r="H1217" s="2">
        <v>5.4188793757450959E-5</v>
      </c>
      <c r="I1217" s="4">
        <v>-5.5511151231257827E-17</v>
      </c>
      <c r="J1217" s="4">
        <v>0.30692082158643191</v>
      </c>
      <c r="K1217" s="5">
        <v>1</v>
      </c>
      <c r="L1217" s="5">
        <v>0</v>
      </c>
      <c r="M1217" s="5">
        <v>0</v>
      </c>
    </row>
    <row r="1218" spans="1:13" hidden="1" x14ac:dyDescent="0.25">
      <c r="A1218" t="s">
        <v>1229</v>
      </c>
      <c r="B1218" s="1">
        <v>4.8361633492642483E-2</v>
      </c>
      <c r="C1218" s="2">
        <v>1.377993585372933E-5</v>
      </c>
      <c r="D1218" s="2"/>
      <c r="E1218" s="2">
        <v>-0.6047660552989359</v>
      </c>
      <c r="F1218" s="3">
        <v>35.605327924854357</v>
      </c>
      <c r="G1218" s="3">
        <v>3</v>
      </c>
      <c r="H1218" s="2">
        <v>1.6256638127235291E-4</v>
      </c>
      <c r="I1218" s="4">
        <v>0</v>
      </c>
      <c r="J1218" s="4">
        <v>-0.6047660552989359</v>
      </c>
      <c r="K1218" s="5">
        <v>3</v>
      </c>
      <c r="L1218" s="5">
        <v>0</v>
      </c>
      <c r="M1218" s="5">
        <v>0</v>
      </c>
    </row>
    <row r="1219" spans="1:13" hidden="1" x14ac:dyDescent="0.25">
      <c r="A1219" t="s">
        <v>1230</v>
      </c>
      <c r="B1219" s="1">
        <v>4.8328526916784367E-2</v>
      </c>
      <c r="C1219" s="2">
        <v>1.3770502622080311E-5</v>
      </c>
      <c r="D1219" s="2"/>
      <c r="E1219" s="2">
        <v>0.68340084622078567</v>
      </c>
      <c r="F1219" s="3">
        <v>151.6520530745471</v>
      </c>
      <c r="G1219" s="3">
        <v>1</v>
      </c>
      <c r="H1219" s="2">
        <v>5.4188793757450959E-5</v>
      </c>
      <c r="I1219" s="4">
        <v>1.110223024625157E-16</v>
      </c>
      <c r="J1219" s="4">
        <v>0.68340084622078556</v>
      </c>
      <c r="K1219" s="5">
        <v>1</v>
      </c>
      <c r="L1219" s="5">
        <v>0</v>
      </c>
      <c r="M1219" s="5">
        <v>0</v>
      </c>
    </row>
    <row r="1220" spans="1:13" hidden="1" x14ac:dyDescent="0.25">
      <c r="A1220" t="s">
        <v>1231</v>
      </c>
      <c r="B1220" s="1">
        <v>4.8302539712411947E-2</v>
      </c>
      <c r="C1220" s="2">
        <v>1.37630979505792E-5</v>
      </c>
      <c r="D1220" s="2"/>
      <c r="E1220" s="2">
        <v>-0.33299232421701691</v>
      </c>
      <c r="F1220" s="3">
        <v>60.088530712134727</v>
      </c>
      <c r="G1220" s="3">
        <v>1</v>
      </c>
      <c r="H1220" s="2">
        <v>5.4188793757450959E-5</v>
      </c>
      <c r="I1220" s="4">
        <v>0</v>
      </c>
      <c r="J1220" s="4">
        <v>-0.33299232421701691</v>
      </c>
      <c r="K1220" s="5">
        <v>1</v>
      </c>
      <c r="L1220" s="5">
        <v>0</v>
      </c>
      <c r="M1220" s="5">
        <v>0</v>
      </c>
    </row>
    <row r="1221" spans="1:13" hidden="1" x14ac:dyDescent="0.25">
      <c r="A1221" t="s">
        <v>1232</v>
      </c>
      <c r="B1221" s="1">
        <v>4.8290036630974309E-2</v>
      </c>
      <c r="C1221" s="2">
        <v>1.3759535381498261E-5</v>
      </c>
      <c r="D1221" s="2"/>
      <c r="E1221" s="2">
        <v>0.29058073141932522</v>
      </c>
      <c r="F1221" s="3">
        <v>116.2641791570787</v>
      </c>
      <c r="G1221" s="3">
        <v>3</v>
      </c>
      <c r="H1221" s="2">
        <v>1.6256638127235291E-4</v>
      </c>
      <c r="I1221" s="4">
        <v>-1.110223024625157E-16</v>
      </c>
      <c r="J1221" s="4">
        <v>0.29058073141932522</v>
      </c>
      <c r="K1221" s="5">
        <v>3</v>
      </c>
      <c r="L1221" s="5">
        <v>0</v>
      </c>
      <c r="M1221" s="5">
        <v>0</v>
      </c>
    </row>
    <row r="1222" spans="1:13" hidden="1" x14ac:dyDescent="0.25">
      <c r="A1222" t="s">
        <v>1233</v>
      </c>
      <c r="B1222" s="1">
        <v>4.8283086754345027E-2</v>
      </c>
      <c r="C1222" s="2">
        <v>1.375755511641567E-5</v>
      </c>
      <c r="D1222" s="2"/>
      <c r="E1222" s="2" t="s">
        <v>303</v>
      </c>
      <c r="F1222" s="3" t="s">
        <v>303</v>
      </c>
      <c r="G1222" s="3">
        <v>1</v>
      </c>
      <c r="H1222" s="2">
        <v>5.4188793757450959E-5</v>
      </c>
      <c r="I1222" s="4" t="s">
        <v>303</v>
      </c>
      <c r="J1222" s="4">
        <v>0</v>
      </c>
      <c r="K1222" s="5">
        <v>1</v>
      </c>
      <c r="L1222" s="5">
        <v>0</v>
      </c>
      <c r="M1222" s="5">
        <v>0</v>
      </c>
    </row>
    <row r="1223" spans="1:13" hidden="1" x14ac:dyDescent="0.25">
      <c r="A1223" t="s">
        <v>1234</v>
      </c>
      <c r="B1223" s="1">
        <v>4.8241935682983669E-2</v>
      </c>
      <c r="C1223" s="2">
        <v>1.3745829724142509E-5</v>
      </c>
      <c r="D1223" s="2"/>
      <c r="E1223" s="2">
        <v>-0.16203673293422391</v>
      </c>
      <c r="F1223" s="3">
        <v>75.489358423972803</v>
      </c>
      <c r="G1223" s="3">
        <v>1</v>
      </c>
      <c r="H1223" s="2">
        <v>5.4188793757450959E-5</v>
      </c>
      <c r="I1223" s="4">
        <v>-1.6653345369377351E-16</v>
      </c>
      <c r="J1223" s="4">
        <v>-0.1620367329342238</v>
      </c>
      <c r="K1223" s="5">
        <v>1</v>
      </c>
      <c r="L1223" s="5">
        <v>0</v>
      </c>
      <c r="M1223" s="5">
        <v>0</v>
      </c>
    </row>
    <row r="1224" spans="1:13" hidden="1" x14ac:dyDescent="0.25">
      <c r="A1224" t="s">
        <v>1235</v>
      </c>
      <c r="B1224" s="1">
        <v>4.8204232791963508E-2</v>
      </c>
      <c r="C1224" s="2">
        <v>1.3735086840119851E-5</v>
      </c>
      <c r="D1224" s="2"/>
      <c r="E1224" s="2">
        <v>-0.35340080641230542</v>
      </c>
      <c r="F1224" s="3">
        <v>58.249997583201697</v>
      </c>
      <c r="G1224" s="3">
        <v>2</v>
      </c>
      <c r="H1224" s="2">
        <v>1.083775875149019E-4</v>
      </c>
      <c r="I1224" s="4">
        <v>0</v>
      </c>
      <c r="J1224" s="4">
        <v>-0.35340080641230542</v>
      </c>
      <c r="K1224" s="5">
        <v>2</v>
      </c>
      <c r="L1224" s="5">
        <v>0</v>
      </c>
      <c r="M1224" s="5">
        <v>0</v>
      </c>
    </row>
    <row r="1225" spans="1:13" hidden="1" x14ac:dyDescent="0.25">
      <c r="A1225" t="s">
        <v>1236</v>
      </c>
      <c r="B1225" s="1">
        <v>4.8188356945243919E-2</v>
      </c>
      <c r="C1225" s="2">
        <v>1.3730563251199869E-5</v>
      </c>
      <c r="D1225" s="2"/>
      <c r="E1225" s="2">
        <v>-0.6326410911339444</v>
      </c>
      <c r="F1225" s="3">
        <v>33.094157502553649</v>
      </c>
      <c r="G1225" s="3">
        <v>6</v>
      </c>
      <c r="H1225" s="2">
        <v>3.2513276254470582E-4</v>
      </c>
      <c r="I1225" s="4">
        <v>-3.1625993838848787E-2</v>
      </c>
      <c r="J1225" s="4">
        <v>-0.6010150972950955</v>
      </c>
      <c r="K1225" s="5">
        <v>6</v>
      </c>
      <c r="L1225" s="5">
        <v>0</v>
      </c>
      <c r="M1225" s="5">
        <v>0</v>
      </c>
    </row>
    <row r="1226" spans="1:13" hidden="1" x14ac:dyDescent="0.25">
      <c r="A1226" t="s">
        <v>1237</v>
      </c>
      <c r="B1226" s="1">
        <v>4.8140385525047673E-2</v>
      </c>
      <c r="C1226" s="2">
        <v>1.371689450088321E-5</v>
      </c>
      <c r="D1226" s="2"/>
      <c r="E1226" s="2">
        <v>0.23339608256637151</v>
      </c>
      <c r="F1226" s="3">
        <v>111.1126019659621</v>
      </c>
      <c r="G1226" s="3">
        <v>1</v>
      </c>
      <c r="H1226" s="2">
        <v>5.4188793757450959E-5</v>
      </c>
      <c r="I1226" s="4">
        <v>8.3266726846886741E-17</v>
      </c>
      <c r="J1226" s="4">
        <v>0.2333960825663714</v>
      </c>
      <c r="K1226" s="5">
        <v>1</v>
      </c>
      <c r="L1226" s="5">
        <v>0</v>
      </c>
      <c r="M1226" s="5">
        <v>0</v>
      </c>
    </row>
    <row r="1227" spans="1:13" hidden="1" x14ac:dyDescent="0.25">
      <c r="A1227" t="s">
        <v>1238</v>
      </c>
      <c r="B1227" s="1">
        <v>4.8092898185533479E-2</v>
      </c>
      <c r="C1227" s="2">
        <v>1.370336368223397E-5</v>
      </c>
      <c r="D1227" s="2"/>
      <c r="E1227" s="2">
        <v>0.24876945098404679</v>
      </c>
      <c r="F1227" s="3">
        <v>112.4975382325951</v>
      </c>
      <c r="G1227" s="3">
        <v>1</v>
      </c>
      <c r="H1227" s="2">
        <v>5.4188793757450959E-5</v>
      </c>
      <c r="I1227" s="4">
        <v>-2.775557561562891E-17</v>
      </c>
      <c r="J1227" s="4">
        <v>0.24876945098404679</v>
      </c>
      <c r="K1227" s="5">
        <v>1</v>
      </c>
      <c r="L1227" s="5">
        <v>0</v>
      </c>
      <c r="M1227" s="5">
        <v>0</v>
      </c>
    </row>
    <row r="1228" spans="1:13" hidden="1" x14ac:dyDescent="0.25">
      <c r="A1228" t="s">
        <v>1239</v>
      </c>
      <c r="B1228" s="1">
        <v>4.8089958651731213E-2</v>
      </c>
      <c r="C1228" s="2">
        <v>1.370252610533035E-5</v>
      </c>
      <c r="D1228" s="2"/>
      <c r="E1228" s="2">
        <v>-0.27333779896075239</v>
      </c>
      <c r="F1228" s="3">
        <v>65.462610956070549</v>
      </c>
      <c r="G1228" s="3">
        <v>1</v>
      </c>
      <c r="H1228" s="2">
        <v>5.4188793757450959E-5</v>
      </c>
      <c r="I1228" s="4">
        <v>-5.5511151231257827E-17</v>
      </c>
      <c r="J1228" s="4">
        <v>-0.27333779896075228</v>
      </c>
      <c r="K1228" s="5">
        <v>1</v>
      </c>
      <c r="L1228" s="5">
        <v>0</v>
      </c>
      <c r="M1228" s="5">
        <v>0</v>
      </c>
    </row>
    <row r="1229" spans="1:13" hidden="1" x14ac:dyDescent="0.25">
      <c r="A1229" t="s">
        <v>1240</v>
      </c>
      <c r="B1229" s="1">
        <v>4.7981507020227902E-2</v>
      </c>
      <c r="C1229" s="2">
        <v>1.3671624408728741E-5</v>
      </c>
      <c r="D1229" s="2"/>
      <c r="E1229" s="2">
        <v>4.3795952885210987E-2</v>
      </c>
      <c r="F1229" s="3">
        <v>94.032149028149263</v>
      </c>
      <c r="G1229" s="3">
        <v>1</v>
      </c>
      <c r="H1229" s="2">
        <v>5.4188793757450959E-5</v>
      </c>
      <c r="I1229" s="4">
        <v>1.040834085586084E-16</v>
      </c>
      <c r="J1229" s="4">
        <v>4.3795952885210883E-2</v>
      </c>
      <c r="K1229" s="5">
        <v>1</v>
      </c>
      <c r="L1229" s="5">
        <v>0</v>
      </c>
      <c r="M1229" s="5">
        <v>0</v>
      </c>
    </row>
    <row r="1230" spans="1:13" hidden="1" x14ac:dyDescent="0.25">
      <c r="A1230" t="s">
        <v>1241</v>
      </c>
      <c r="B1230" s="1">
        <v>4.7974702802875593E-2</v>
      </c>
      <c r="C1230" s="2">
        <v>1.366968564711383E-5</v>
      </c>
      <c r="D1230" s="2"/>
      <c r="E1230" s="2">
        <v>0.59809359506771653</v>
      </c>
      <c r="F1230" s="3">
        <v>143.96700301142499</v>
      </c>
      <c r="G1230" s="3">
        <v>1</v>
      </c>
      <c r="H1230" s="2">
        <v>5.4188793757450959E-5</v>
      </c>
      <c r="I1230" s="4">
        <v>0</v>
      </c>
      <c r="J1230" s="4">
        <v>0.59809359506771653</v>
      </c>
      <c r="K1230" s="5">
        <v>1</v>
      </c>
      <c r="L1230" s="5">
        <v>0</v>
      </c>
      <c r="M1230" s="5">
        <v>0</v>
      </c>
    </row>
    <row r="1231" spans="1:13" hidden="1" x14ac:dyDescent="0.25">
      <c r="A1231" t="s">
        <v>1242</v>
      </c>
      <c r="B1231" s="1">
        <v>4.7859539021210873E-2</v>
      </c>
      <c r="C1231" s="2">
        <v>1.3636871422088649E-5</v>
      </c>
      <c r="D1231" s="2"/>
      <c r="E1231" s="2">
        <v>1.8650980258885459</v>
      </c>
      <c r="F1231" s="3">
        <v>258.10727068438439</v>
      </c>
      <c r="G1231" s="3">
        <v>1</v>
      </c>
      <c r="H1231" s="2">
        <v>5.4188793757450959E-5</v>
      </c>
      <c r="I1231" s="4">
        <v>2.2204460492503131E-16</v>
      </c>
      <c r="J1231" s="4">
        <v>1.8650980258885459</v>
      </c>
      <c r="K1231" s="5">
        <v>1</v>
      </c>
      <c r="L1231" s="5">
        <v>0</v>
      </c>
      <c r="M1231" s="5">
        <v>0</v>
      </c>
    </row>
    <row r="1232" spans="1:13" hidden="1" x14ac:dyDescent="0.25">
      <c r="A1232" t="s">
        <v>1243</v>
      </c>
      <c r="B1232" s="1">
        <v>4.7858386237823687E-2</v>
      </c>
      <c r="C1232" s="2">
        <v>1.363654295342494E-5</v>
      </c>
      <c r="D1232" s="2"/>
      <c r="E1232" s="2">
        <v>-0.49310966497701658</v>
      </c>
      <c r="F1232" s="3">
        <v>45.664085391459103</v>
      </c>
      <c r="G1232" s="3">
        <v>2</v>
      </c>
      <c r="H1232" s="2">
        <v>1.083775875149019E-4</v>
      </c>
      <c r="I1232" s="4">
        <v>-5.5511151231257827E-17</v>
      </c>
      <c r="J1232" s="4">
        <v>-0.49310966497701653</v>
      </c>
      <c r="K1232" s="5">
        <v>2</v>
      </c>
      <c r="L1232" s="5">
        <v>0</v>
      </c>
      <c r="M1232" s="5">
        <v>0</v>
      </c>
    </row>
    <row r="1233" spans="1:13" hidden="1" x14ac:dyDescent="0.25">
      <c r="A1233" t="s">
        <v>1244</v>
      </c>
      <c r="B1233" s="1">
        <v>4.7841880663675639E-2</v>
      </c>
      <c r="C1233" s="2">
        <v>1.3631839932940241E-5</v>
      </c>
      <c r="D1233" s="2"/>
      <c r="E1233" s="2">
        <v>-0.28496684150106821</v>
      </c>
      <c r="F1233" s="3">
        <v>64.414988709420655</v>
      </c>
      <c r="G1233" s="3">
        <v>1</v>
      </c>
      <c r="H1233" s="2">
        <v>5.4188793757450959E-5</v>
      </c>
      <c r="I1233" s="4">
        <v>-5.5511151231257827E-17</v>
      </c>
      <c r="J1233" s="4">
        <v>-0.28496684150106821</v>
      </c>
      <c r="K1233" s="5">
        <v>1</v>
      </c>
      <c r="L1233" s="5">
        <v>0</v>
      </c>
      <c r="M1233" s="5">
        <v>0</v>
      </c>
    </row>
    <row r="1234" spans="1:13" x14ac:dyDescent="0.25">
      <c r="A1234" t="s">
        <v>1245</v>
      </c>
      <c r="B1234" s="1">
        <v>4.778584622268281E-2</v>
      </c>
      <c r="C1234" s="2">
        <v>1.3615873743489709E-5</v>
      </c>
      <c r="D1234" s="2"/>
      <c r="E1234" s="2">
        <v>0.89679029480011496</v>
      </c>
      <c r="F1234" s="3">
        <v>170.87560761543429</v>
      </c>
      <c r="G1234" s="3">
        <v>1</v>
      </c>
      <c r="H1234" s="2">
        <v>5.4188793757450959E-5</v>
      </c>
      <c r="I1234" s="4">
        <v>0</v>
      </c>
      <c r="J1234" s="4">
        <v>0.89679029480011496</v>
      </c>
      <c r="K1234" s="5">
        <v>1</v>
      </c>
      <c r="L1234" s="5">
        <v>0</v>
      </c>
      <c r="M1234" s="5">
        <v>0</v>
      </c>
    </row>
    <row r="1235" spans="1:13" hidden="1" x14ac:dyDescent="0.25">
      <c r="A1235" t="s">
        <v>1246</v>
      </c>
      <c r="B1235" s="1">
        <v>4.7785296109586053E-2</v>
      </c>
      <c r="C1235" s="2">
        <v>1.3615716996857341E-5</v>
      </c>
      <c r="D1235" s="2"/>
      <c r="E1235" s="2">
        <v>-0.66101405825360504</v>
      </c>
      <c r="F1235" s="3">
        <v>30.538130086283239</v>
      </c>
      <c r="G1235" s="3">
        <v>2</v>
      </c>
      <c r="H1235" s="2">
        <v>1.083775875149019E-4</v>
      </c>
      <c r="I1235" s="4">
        <v>-2.2204460492503131E-16</v>
      </c>
      <c r="J1235" s="4">
        <v>-0.66101405825360482</v>
      </c>
      <c r="K1235" s="5">
        <v>2</v>
      </c>
      <c r="L1235" s="5">
        <v>0</v>
      </c>
      <c r="M1235" s="5">
        <v>0</v>
      </c>
    </row>
    <row r="1236" spans="1:13" hidden="1" x14ac:dyDescent="0.25">
      <c r="A1236" t="s">
        <v>1247</v>
      </c>
      <c r="B1236" s="1">
        <v>4.7608202155137128E-2</v>
      </c>
      <c r="C1236" s="2">
        <v>1.356525668035954E-5</v>
      </c>
      <c r="D1236" s="2"/>
      <c r="E1236" s="2">
        <v>-0.1320700164315993</v>
      </c>
      <c r="F1236" s="3">
        <v>78.188961487454861</v>
      </c>
      <c r="G1236" s="3">
        <v>1</v>
      </c>
      <c r="H1236" s="2">
        <v>5.4188793757450959E-5</v>
      </c>
      <c r="I1236" s="4">
        <v>2.775557561562891E-17</v>
      </c>
      <c r="J1236" s="4">
        <v>-0.13207001643159941</v>
      </c>
      <c r="K1236" s="5">
        <v>1</v>
      </c>
      <c r="L1236" s="5">
        <v>0</v>
      </c>
      <c r="M1236" s="5">
        <v>0</v>
      </c>
    </row>
    <row r="1237" spans="1:13" hidden="1" x14ac:dyDescent="0.25">
      <c r="A1237" t="s">
        <v>1248</v>
      </c>
      <c r="B1237" s="1">
        <v>4.7575279663457912E-2</v>
      </c>
      <c r="C1237" s="2">
        <v>1.3555875900788609E-5</v>
      </c>
      <c r="D1237" s="2"/>
      <c r="E1237" s="2">
        <v>-0.33548182907056462</v>
      </c>
      <c r="F1237" s="3">
        <v>59.864259396703758</v>
      </c>
      <c r="G1237" s="3">
        <v>1</v>
      </c>
      <c r="H1237" s="2">
        <v>5.4188793757450959E-5</v>
      </c>
      <c r="I1237" s="4">
        <v>0</v>
      </c>
      <c r="J1237" s="4">
        <v>-0.33548182907056462</v>
      </c>
      <c r="K1237" s="5">
        <v>1</v>
      </c>
      <c r="L1237" s="5">
        <v>0</v>
      </c>
      <c r="M1237" s="5">
        <v>0</v>
      </c>
    </row>
    <row r="1238" spans="1:13" hidden="1" x14ac:dyDescent="0.25">
      <c r="A1238" t="s">
        <v>1249</v>
      </c>
      <c r="B1238" s="1">
        <v>4.753687369702489E-2</v>
      </c>
      <c r="C1238" s="2">
        <v>1.354493268577235E-5</v>
      </c>
      <c r="D1238" s="2"/>
      <c r="E1238" s="2">
        <v>-0.41104260986462171</v>
      </c>
      <c r="F1238" s="3">
        <v>53.057236835761273</v>
      </c>
      <c r="G1238" s="3">
        <v>1</v>
      </c>
      <c r="H1238" s="2">
        <v>5.4188793757450959E-5</v>
      </c>
      <c r="I1238" s="4">
        <v>-0.13612735388954911</v>
      </c>
      <c r="J1238" s="4">
        <v>-0.27491525597507271</v>
      </c>
      <c r="K1238" s="5">
        <v>1</v>
      </c>
      <c r="L1238" s="5">
        <v>0</v>
      </c>
      <c r="M1238" s="5">
        <v>0</v>
      </c>
    </row>
    <row r="1239" spans="1:13" hidden="1" x14ac:dyDescent="0.25">
      <c r="A1239" t="s">
        <v>1250</v>
      </c>
      <c r="B1239" s="1">
        <v>4.7492476250460477E-2</v>
      </c>
      <c r="C1239" s="2">
        <v>1.353228228665339E-5</v>
      </c>
      <c r="D1239" s="2"/>
      <c r="E1239" s="2">
        <v>0.1578192031712464</v>
      </c>
      <c r="F1239" s="3">
        <v>104.3041291349255</v>
      </c>
      <c r="G1239" s="3">
        <v>2</v>
      </c>
      <c r="H1239" s="2">
        <v>1.083775875149019E-4</v>
      </c>
      <c r="I1239" s="4">
        <v>2.2204460492503131E-16</v>
      </c>
      <c r="J1239" s="4">
        <v>0.1578192031712462</v>
      </c>
      <c r="K1239" s="5">
        <v>2</v>
      </c>
      <c r="L1239" s="5">
        <v>0</v>
      </c>
      <c r="M1239" s="5">
        <v>0</v>
      </c>
    </row>
    <row r="1240" spans="1:13" hidden="1" x14ac:dyDescent="0.25">
      <c r="A1240" t="s">
        <v>1251</v>
      </c>
      <c r="B1240" s="1">
        <v>4.7464142261082178E-2</v>
      </c>
      <c r="C1240" s="2">
        <v>1.352420893329628E-5</v>
      </c>
      <c r="D1240" s="2"/>
      <c r="E1240" s="2">
        <v>2.0349231890600268</v>
      </c>
      <c r="F1240" s="3">
        <v>273.40626184058652</v>
      </c>
      <c r="G1240" s="3">
        <v>1</v>
      </c>
      <c r="H1240" s="2">
        <v>5.4188793757450959E-5</v>
      </c>
      <c r="I1240" s="4">
        <v>0</v>
      </c>
      <c r="J1240" s="4">
        <v>2.0349231890600268</v>
      </c>
      <c r="K1240" s="5">
        <v>0</v>
      </c>
      <c r="L1240" s="5">
        <v>0</v>
      </c>
      <c r="M1240" s="5">
        <v>1</v>
      </c>
    </row>
    <row r="1241" spans="1:13" hidden="1" x14ac:dyDescent="0.25">
      <c r="A1241" t="s">
        <v>1252</v>
      </c>
      <c r="B1241" s="1">
        <v>4.7399695157124312E-2</v>
      </c>
      <c r="C1241" s="2">
        <v>1.350584567932072E-5</v>
      </c>
      <c r="D1241" s="2"/>
      <c r="E1241" s="2">
        <v>-0.39487011174712539</v>
      </c>
      <c r="F1241" s="3">
        <v>54.514164072294747</v>
      </c>
      <c r="G1241" s="3">
        <v>1</v>
      </c>
      <c r="H1241" s="2">
        <v>5.4188793757450959E-5</v>
      </c>
      <c r="I1241" s="4">
        <v>0</v>
      </c>
      <c r="J1241" s="4">
        <v>-0.39487011174712539</v>
      </c>
      <c r="K1241" s="5">
        <v>1</v>
      </c>
      <c r="L1241" s="5">
        <v>0</v>
      </c>
      <c r="M1241" s="5">
        <v>0</v>
      </c>
    </row>
    <row r="1242" spans="1:13" hidden="1" x14ac:dyDescent="0.25">
      <c r="A1242" t="s">
        <v>1253</v>
      </c>
      <c r="B1242" s="1">
        <v>4.7390980277004703E-2</v>
      </c>
      <c r="C1242" s="2">
        <v>1.350336250246444E-5</v>
      </c>
      <c r="D1242" s="2"/>
      <c r="E1242" s="2">
        <v>-9.5429544451172132E-3</v>
      </c>
      <c r="F1242" s="3">
        <v>89.227022059396177</v>
      </c>
      <c r="G1242" s="3">
        <v>1</v>
      </c>
      <c r="H1242" s="2">
        <v>5.4188793757450959E-5</v>
      </c>
      <c r="I1242" s="4">
        <v>2.0816681711721691E-17</v>
      </c>
      <c r="J1242" s="4">
        <v>-9.5429544451172341E-3</v>
      </c>
      <c r="K1242" s="5">
        <v>1</v>
      </c>
      <c r="L1242" s="5">
        <v>0</v>
      </c>
      <c r="M1242" s="5">
        <v>0</v>
      </c>
    </row>
    <row r="1243" spans="1:13" hidden="1" x14ac:dyDescent="0.25">
      <c r="A1243" t="s">
        <v>1254</v>
      </c>
      <c r="B1243" s="1">
        <v>4.7370723474609952E-2</v>
      </c>
      <c r="C1243" s="2">
        <v>1.3497590624687731E-5</v>
      </c>
      <c r="D1243" s="2"/>
      <c r="E1243" s="2">
        <v>0.59580777854055278</v>
      </c>
      <c r="F1243" s="3">
        <v>143.76108130829979</v>
      </c>
      <c r="G1243" s="3">
        <v>1</v>
      </c>
      <c r="H1243" s="2">
        <v>5.4188793757450959E-5</v>
      </c>
      <c r="I1243" s="4">
        <v>-1.110223024625157E-16</v>
      </c>
      <c r="J1243" s="4">
        <v>0.595807778540553</v>
      </c>
      <c r="K1243" s="5">
        <v>1</v>
      </c>
      <c r="L1243" s="5">
        <v>0</v>
      </c>
      <c r="M1243" s="5">
        <v>0</v>
      </c>
    </row>
    <row r="1244" spans="1:13" hidden="1" x14ac:dyDescent="0.25">
      <c r="A1244" t="s">
        <v>1255</v>
      </c>
      <c r="B1244" s="1">
        <v>4.7255032554529279E-2</v>
      </c>
      <c r="C1244" s="2">
        <v>1.346462619932743E-5</v>
      </c>
      <c r="D1244" s="2"/>
      <c r="E1244" s="2" t="s">
        <v>303</v>
      </c>
      <c r="F1244" s="3" t="s">
        <v>303</v>
      </c>
      <c r="G1244" s="3">
        <v>1</v>
      </c>
      <c r="H1244" s="2">
        <v>5.4188793757450959E-5</v>
      </c>
      <c r="I1244" s="4" t="s">
        <v>303</v>
      </c>
      <c r="J1244" s="4">
        <v>0</v>
      </c>
      <c r="K1244" s="5">
        <v>1</v>
      </c>
      <c r="L1244" s="5">
        <v>0</v>
      </c>
      <c r="M1244" s="5">
        <v>0</v>
      </c>
    </row>
    <row r="1245" spans="1:13" hidden="1" x14ac:dyDescent="0.25">
      <c r="A1245" t="s">
        <v>1256</v>
      </c>
      <c r="B1245" s="1">
        <v>4.7254510229727063E-2</v>
      </c>
      <c r="C1245" s="2">
        <v>1.3464477370560711E-5</v>
      </c>
      <c r="D1245" s="2"/>
      <c r="E1245" s="2">
        <v>0.68513377393242436</v>
      </c>
      <c r="F1245" s="3">
        <v>151.8081668402553</v>
      </c>
      <c r="G1245" s="3">
        <v>1</v>
      </c>
      <c r="H1245" s="2">
        <v>5.4188793757450959E-5</v>
      </c>
      <c r="I1245" s="4">
        <v>0</v>
      </c>
      <c r="J1245" s="4">
        <v>0.68513377393242436</v>
      </c>
      <c r="K1245" s="5">
        <v>1</v>
      </c>
      <c r="L1245" s="5">
        <v>0</v>
      </c>
      <c r="M1245" s="5">
        <v>0</v>
      </c>
    </row>
    <row r="1246" spans="1:13" hidden="1" x14ac:dyDescent="0.25">
      <c r="A1246" t="s">
        <v>1257</v>
      </c>
      <c r="B1246" s="1">
        <v>4.7059661209440502E-2</v>
      </c>
      <c r="C1246" s="2">
        <v>1.340895800930672E-5</v>
      </c>
      <c r="D1246" s="2"/>
      <c r="E1246" s="2">
        <v>-3.6357327630126779E-2</v>
      </c>
      <c r="F1246" s="3">
        <v>86.811403251467624</v>
      </c>
      <c r="G1246" s="3">
        <v>1</v>
      </c>
      <c r="H1246" s="2">
        <v>5.4188793757450959E-5</v>
      </c>
      <c r="I1246" s="4">
        <v>6.9388939039072284E-18</v>
      </c>
      <c r="J1246" s="4">
        <v>-3.6357327630126793E-2</v>
      </c>
      <c r="K1246" s="5">
        <v>1</v>
      </c>
      <c r="L1246" s="5">
        <v>0</v>
      </c>
      <c r="M1246" s="5">
        <v>0</v>
      </c>
    </row>
    <row r="1247" spans="1:13" hidden="1" x14ac:dyDescent="0.25">
      <c r="A1247" t="s">
        <v>1258</v>
      </c>
      <c r="B1247" s="1">
        <v>4.7058638853482507E-2</v>
      </c>
      <c r="C1247" s="2">
        <v>1.3408666704019801E-5</v>
      </c>
      <c r="D1247" s="2"/>
      <c r="E1247" s="2">
        <v>0.8652153222341028</v>
      </c>
      <c r="F1247" s="3">
        <v>168.03112204554861</v>
      </c>
      <c r="G1247" s="3">
        <v>2</v>
      </c>
      <c r="H1247" s="2">
        <v>1.083775875149019E-4</v>
      </c>
      <c r="I1247" s="4">
        <v>2.2204460492503131E-16</v>
      </c>
      <c r="J1247" s="4">
        <v>0.86521532223410258</v>
      </c>
      <c r="K1247" s="5">
        <v>2</v>
      </c>
      <c r="L1247" s="5">
        <v>0</v>
      </c>
      <c r="M1247" s="5">
        <v>0</v>
      </c>
    </row>
    <row r="1248" spans="1:13" hidden="1" x14ac:dyDescent="0.25">
      <c r="A1248" t="s">
        <v>1259</v>
      </c>
      <c r="B1248" s="1">
        <v>4.7026625922004087E-2</v>
      </c>
      <c r="C1248" s="2">
        <v>1.33995450902445E-5</v>
      </c>
      <c r="D1248" s="2"/>
      <c r="E1248" s="2">
        <v>0.4689286618974926</v>
      </c>
      <c r="F1248" s="3">
        <v>132.33095842675209</v>
      </c>
      <c r="G1248" s="3">
        <v>3</v>
      </c>
      <c r="H1248" s="2">
        <v>1.6256638127235291E-4</v>
      </c>
      <c r="I1248" s="4">
        <v>-1.110223024625157E-16</v>
      </c>
      <c r="J1248" s="4">
        <v>0.46892866189749272</v>
      </c>
      <c r="K1248" s="5">
        <v>3</v>
      </c>
      <c r="L1248" s="5">
        <v>0</v>
      </c>
      <c r="M1248" s="5">
        <v>0</v>
      </c>
    </row>
    <row r="1249" spans="1:13" hidden="1" x14ac:dyDescent="0.25">
      <c r="A1249" t="s">
        <v>1260</v>
      </c>
      <c r="B1249" s="1">
        <v>4.6946622979845379E-2</v>
      </c>
      <c r="C1249" s="2">
        <v>1.3376749429067661E-5</v>
      </c>
      <c r="D1249" s="2"/>
      <c r="E1249" s="2">
        <v>1.306059524775671E-2</v>
      </c>
      <c r="F1249" s="3">
        <v>91.263301609446529</v>
      </c>
      <c r="G1249" s="3">
        <v>3</v>
      </c>
      <c r="H1249" s="2">
        <v>1.6256638127235291E-4</v>
      </c>
      <c r="I1249" s="4">
        <v>3.2959746043559329E-17</v>
      </c>
      <c r="J1249" s="4">
        <v>1.3060595247756679E-2</v>
      </c>
      <c r="K1249" s="5">
        <v>3</v>
      </c>
      <c r="L1249" s="5">
        <v>0</v>
      </c>
      <c r="M1249" s="5">
        <v>0</v>
      </c>
    </row>
    <row r="1250" spans="1:13" hidden="1" x14ac:dyDescent="0.25">
      <c r="A1250" t="s">
        <v>1261</v>
      </c>
      <c r="B1250" s="1">
        <v>4.6896291149462047E-2</v>
      </c>
      <c r="C1250" s="2">
        <v>1.336240811460009E-5</v>
      </c>
      <c r="D1250" s="2"/>
      <c r="E1250" s="2">
        <v>1.3210002961245411</v>
      </c>
      <c r="F1250" s="3">
        <v>209.09129330908871</v>
      </c>
      <c r="G1250" s="3">
        <v>1</v>
      </c>
      <c r="H1250" s="2">
        <v>5.4188793757450959E-5</v>
      </c>
      <c r="I1250" s="4">
        <v>2.2204460492503131E-16</v>
      </c>
      <c r="J1250" s="4">
        <v>1.3210002961245411</v>
      </c>
      <c r="K1250" s="5">
        <v>1</v>
      </c>
      <c r="L1250" s="5">
        <v>0</v>
      </c>
      <c r="M1250" s="5">
        <v>0</v>
      </c>
    </row>
    <row r="1251" spans="1:13" hidden="1" x14ac:dyDescent="0.25">
      <c r="A1251" t="s">
        <v>1262</v>
      </c>
      <c r="B1251" s="1">
        <v>4.683587311542655E-2</v>
      </c>
      <c r="C1251" s="2">
        <v>1.334519288481378E-5</v>
      </c>
      <c r="D1251" s="2"/>
      <c r="E1251" s="2">
        <v>1.267213952425269</v>
      </c>
      <c r="F1251" s="3">
        <v>204.2458582674706</v>
      </c>
      <c r="G1251" s="3">
        <v>1</v>
      </c>
      <c r="H1251" s="2">
        <v>5.4188793757450959E-5</v>
      </c>
      <c r="I1251" s="4">
        <v>0</v>
      </c>
      <c r="J1251" s="4">
        <v>1.267213952425269</v>
      </c>
      <c r="K1251" s="5">
        <v>1</v>
      </c>
      <c r="L1251" s="5">
        <v>0</v>
      </c>
      <c r="M1251" s="5">
        <v>0</v>
      </c>
    </row>
    <row r="1252" spans="1:13" hidden="1" x14ac:dyDescent="0.25">
      <c r="A1252" t="s">
        <v>1263</v>
      </c>
      <c r="B1252" s="1">
        <v>4.6821003362246552E-2</v>
      </c>
      <c r="C1252" s="2">
        <v>1.334095596744389E-5</v>
      </c>
      <c r="D1252" s="2"/>
      <c r="E1252" s="2">
        <v>-2.760603456844091E-2</v>
      </c>
      <c r="F1252" s="3">
        <v>87.599778499609599</v>
      </c>
      <c r="G1252" s="3">
        <v>2</v>
      </c>
      <c r="H1252" s="2">
        <v>1.083775875149019E-4</v>
      </c>
      <c r="I1252" s="4">
        <v>-3.1225022567582528E-17</v>
      </c>
      <c r="J1252" s="4">
        <v>-2.7606034568440879E-2</v>
      </c>
      <c r="K1252" s="5">
        <v>2</v>
      </c>
      <c r="L1252" s="5">
        <v>0</v>
      </c>
      <c r="M1252" s="5">
        <v>0</v>
      </c>
    </row>
    <row r="1253" spans="1:13" hidden="1" x14ac:dyDescent="0.25">
      <c r="A1253" t="s">
        <v>1264</v>
      </c>
      <c r="B1253" s="1">
        <v>4.6763577761949372E-2</v>
      </c>
      <c r="C1253" s="2">
        <v>1.332459338761959E-5</v>
      </c>
      <c r="D1253" s="2"/>
      <c r="E1253" s="2">
        <v>-0.29508220760707632</v>
      </c>
      <c r="F1253" s="3">
        <v>63.503728601039057</v>
      </c>
      <c r="G1253" s="3">
        <v>1</v>
      </c>
      <c r="H1253" s="2">
        <v>5.4188793757450959E-5</v>
      </c>
      <c r="I1253" s="4">
        <v>0</v>
      </c>
      <c r="J1253" s="4">
        <v>-0.29508220760707632</v>
      </c>
      <c r="K1253" s="5">
        <v>1</v>
      </c>
      <c r="L1253" s="5">
        <v>0</v>
      </c>
      <c r="M1253" s="5">
        <v>0</v>
      </c>
    </row>
    <row r="1254" spans="1:13" hidden="1" x14ac:dyDescent="0.25">
      <c r="A1254" t="s">
        <v>1265</v>
      </c>
      <c r="B1254" s="1">
        <v>4.6755964179775997E-2</v>
      </c>
      <c r="C1254" s="2">
        <v>1.33224240094082E-5</v>
      </c>
      <c r="D1254" s="2"/>
      <c r="E1254" s="2">
        <v>-6.5177436672841149E-2</v>
      </c>
      <c r="F1254" s="3">
        <v>84.215094287995271</v>
      </c>
      <c r="G1254" s="3">
        <v>1</v>
      </c>
      <c r="H1254" s="2">
        <v>5.4188793757450959E-5</v>
      </c>
      <c r="I1254" s="4">
        <v>-4.163336342344337E-17</v>
      </c>
      <c r="J1254" s="4">
        <v>-6.5177436672841108E-2</v>
      </c>
      <c r="K1254" s="5">
        <v>1</v>
      </c>
      <c r="L1254" s="5">
        <v>1</v>
      </c>
      <c r="M1254" s="5">
        <v>0</v>
      </c>
    </row>
    <row r="1255" spans="1:13" hidden="1" x14ac:dyDescent="0.25">
      <c r="A1255" t="s">
        <v>1266</v>
      </c>
      <c r="B1255" s="1">
        <v>4.66871810356395E-2</v>
      </c>
      <c r="C1255" s="2">
        <v>1.330282526458575E-5</v>
      </c>
      <c r="D1255" s="2"/>
      <c r="E1255" s="2">
        <v>1.0795706747705069</v>
      </c>
      <c r="F1255" s="3">
        <v>187.34169170139899</v>
      </c>
      <c r="G1255" s="3">
        <v>1</v>
      </c>
      <c r="H1255" s="2">
        <v>5.4188793757450959E-5</v>
      </c>
      <c r="I1255" s="4">
        <v>2.2204460492503131E-16</v>
      </c>
      <c r="J1255" s="4">
        <v>1.0795706747705069</v>
      </c>
      <c r="K1255" s="5">
        <v>1</v>
      </c>
      <c r="L1255" s="5">
        <v>0</v>
      </c>
      <c r="M1255" s="5">
        <v>0</v>
      </c>
    </row>
    <row r="1256" spans="1:13" hidden="1" x14ac:dyDescent="0.25">
      <c r="A1256" t="s">
        <v>1267</v>
      </c>
      <c r="B1256" s="1">
        <v>4.651049897667589E-2</v>
      </c>
      <c r="C1256" s="2">
        <v>1.325248231164572E-5</v>
      </c>
      <c r="D1256" s="2"/>
      <c r="E1256" s="2" t="s">
        <v>303</v>
      </c>
      <c r="F1256" s="3" t="s">
        <v>303</v>
      </c>
      <c r="G1256" s="3">
        <v>1</v>
      </c>
      <c r="H1256" s="2">
        <v>5.4188793757450959E-5</v>
      </c>
      <c r="I1256" s="4" t="s">
        <v>303</v>
      </c>
      <c r="J1256" s="4">
        <v>0</v>
      </c>
      <c r="K1256" s="5">
        <v>1</v>
      </c>
      <c r="L1256" s="5">
        <v>0</v>
      </c>
      <c r="M1256" s="5">
        <v>0</v>
      </c>
    </row>
    <row r="1257" spans="1:13" hidden="1" x14ac:dyDescent="0.25">
      <c r="A1257" t="s">
        <v>1268</v>
      </c>
      <c r="B1257" s="1">
        <v>4.642810226773407E-2</v>
      </c>
      <c r="C1257" s="2">
        <v>1.3229004581846749E-5</v>
      </c>
      <c r="D1257" s="2"/>
      <c r="E1257" s="2">
        <v>-3.9711580107670397E-2</v>
      </c>
      <c r="F1257" s="3">
        <v>86.509229662870553</v>
      </c>
      <c r="G1257" s="3">
        <v>1</v>
      </c>
      <c r="H1257" s="2">
        <v>5.4188793757450959E-5</v>
      </c>
      <c r="I1257" s="4">
        <v>-4.163336342344337E-17</v>
      </c>
      <c r="J1257" s="4">
        <v>-3.9711580107670362E-2</v>
      </c>
      <c r="K1257" s="5">
        <v>1</v>
      </c>
      <c r="L1257" s="5">
        <v>0</v>
      </c>
      <c r="M1257" s="5">
        <v>0</v>
      </c>
    </row>
    <row r="1258" spans="1:13" hidden="1" x14ac:dyDescent="0.25">
      <c r="A1258" t="s">
        <v>1269</v>
      </c>
      <c r="B1258" s="1">
        <v>4.638396965445403E-2</v>
      </c>
      <c r="C1258" s="2">
        <v>1.321642964307532E-5</v>
      </c>
      <c r="D1258" s="2"/>
      <c r="E1258" s="2">
        <v>-5.9091832804033073E-2</v>
      </c>
      <c r="F1258" s="3">
        <v>84.763326352256769</v>
      </c>
      <c r="G1258" s="3">
        <v>1</v>
      </c>
      <c r="H1258" s="2">
        <v>5.4188793757450959E-5</v>
      </c>
      <c r="I1258" s="4">
        <v>1.2490009027033011E-16</v>
      </c>
      <c r="J1258" s="4">
        <v>-5.9091832804033198E-2</v>
      </c>
      <c r="K1258" s="5">
        <v>1</v>
      </c>
      <c r="L1258" s="5">
        <v>0</v>
      </c>
      <c r="M1258" s="5">
        <v>0</v>
      </c>
    </row>
    <row r="1259" spans="1:13" hidden="1" x14ac:dyDescent="0.25">
      <c r="A1259" t="s">
        <v>1270</v>
      </c>
      <c r="B1259" s="1">
        <v>4.6239089145789412E-2</v>
      </c>
      <c r="C1259" s="2">
        <v>1.317514807395384E-5</v>
      </c>
      <c r="D1259" s="2"/>
      <c r="E1259" s="2">
        <v>-0.43361618981884809</v>
      </c>
      <c r="F1259" s="3">
        <v>51.02365716102949</v>
      </c>
      <c r="G1259" s="3">
        <v>3</v>
      </c>
      <c r="H1259" s="2">
        <v>1.6256638127235291E-4</v>
      </c>
      <c r="I1259" s="4">
        <v>-1.110223024625157E-16</v>
      </c>
      <c r="J1259" s="4">
        <v>-0.43361618981884797</v>
      </c>
      <c r="K1259" s="5">
        <v>3</v>
      </c>
      <c r="L1259" s="5">
        <v>0</v>
      </c>
      <c r="M1259" s="5">
        <v>0</v>
      </c>
    </row>
    <row r="1260" spans="1:13" hidden="1" x14ac:dyDescent="0.25">
      <c r="A1260" t="s">
        <v>1271</v>
      </c>
      <c r="B1260" s="1">
        <v>4.6136924707831338E-2</v>
      </c>
      <c r="C1260" s="2">
        <v>1.314603782064098E-5</v>
      </c>
      <c r="D1260" s="2"/>
      <c r="E1260" s="2">
        <v>0.104080359545448</v>
      </c>
      <c r="F1260" s="3">
        <v>99.462973218911742</v>
      </c>
      <c r="G1260" s="3">
        <v>1</v>
      </c>
      <c r="H1260" s="2">
        <v>5.4188793757450959E-5</v>
      </c>
      <c r="I1260" s="4">
        <v>-9.7144514654701197E-17</v>
      </c>
      <c r="J1260" s="4">
        <v>0.1040803595454481</v>
      </c>
      <c r="K1260" s="5">
        <v>1</v>
      </c>
      <c r="L1260" s="5">
        <v>0</v>
      </c>
      <c r="M1260" s="5">
        <v>0</v>
      </c>
    </row>
    <row r="1261" spans="1:13" hidden="1" x14ac:dyDescent="0.25">
      <c r="A1261" t="s">
        <v>1272</v>
      </c>
      <c r="B1261" s="1">
        <v>4.6098634459716577E-2</v>
      </c>
      <c r="C1261" s="2">
        <v>1.3135127577856789E-5</v>
      </c>
      <c r="D1261" s="2"/>
      <c r="E1261" s="2">
        <v>1.7072392992930889</v>
      </c>
      <c r="F1261" s="3">
        <v>243.886296495332</v>
      </c>
      <c r="G1261" s="3">
        <v>1</v>
      </c>
      <c r="H1261" s="2">
        <v>5.4188793757450959E-5</v>
      </c>
      <c r="I1261" s="4">
        <v>2.2204460492503131E-16</v>
      </c>
      <c r="J1261" s="4">
        <v>1.7072392992930889</v>
      </c>
      <c r="K1261" s="5">
        <v>1</v>
      </c>
      <c r="L1261" s="5">
        <v>0</v>
      </c>
      <c r="M1261" s="5">
        <v>1</v>
      </c>
    </row>
    <row r="1262" spans="1:13" hidden="1" x14ac:dyDescent="0.25">
      <c r="A1262" t="s">
        <v>1273</v>
      </c>
      <c r="B1262" s="1">
        <v>4.5974105442860271E-2</v>
      </c>
      <c r="C1262" s="2">
        <v>1.3099644866867119E-5</v>
      </c>
      <c r="D1262" s="2"/>
      <c r="E1262" s="2">
        <v>-0.40940392851179042</v>
      </c>
      <c r="F1262" s="3">
        <v>53.204860256558362</v>
      </c>
      <c r="G1262" s="3">
        <v>1</v>
      </c>
      <c r="H1262" s="2">
        <v>5.4188793757450959E-5</v>
      </c>
      <c r="I1262" s="4">
        <v>-1.6653345369377351E-16</v>
      </c>
      <c r="J1262" s="4">
        <v>-0.40940392851179019</v>
      </c>
      <c r="K1262" s="5">
        <v>0</v>
      </c>
      <c r="L1262" s="5">
        <v>0</v>
      </c>
      <c r="M1262" s="5">
        <v>0</v>
      </c>
    </row>
    <row r="1263" spans="1:13" hidden="1" x14ac:dyDescent="0.25">
      <c r="A1263" t="s">
        <v>1274</v>
      </c>
      <c r="B1263" s="1">
        <v>4.5825820495637222E-2</v>
      </c>
      <c r="C1263" s="2">
        <v>1.305739325307252E-5</v>
      </c>
      <c r="D1263" s="2"/>
      <c r="E1263" s="2">
        <v>9.2059310609048595E-2</v>
      </c>
      <c r="F1263" s="3">
        <v>98.380036403591006</v>
      </c>
      <c r="G1263" s="3">
        <v>1</v>
      </c>
      <c r="H1263" s="2">
        <v>5.4188793757450959E-5</v>
      </c>
      <c r="I1263" s="4">
        <v>-1.387778780781446E-17</v>
      </c>
      <c r="J1263" s="4">
        <v>9.2059310609048609E-2</v>
      </c>
      <c r="K1263" s="5">
        <v>1</v>
      </c>
      <c r="L1263" s="5">
        <v>0</v>
      </c>
      <c r="M1263" s="5">
        <v>0</v>
      </c>
    </row>
    <row r="1264" spans="1:13" hidden="1" x14ac:dyDescent="0.25">
      <c r="A1264" t="s">
        <v>1275</v>
      </c>
      <c r="B1264" s="1">
        <v>4.5779595797403247E-2</v>
      </c>
      <c r="C1264" s="2">
        <v>1.304422220547713E-5</v>
      </c>
      <c r="D1264" s="2"/>
      <c r="E1264" s="2">
        <v>3.663536901306331</v>
      </c>
      <c r="F1264" s="3">
        <v>420.12272196473612</v>
      </c>
      <c r="G1264" s="3">
        <v>1</v>
      </c>
      <c r="H1264" s="2">
        <v>5.4188793757450959E-5</v>
      </c>
      <c r="I1264" s="4">
        <v>0</v>
      </c>
      <c r="J1264" s="4">
        <v>3.663536901306331</v>
      </c>
      <c r="K1264" s="5">
        <v>1</v>
      </c>
      <c r="L1264" s="5">
        <v>0</v>
      </c>
      <c r="M1264" s="5">
        <v>0</v>
      </c>
    </row>
    <row r="1265" spans="1:13" hidden="1" x14ac:dyDescent="0.25">
      <c r="A1265" t="s">
        <v>1276</v>
      </c>
      <c r="B1265" s="1">
        <v>4.5746784717193782E-2</v>
      </c>
      <c r="C1265" s="2">
        <v>1.303487317096516E-5</v>
      </c>
      <c r="D1265" s="2"/>
      <c r="E1265" s="2">
        <v>3.0864618056458241E-2</v>
      </c>
      <c r="F1265" s="3">
        <v>92.867207546637417</v>
      </c>
      <c r="G1265" s="3">
        <v>1</v>
      </c>
      <c r="H1265" s="2">
        <v>5.4188793757450959E-5</v>
      </c>
      <c r="I1265" s="4">
        <v>4.163336342344337E-17</v>
      </c>
      <c r="J1265" s="4">
        <v>3.0864618056458199E-2</v>
      </c>
      <c r="K1265" s="5">
        <v>1</v>
      </c>
      <c r="L1265" s="5">
        <v>0</v>
      </c>
      <c r="M1265" s="5">
        <v>0</v>
      </c>
    </row>
    <row r="1266" spans="1:13" hidden="1" x14ac:dyDescent="0.25">
      <c r="A1266" t="s">
        <v>1277</v>
      </c>
      <c r="B1266" s="1">
        <v>4.5709917140590847E-2</v>
      </c>
      <c r="C1266" s="2">
        <v>1.3024368297494581E-5</v>
      </c>
      <c r="D1266" s="2"/>
      <c r="E1266" s="2">
        <v>0.40442898900464841</v>
      </c>
      <c r="F1266" s="3">
        <v>126.52039474621461</v>
      </c>
      <c r="G1266" s="3">
        <v>1</v>
      </c>
      <c r="H1266" s="2">
        <v>5.4188793757450959E-5</v>
      </c>
      <c r="I1266" s="4">
        <v>5.5511151231257827E-17</v>
      </c>
      <c r="J1266" s="4">
        <v>0.40442898900464841</v>
      </c>
      <c r="K1266" s="5">
        <v>1</v>
      </c>
      <c r="L1266" s="5">
        <v>0</v>
      </c>
      <c r="M1266" s="5">
        <v>1</v>
      </c>
    </row>
    <row r="1267" spans="1:13" hidden="1" x14ac:dyDescent="0.25">
      <c r="A1267" t="s">
        <v>1278</v>
      </c>
      <c r="B1267" s="1">
        <v>4.5623062995440757E-2</v>
      </c>
      <c r="C1267" s="2">
        <v>1.299962048683635E-5</v>
      </c>
      <c r="D1267" s="2"/>
      <c r="E1267" s="2">
        <v>0.92437297549038733</v>
      </c>
      <c r="F1267" s="3">
        <v>173.3604407229916</v>
      </c>
      <c r="G1267" s="3">
        <v>2</v>
      </c>
      <c r="H1267" s="2">
        <v>1.083775875149019E-4</v>
      </c>
      <c r="I1267" s="4">
        <v>-1.110223024625157E-16</v>
      </c>
      <c r="J1267" s="4">
        <v>0.92437297549038744</v>
      </c>
      <c r="K1267" s="5">
        <v>2</v>
      </c>
      <c r="L1267" s="5">
        <v>0</v>
      </c>
      <c r="M1267" s="5">
        <v>0</v>
      </c>
    </row>
    <row r="1268" spans="1:13" hidden="1" x14ac:dyDescent="0.25">
      <c r="A1268" t="s">
        <v>1279</v>
      </c>
      <c r="B1268" s="1">
        <v>4.5622080061990297E-2</v>
      </c>
      <c r="C1268" s="2">
        <v>1.2999340414412871E-5</v>
      </c>
      <c r="D1268" s="2"/>
      <c r="E1268" s="2">
        <v>-0.19402897480421799</v>
      </c>
      <c r="F1268" s="3">
        <v>72.607282433020274</v>
      </c>
      <c r="G1268" s="3">
        <v>1</v>
      </c>
      <c r="H1268" s="2">
        <v>5.4188793757450959E-5</v>
      </c>
      <c r="I1268" s="4">
        <v>-2.775557561562891E-17</v>
      </c>
      <c r="J1268" s="4">
        <v>-0.19402897480421799</v>
      </c>
      <c r="K1268" s="5">
        <v>1</v>
      </c>
      <c r="L1268" s="5">
        <v>0</v>
      </c>
      <c r="M1268" s="5">
        <v>0</v>
      </c>
    </row>
    <row r="1269" spans="1:13" hidden="1" x14ac:dyDescent="0.25">
      <c r="A1269" t="s">
        <v>1280</v>
      </c>
      <c r="B1269" s="1">
        <v>4.5415991538295938E-2</v>
      </c>
      <c r="C1269" s="2">
        <v>1.294061852204482E-5</v>
      </c>
      <c r="D1269" s="2"/>
      <c r="E1269" s="2">
        <v>1.128907646391027</v>
      </c>
      <c r="F1269" s="3">
        <v>191.78629742648801</v>
      </c>
      <c r="G1269" s="3">
        <v>1</v>
      </c>
      <c r="H1269" s="2">
        <v>5.4188793757450959E-5</v>
      </c>
      <c r="I1269" s="4">
        <v>2.2204460492503131E-16</v>
      </c>
      <c r="J1269" s="4">
        <v>1.128907646391027</v>
      </c>
      <c r="K1269" s="5">
        <v>1</v>
      </c>
      <c r="L1269" s="5">
        <v>1</v>
      </c>
      <c r="M1269" s="5">
        <v>0</v>
      </c>
    </row>
    <row r="1270" spans="1:13" hidden="1" x14ac:dyDescent="0.25">
      <c r="A1270" t="s">
        <v>1281</v>
      </c>
      <c r="B1270" s="1">
        <v>4.5370366480988869E-2</v>
      </c>
      <c r="C1270" s="2">
        <v>1.2927618333308229E-5</v>
      </c>
      <c r="D1270" s="2"/>
      <c r="E1270" s="2" t="s">
        <v>303</v>
      </c>
      <c r="F1270" s="3" t="s">
        <v>303</v>
      </c>
      <c r="G1270" s="3">
        <v>1</v>
      </c>
      <c r="H1270" s="2">
        <v>5.4188793757450959E-5</v>
      </c>
      <c r="I1270" s="4" t="s">
        <v>303</v>
      </c>
      <c r="J1270" s="4">
        <v>0</v>
      </c>
      <c r="K1270" s="5">
        <v>1</v>
      </c>
      <c r="L1270" s="5">
        <v>0</v>
      </c>
      <c r="M1270" s="5">
        <v>0</v>
      </c>
    </row>
    <row r="1271" spans="1:13" hidden="1" x14ac:dyDescent="0.25">
      <c r="A1271" t="s">
        <v>1282</v>
      </c>
      <c r="B1271" s="1">
        <v>4.5356945451754747E-2</v>
      </c>
      <c r="C1271" s="2">
        <v>1.2923794208509689E-5</v>
      </c>
      <c r="D1271" s="2"/>
      <c r="E1271" s="2">
        <v>-0.28510662865624092</v>
      </c>
      <c r="F1271" s="3">
        <v>64.402395743744663</v>
      </c>
      <c r="G1271" s="3">
        <v>1</v>
      </c>
      <c r="H1271" s="2">
        <v>5.4188793757450959E-5</v>
      </c>
      <c r="I1271" s="4">
        <v>0</v>
      </c>
      <c r="J1271" s="4">
        <v>-0.28510662865624092</v>
      </c>
      <c r="K1271" s="5">
        <v>1</v>
      </c>
      <c r="L1271" s="5">
        <v>0</v>
      </c>
      <c r="M1271" s="5">
        <v>0</v>
      </c>
    </row>
    <row r="1272" spans="1:13" hidden="1" x14ac:dyDescent="0.25">
      <c r="A1272" t="s">
        <v>1283</v>
      </c>
      <c r="B1272" s="1">
        <v>4.5335129475482808E-2</v>
      </c>
      <c r="C1272" s="2">
        <v>1.291757806707891E-5</v>
      </c>
      <c r="D1272" s="2"/>
      <c r="E1272" s="2">
        <v>-0.44305833067167238</v>
      </c>
      <c r="F1272" s="3">
        <v>50.173045704486313</v>
      </c>
      <c r="G1272" s="3">
        <v>1</v>
      </c>
      <c r="H1272" s="2">
        <v>5.4188793757450959E-5</v>
      </c>
      <c r="I1272" s="4">
        <v>1.110223024625157E-16</v>
      </c>
      <c r="J1272" s="4">
        <v>-0.44305833067167261</v>
      </c>
      <c r="K1272" s="5">
        <v>1</v>
      </c>
      <c r="L1272" s="5">
        <v>0</v>
      </c>
      <c r="M1272" s="5">
        <v>0</v>
      </c>
    </row>
    <row r="1273" spans="1:13" hidden="1" x14ac:dyDescent="0.25">
      <c r="A1273" t="s">
        <v>1284</v>
      </c>
      <c r="B1273" s="1">
        <v>4.5177082797047921E-2</v>
      </c>
      <c r="C1273" s="2">
        <v>1.2872544991613019E-5</v>
      </c>
      <c r="D1273" s="2"/>
      <c r="E1273" s="2">
        <v>0.27960372938062111</v>
      </c>
      <c r="F1273" s="3">
        <v>115.2752970975798</v>
      </c>
      <c r="G1273" s="3">
        <v>1</v>
      </c>
      <c r="H1273" s="2">
        <v>5.4188793757450959E-5</v>
      </c>
      <c r="I1273" s="4">
        <v>0</v>
      </c>
      <c r="J1273" s="4">
        <v>0.27960372938062111</v>
      </c>
      <c r="K1273" s="5">
        <v>1</v>
      </c>
      <c r="L1273" s="5">
        <v>0</v>
      </c>
      <c r="M1273" s="5">
        <v>0</v>
      </c>
    </row>
    <row r="1274" spans="1:13" hidden="1" x14ac:dyDescent="0.25">
      <c r="A1274" t="s">
        <v>1285</v>
      </c>
      <c r="B1274" s="1">
        <v>4.5101423296709138E-2</v>
      </c>
      <c r="C1274" s="2">
        <v>1.285098693027185E-5</v>
      </c>
      <c r="D1274" s="2"/>
      <c r="E1274" s="2">
        <v>-1.5159502253609959E-2</v>
      </c>
      <c r="F1274" s="3">
        <v>88.721045714985124</v>
      </c>
      <c r="G1274" s="3">
        <v>1</v>
      </c>
      <c r="H1274" s="2">
        <v>5.4188793757450959E-5</v>
      </c>
      <c r="I1274" s="4">
        <v>-0.30602058500722717</v>
      </c>
      <c r="J1274" s="4">
        <v>0.29086108275361727</v>
      </c>
      <c r="K1274" s="5">
        <v>1</v>
      </c>
      <c r="L1274" s="5">
        <v>0</v>
      </c>
      <c r="M1274" s="5">
        <v>0</v>
      </c>
    </row>
    <row r="1275" spans="1:13" hidden="1" x14ac:dyDescent="0.25">
      <c r="A1275" t="s">
        <v>1286</v>
      </c>
      <c r="B1275" s="1">
        <v>4.5010150992544268E-2</v>
      </c>
      <c r="C1275" s="2">
        <v>1.282498023021269E-5</v>
      </c>
      <c r="D1275" s="2"/>
      <c r="E1275" s="2">
        <v>0.75329591978509836</v>
      </c>
      <c r="F1275" s="3">
        <v>157.9486706802831</v>
      </c>
      <c r="G1275" s="3">
        <v>1</v>
      </c>
      <c r="H1275" s="2">
        <v>5.4188793757450959E-5</v>
      </c>
      <c r="I1275" s="4">
        <v>0</v>
      </c>
      <c r="J1275" s="4">
        <v>0.75329591978509836</v>
      </c>
      <c r="K1275" s="5">
        <v>1</v>
      </c>
      <c r="L1275" s="5">
        <v>0</v>
      </c>
      <c r="M1275" s="5">
        <v>0</v>
      </c>
    </row>
    <row r="1276" spans="1:13" hidden="1" x14ac:dyDescent="0.25">
      <c r="A1276" t="s">
        <v>1287</v>
      </c>
      <c r="B1276" s="1">
        <v>4.498658257923268E-2</v>
      </c>
      <c r="C1276" s="2">
        <v>1.281826475763343E-5</v>
      </c>
      <c r="D1276" s="2"/>
      <c r="E1276" s="2">
        <v>-0.12898790993401171</v>
      </c>
      <c r="F1276" s="3">
        <v>78.466618338586244</v>
      </c>
      <c r="G1276" s="3">
        <v>2</v>
      </c>
      <c r="H1276" s="2">
        <v>1.083775875149019E-4</v>
      </c>
      <c r="I1276" s="4">
        <v>-5.5511151231257827E-17</v>
      </c>
      <c r="J1276" s="4">
        <v>-0.1289879099340116</v>
      </c>
      <c r="K1276" s="5">
        <v>2</v>
      </c>
      <c r="L1276" s="5">
        <v>0</v>
      </c>
      <c r="M1276" s="5">
        <v>0</v>
      </c>
    </row>
    <row r="1277" spans="1:13" hidden="1" x14ac:dyDescent="0.25">
      <c r="A1277" t="s">
        <v>1288</v>
      </c>
      <c r="B1277" s="1">
        <v>4.4936403035282298E-2</v>
      </c>
      <c r="C1277" s="2">
        <v>1.2803966834944141E-5</v>
      </c>
      <c r="D1277" s="2"/>
      <c r="E1277" s="2">
        <v>6.8248046175085362</v>
      </c>
      <c r="F1277" s="3">
        <v>704.91094727460518</v>
      </c>
      <c r="G1277" s="3">
        <v>1</v>
      </c>
      <c r="H1277" s="2">
        <v>5.4188793757450959E-5</v>
      </c>
      <c r="I1277" s="4">
        <v>8.8817841970012523E-16</v>
      </c>
      <c r="J1277" s="4">
        <v>6.8248046175085353</v>
      </c>
      <c r="K1277" s="5">
        <v>1</v>
      </c>
      <c r="L1277" s="5">
        <v>0</v>
      </c>
      <c r="M1277" s="5">
        <v>0</v>
      </c>
    </row>
    <row r="1278" spans="1:13" hidden="1" x14ac:dyDescent="0.25">
      <c r="A1278" t="s">
        <v>1289</v>
      </c>
      <c r="B1278" s="1">
        <v>4.490764241816525E-2</v>
      </c>
      <c r="C1278" s="2">
        <v>1.2795771920290421E-5</v>
      </c>
      <c r="D1278" s="2"/>
      <c r="E1278" s="2">
        <v>-0.42816895739598781</v>
      </c>
      <c r="F1278" s="3">
        <v>51.514380438468457</v>
      </c>
      <c r="G1278" s="3">
        <v>1</v>
      </c>
      <c r="H1278" s="2">
        <v>5.4188793757450959E-5</v>
      </c>
      <c r="I1278" s="4">
        <v>-5.5511151231257827E-17</v>
      </c>
      <c r="J1278" s="4">
        <v>-0.42816895739598781</v>
      </c>
      <c r="K1278" s="5">
        <v>1</v>
      </c>
      <c r="L1278" s="5">
        <v>0</v>
      </c>
      <c r="M1278" s="5">
        <v>0</v>
      </c>
    </row>
    <row r="1279" spans="1:13" hidden="1" x14ac:dyDescent="0.25">
      <c r="A1279" t="s">
        <v>1290</v>
      </c>
      <c r="B1279" s="1">
        <v>4.4816918871440493E-2</v>
      </c>
      <c r="C1279" s="2">
        <v>1.276992158058922E-5</v>
      </c>
      <c r="D1279" s="2"/>
      <c r="E1279" s="2">
        <v>-0.23225305194132029</v>
      </c>
      <c r="F1279" s="3">
        <v>69.163800871433139</v>
      </c>
      <c r="G1279" s="3">
        <v>1</v>
      </c>
      <c r="H1279" s="2">
        <v>5.4188793757450959E-5</v>
      </c>
      <c r="I1279" s="4">
        <v>2.775557561562891E-17</v>
      </c>
      <c r="J1279" s="4">
        <v>-0.23225305194132029</v>
      </c>
      <c r="K1279" s="5">
        <v>1</v>
      </c>
      <c r="L1279" s="5">
        <v>0</v>
      </c>
      <c r="M1279" s="5">
        <v>1</v>
      </c>
    </row>
    <row r="1280" spans="1:13" hidden="1" x14ac:dyDescent="0.25">
      <c r="A1280" t="s">
        <v>1291</v>
      </c>
      <c r="B1280" s="1">
        <v>4.4790457506327763E-2</v>
      </c>
      <c r="C1280" s="2">
        <v>1.276238180396213E-5</v>
      </c>
      <c r="D1280" s="2"/>
      <c r="E1280" s="2">
        <v>-0.24642141270948659</v>
      </c>
      <c r="F1280" s="3">
        <v>67.887419786074304</v>
      </c>
      <c r="G1280" s="3">
        <v>1</v>
      </c>
      <c r="H1280" s="2">
        <v>5.4188793757450959E-5</v>
      </c>
      <c r="I1280" s="4">
        <v>0</v>
      </c>
      <c r="J1280" s="4">
        <v>-0.24642141270948659</v>
      </c>
      <c r="K1280" s="5">
        <v>1</v>
      </c>
      <c r="L1280" s="5">
        <v>0</v>
      </c>
      <c r="M1280" s="5">
        <v>0</v>
      </c>
    </row>
    <row r="1281" spans="1:13" hidden="1" x14ac:dyDescent="0.25">
      <c r="A1281" t="s">
        <v>1292</v>
      </c>
      <c r="B1281" s="1">
        <v>4.4729577949466151E-2</v>
      </c>
      <c r="C1281" s="2">
        <v>1.274503507003752E-5</v>
      </c>
      <c r="D1281" s="2"/>
      <c r="E1281" s="2">
        <v>-0.28235332951428133</v>
      </c>
      <c r="F1281" s="3">
        <v>64.650431420181405</v>
      </c>
      <c r="G1281" s="3">
        <v>1</v>
      </c>
      <c r="H1281" s="2">
        <v>5.4188793757450959E-5</v>
      </c>
      <c r="I1281" s="4">
        <v>0</v>
      </c>
      <c r="J1281" s="4">
        <v>-0.28235332951428133</v>
      </c>
      <c r="K1281" s="5">
        <v>1</v>
      </c>
      <c r="L1281" s="5">
        <v>0</v>
      </c>
      <c r="M1281" s="5">
        <v>0</v>
      </c>
    </row>
    <row r="1282" spans="1:13" x14ac:dyDescent="0.25">
      <c r="A1282" t="s">
        <v>1293</v>
      </c>
      <c r="B1282" s="1">
        <v>4.4598926021148108E-2</v>
      </c>
      <c r="C1282" s="2">
        <v>1.270780772552149E-5</v>
      </c>
      <c r="D1282" s="2"/>
      <c r="E1282" s="2">
        <v>0.68452807401582705</v>
      </c>
      <c r="F1282" s="3">
        <v>151.7536013242017</v>
      </c>
      <c r="G1282" s="3">
        <v>1</v>
      </c>
      <c r="H1282" s="2">
        <v>5.4188793757450959E-5</v>
      </c>
      <c r="I1282" s="4">
        <v>0</v>
      </c>
      <c r="J1282" s="4">
        <v>0.68452807401582705</v>
      </c>
      <c r="K1282" s="5">
        <v>1</v>
      </c>
      <c r="L1282" s="5">
        <v>0</v>
      </c>
      <c r="M1282" s="5">
        <v>0</v>
      </c>
    </row>
    <row r="1283" spans="1:13" hidden="1" x14ac:dyDescent="0.25">
      <c r="A1283" t="s">
        <v>1294</v>
      </c>
      <c r="B1283" s="1">
        <v>4.4505756744671471E-2</v>
      </c>
      <c r="C1283" s="2">
        <v>1.2681260511114811E-5</v>
      </c>
      <c r="D1283" s="2"/>
      <c r="E1283" s="2">
        <v>-0.60505918942903247</v>
      </c>
      <c r="F1283" s="3">
        <v>35.57892043387848</v>
      </c>
      <c r="G1283" s="3">
        <v>2</v>
      </c>
      <c r="H1283" s="2">
        <v>1.083775875149019E-4</v>
      </c>
      <c r="I1283" s="4">
        <v>-0.39619701204959828</v>
      </c>
      <c r="J1283" s="4">
        <v>-0.20886217737943419</v>
      </c>
      <c r="K1283" s="5">
        <v>0</v>
      </c>
      <c r="L1283" s="5">
        <v>0</v>
      </c>
      <c r="M1283" s="5">
        <v>0</v>
      </c>
    </row>
    <row r="1284" spans="1:13" hidden="1" x14ac:dyDescent="0.25">
      <c r="A1284" t="s">
        <v>1295</v>
      </c>
      <c r="B1284" s="1">
        <v>4.4448998442052412E-2</v>
      </c>
      <c r="C1284" s="2">
        <v>1.266508806794503E-5</v>
      </c>
      <c r="D1284" s="2"/>
      <c r="E1284" s="2" t="s">
        <v>303</v>
      </c>
      <c r="F1284" s="3" t="s">
        <v>303</v>
      </c>
      <c r="G1284" s="3">
        <v>2</v>
      </c>
      <c r="H1284" s="2">
        <v>1.083775875149019E-4</v>
      </c>
      <c r="I1284" s="4" t="s">
        <v>303</v>
      </c>
      <c r="J1284" s="4">
        <v>0</v>
      </c>
      <c r="K1284" s="5">
        <v>2</v>
      </c>
      <c r="L1284" s="5">
        <v>0</v>
      </c>
      <c r="M1284" s="5">
        <v>0</v>
      </c>
    </row>
    <row r="1285" spans="1:13" hidden="1" x14ac:dyDescent="0.25">
      <c r="A1285" t="s">
        <v>1296</v>
      </c>
      <c r="B1285" s="1">
        <v>4.4438992026768473E-2</v>
      </c>
      <c r="C1285" s="2">
        <v>1.2662236887147769E-5</v>
      </c>
      <c r="D1285" s="2"/>
      <c r="E1285" s="2">
        <v>0.86625769792414919</v>
      </c>
      <c r="F1285" s="3">
        <v>168.12502624776249</v>
      </c>
      <c r="G1285" s="3">
        <v>1</v>
      </c>
      <c r="H1285" s="2">
        <v>5.4188793757450959E-5</v>
      </c>
      <c r="I1285" s="4">
        <v>1.110223024625157E-16</v>
      </c>
      <c r="J1285" s="4">
        <v>0.86625769792414908</v>
      </c>
      <c r="K1285" s="5">
        <v>1</v>
      </c>
      <c r="L1285" s="5">
        <v>0</v>
      </c>
      <c r="M1285" s="5">
        <v>1</v>
      </c>
    </row>
    <row r="1286" spans="1:13" hidden="1" x14ac:dyDescent="0.25">
      <c r="A1286" t="s">
        <v>1297</v>
      </c>
      <c r="B1286" s="1">
        <v>4.4429415856936189E-2</v>
      </c>
      <c r="C1286" s="2">
        <v>1.265950829846118E-5</v>
      </c>
      <c r="D1286" s="2"/>
      <c r="E1286" s="2">
        <v>0.38133159548246032</v>
      </c>
      <c r="F1286" s="3">
        <v>124.4396264276206</v>
      </c>
      <c r="G1286" s="3">
        <v>1</v>
      </c>
      <c r="H1286" s="2">
        <v>5.4188793757450959E-5</v>
      </c>
      <c r="I1286" s="4">
        <v>5.5511151231257827E-17</v>
      </c>
      <c r="J1286" s="4">
        <v>0.38133159548246032</v>
      </c>
      <c r="K1286" s="5">
        <v>1</v>
      </c>
      <c r="L1286" s="5">
        <v>0</v>
      </c>
      <c r="M1286" s="5">
        <v>0</v>
      </c>
    </row>
    <row r="1287" spans="1:13" hidden="1" x14ac:dyDescent="0.25">
      <c r="A1287" t="s">
        <v>1298</v>
      </c>
      <c r="B1287" s="1">
        <v>4.409533586841461E-2</v>
      </c>
      <c r="C1287" s="2">
        <v>1.256431712150182E-5</v>
      </c>
      <c r="D1287" s="2"/>
      <c r="E1287" s="2">
        <v>2.8008748671255908E-2</v>
      </c>
      <c r="F1287" s="3">
        <v>92.609931653880821</v>
      </c>
      <c r="G1287" s="3">
        <v>2</v>
      </c>
      <c r="H1287" s="2">
        <v>1.083775875149019E-4</v>
      </c>
      <c r="I1287" s="4">
        <v>2.6714741530042829E-16</v>
      </c>
      <c r="J1287" s="4">
        <v>2.8008748671255641E-2</v>
      </c>
      <c r="K1287" s="5">
        <v>2</v>
      </c>
      <c r="L1287" s="5">
        <v>2</v>
      </c>
      <c r="M1287" s="5">
        <v>0</v>
      </c>
    </row>
    <row r="1288" spans="1:13" hidden="1" x14ac:dyDescent="0.25">
      <c r="A1288" t="s">
        <v>1299</v>
      </c>
      <c r="B1288" s="1">
        <v>4.4058603288047622E-2</v>
      </c>
      <c r="C1288" s="2">
        <v>1.2553850713222281E-5</v>
      </c>
      <c r="D1288" s="2"/>
      <c r="E1288" s="2">
        <v>0.44351501756861211</v>
      </c>
      <c r="F1288" s="3">
        <v>130.0415266807521</v>
      </c>
      <c r="G1288" s="3">
        <v>1</v>
      </c>
      <c r="H1288" s="2">
        <v>5.4188793757450959E-5</v>
      </c>
      <c r="I1288" s="4">
        <v>-5.5511151231257827E-17</v>
      </c>
      <c r="J1288" s="4">
        <v>0.44351501756861211</v>
      </c>
      <c r="K1288" s="5">
        <v>1</v>
      </c>
      <c r="L1288" s="5">
        <v>0</v>
      </c>
      <c r="M1288" s="5">
        <v>0</v>
      </c>
    </row>
    <row r="1289" spans="1:13" hidden="1" x14ac:dyDescent="0.25">
      <c r="A1289" t="s">
        <v>1300</v>
      </c>
      <c r="B1289" s="1">
        <v>4.4030003068381417E-2</v>
      </c>
      <c r="C1289" s="2">
        <v>1.254570150146204E-5</v>
      </c>
      <c r="D1289" s="2"/>
      <c r="E1289" s="2">
        <v>0.58610501411781724</v>
      </c>
      <c r="F1289" s="3">
        <v>142.88699113036631</v>
      </c>
      <c r="G1289" s="3">
        <v>1</v>
      </c>
      <c r="H1289" s="2">
        <v>5.4188793757450959E-5</v>
      </c>
      <c r="I1289" s="4">
        <v>-3.3306690738754701E-16</v>
      </c>
      <c r="J1289" s="4">
        <v>0.58610501411781757</v>
      </c>
      <c r="K1289" s="5">
        <v>1</v>
      </c>
      <c r="L1289" s="5">
        <v>0</v>
      </c>
      <c r="M1289" s="5">
        <v>0</v>
      </c>
    </row>
    <row r="1290" spans="1:13" hidden="1" x14ac:dyDescent="0.25">
      <c r="A1290" t="s">
        <v>1301</v>
      </c>
      <c r="B1290" s="1">
        <v>4.3911348317881627E-2</v>
      </c>
      <c r="C1290" s="2">
        <v>1.251189257623464E-5</v>
      </c>
      <c r="D1290" s="2"/>
      <c r="E1290" s="2">
        <v>2.938370506492721</v>
      </c>
      <c r="F1290" s="3">
        <v>354.79486327852987</v>
      </c>
      <c r="G1290" s="3">
        <v>1</v>
      </c>
      <c r="H1290" s="2">
        <v>5.4188793757450959E-5</v>
      </c>
      <c r="I1290" s="4">
        <v>0</v>
      </c>
      <c r="J1290" s="4">
        <v>2.938370506492721</v>
      </c>
      <c r="K1290" s="5">
        <v>1</v>
      </c>
      <c r="L1290" s="5">
        <v>0</v>
      </c>
      <c r="M1290" s="5">
        <v>0</v>
      </c>
    </row>
    <row r="1291" spans="1:13" hidden="1" x14ac:dyDescent="0.25">
      <c r="A1291" t="s">
        <v>1302</v>
      </c>
      <c r="B1291" s="1">
        <v>4.3880702778752743E-2</v>
      </c>
      <c r="C1291" s="2">
        <v>1.250316058078905E-5</v>
      </c>
      <c r="D1291" s="2"/>
      <c r="E1291" s="2" t="s">
        <v>303</v>
      </c>
      <c r="F1291" s="3" t="s">
        <v>303</v>
      </c>
      <c r="G1291" s="3">
        <v>1</v>
      </c>
      <c r="H1291" s="2">
        <v>5.4188793757450959E-5</v>
      </c>
      <c r="I1291" s="4" t="s">
        <v>303</v>
      </c>
      <c r="J1291" s="4">
        <v>0</v>
      </c>
      <c r="K1291" s="5">
        <v>1</v>
      </c>
      <c r="L1291" s="5">
        <v>0</v>
      </c>
      <c r="M1291" s="5">
        <v>1</v>
      </c>
    </row>
    <row r="1292" spans="1:13" hidden="1" x14ac:dyDescent="0.25">
      <c r="A1292" t="s">
        <v>1303</v>
      </c>
      <c r="B1292" s="1">
        <v>4.3853315256264548E-2</v>
      </c>
      <c r="C1292" s="2">
        <v>1.2495356909245641E-5</v>
      </c>
      <c r="D1292" s="2"/>
      <c r="E1292" s="2">
        <v>-0.69445846100172126</v>
      </c>
      <c r="F1292" s="3">
        <v>27.52523369147017</v>
      </c>
      <c r="G1292" s="3">
        <v>2</v>
      </c>
      <c r="H1292" s="2">
        <v>1.083775875149019E-4</v>
      </c>
      <c r="I1292" s="4">
        <v>1.110223024625157E-16</v>
      </c>
      <c r="J1292" s="4">
        <v>-0.69445846100172137</v>
      </c>
      <c r="K1292" s="5">
        <v>2</v>
      </c>
      <c r="L1292" s="5">
        <v>0</v>
      </c>
      <c r="M1292" s="5">
        <v>0</v>
      </c>
    </row>
    <row r="1293" spans="1:13" hidden="1" x14ac:dyDescent="0.25">
      <c r="A1293" t="s">
        <v>1304</v>
      </c>
      <c r="B1293" s="1">
        <v>4.3792611351152651E-2</v>
      </c>
      <c r="C1293" s="2">
        <v>1.24780602247025E-5</v>
      </c>
      <c r="D1293" s="2"/>
      <c r="E1293" s="2">
        <v>5.0955719282811167E-2</v>
      </c>
      <c r="F1293" s="3">
        <v>94.677148866522771</v>
      </c>
      <c r="G1293" s="3">
        <v>2</v>
      </c>
      <c r="H1293" s="2">
        <v>1.083775875149019E-4</v>
      </c>
      <c r="I1293" s="4">
        <v>-0.24720658653976679</v>
      </c>
      <c r="J1293" s="4">
        <v>0.29816230582257802</v>
      </c>
      <c r="K1293" s="5">
        <v>2</v>
      </c>
      <c r="L1293" s="5">
        <v>0</v>
      </c>
      <c r="M1293" s="5">
        <v>0</v>
      </c>
    </row>
    <row r="1294" spans="1:13" hidden="1" x14ac:dyDescent="0.25">
      <c r="A1294" t="s">
        <v>1305</v>
      </c>
      <c r="B1294" s="1">
        <v>4.3783573024073548E-2</v>
      </c>
      <c r="C1294" s="2">
        <v>1.247548488639442E-5</v>
      </c>
      <c r="D1294" s="2"/>
      <c r="E1294" s="2">
        <v>0.30204246217230041</v>
      </c>
      <c r="F1294" s="3">
        <v>117.2967288343458</v>
      </c>
      <c r="G1294" s="3">
        <v>1</v>
      </c>
      <c r="H1294" s="2">
        <v>5.4188793757450959E-5</v>
      </c>
      <c r="I1294" s="4">
        <v>-5.5511151231257827E-17</v>
      </c>
      <c r="J1294" s="4">
        <v>0.30204246217230041</v>
      </c>
      <c r="K1294" s="5">
        <v>1</v>
      </c>
      <c r="L1294" s="5">
        <v>0</v>
      </c>
      <c r="M1294" s="5">
        <v>0</v>
      </c>
    </row>
    <row r="1295" spans="1:13" hidden="1" x14ac:dyDescent="0.25">
      <c r="A1295" t="s">
        <v>1306</v>
      </c>
      <c r="B1295" s="1">
        <v>4.3634075466666228E-2</v>
      </c>
      <c r="C1295" s="2">
        <v>1.243288775717058E-5</v>
      </c>
      <c r="D1295" s="2"/>
      <c r="E1295" s="2">
        <v>0.32677907770377052</v>
      </c>
      <c r="F1295" s="3">
        <v>119.52516927970071</v>
      </c>
      <c r="G1295" s="3">
        <v>1</v>
      </c>
      <c r="H1295" s="2">
        <v>5.4188793757450959E-5</v>
      </c>
      <c r="I1295" s="4">
        <v>-1.110223024625157E-16</v>
      </c>
      <c r="J1295" s="4">
        <v>0.32677907770377063</v>
      </c>
      <c r="K1295" s="5">
        <v>1</v>
      </c>
      <c r="L1295" s="5">
        <v>0</v>
      </c>
      <c r="M1295" s="5">
        <v>0</v>
      </c>
    </row>
    <row r="1296" spans="1:13" hidden="1" x14ac:dyDescent="0.25">
      <c r="A1296" t="s">
        <v>1307</v>
      </c>
      <c r="B1296" s="1">
        <v>4.3601615416898311E-2</v>
      </c>
      <c r="C1296" s="2">
        <v>1.2423638743617741E-5</v>
      </c>
      <c r="D1296" s="2"/>
      <c r="E1296" s="2">
        <v>-0.68625564831581432</v>
      </c>
      <c r="F1296" s="3">
        <v>28.264198144052251</v>
      </c>
      <c r="G1296" s="3">
        <v>2</v>
      </c>
      <c r="H1296" s="2">
        <v>1.083775875149019E-4</v>
      </c>
      <c r="I1296" s="4">
        <v>-2.2204460492503131E-16</v>
      </c>
      <c r="J1296" s="4">
        <v>-0.68625564831581409</v>
      </c>
      <c r="K1296" s="5">
        <v>2</v>
      </c>
      <c r="L1296" s="5">
        <v>0</v>
      </c>
      <c r="M1296" s="5">
        <v>1</v>
      </c>
    </row>
    <row r="1297" spans="1:13" hidden="1" x14ac:dyDescent="0.25">
      <c r="A1297" t="s">
        <v>1308</v>
      </c>
      <c r="B1297" s="1">
        <v>4.3546537437363773E-2</v>
      </c>
      <c r="C1297" s="2">
        <v>1.2407945083786039E-5</v>
      </c>
      <c r="D1297" s="2"/>
      <c r="E1297" s="2">
        <v>0.85534801566714935</v>
      </c>
      <c r="F1297" s="3">
        <v>167.14220880628429</v>
      </c>
      <c r="G1297" s="3">
        <v>1</v>
      </c>
      <c r="H1297" s="2">
        <v>5.4188793757450959E-5</v>
      </c>
      <c r="I1297" s="4">
        <v>1.110223024625157E-16</v>
      </c>
      <c r="J1297" s="4">
        <v>0.85534801566714913</v>
      </c>
      <c r="K1297" s="5">
        <v>1</v>
      </c>
      <c r="L1297" s="5">
        <v>0</v>
      </c>
      <c r="M1297" s="5">
        <v>0</v>
      </c>
    </row>
    <row r="1298" spans="1:13" hidden="1" x14ac:dyDescent="0.25">
      <c r="A1298" t="s">
        <v>1309</v>
      </c>
      <c r="B1298" s="1">
        <v>4.3540988295766261E-2</v>
      </c>
      <c r="C1298" s="2">
        <v>1.240636393753984E-5</v>
      </c>
      <c r="D1298" s="2"/>
      <c r="E1298" s="2">
        <v>-0.56016875967663493</v>
      </c>
      <c r="F1298" s="3">
        <v>39.622951806818023</v>
      </c>
      <c r="G1298" s="3">
        <v>1</v>
      </c>
      <c r="H1298" s="2">
        <v>5.4188793757450959E-5</v>
      </c>
      <c r="I1298" s="4">
        <v>0</v>
      </c>
      <c r="J1298" s="4">
        <v>-0.56016875967663493</v>
      </c>
      <c r="K1298" s="5">
        <v>1</v>
      </c>
      <c r="L1298" s="5">
        <v>0</v>
      </c>
      <c r="M1298" s="5">
        <v>0</v>
      </c>
    </row>
    <row r="1299" spans="1:13" hidden="1" x14ac:dyDescent="0.25">
      <c r="A1299" t="s">
        <v>1310</v>
      </c>
      <c r="B1299" s="1">
        <v>4.3424504923605327E-2</v>
      </c>
      <c r="C1299" s="2">
        <v>1.237317371461969E-5</v>
      </c>
      <c r="D1299" s="2"/>
      <c r="E1299" s="2">
        <v>0.11244302759352109</v>
      </c>
      <c r="F1299" s="3">
        <v>100.2163385160235</v>
      </c>
      <c r="G1299" s="3">
        <v>1</v>
      </c>
      <c r="H1299" s="2">
        <v>5.4188793757450959E-5</v>
      </c>
      <c r="I1299" s="4">
        <v>0</v>
      </c>
      <c r="J1299" s="4">
        <v>0.11244302759352109</v>
      </c>
      <c r="K1299" s="5">
        <v>1</v>
      </c>
      <c r="L1299" s="5">
        <v>0</v>
      </c>
      <c r="M1299" s="5">
        <v>0</v>
      </c>
    </row>
    <row r="1300" spans="1:13" hidden="1" x14ac:dyDescent="0.25">
      <c r="A1300" t="s">
        <v>1311</v>
      </c>
      <c r="B1300" s="1">
        <v>4.3358161019004929E-2</v>
      </c>
      <c r="C1300" s="2">
        <v>1.2354269995211231E-5</v>
      </c>
      <c r="D1300" s="2"/>
      <c r="E1300" s="2">
        <v>0.25477536691546582</v>
      </c>
      <c r="F1300" s="3">
        <v>113.0385914723137</v>
      </c>
      <c r="G1300" s="3">
        <v>1</v>
      </c>
      <c r="H1300" s="2">
        <v>5.4188793757450959E-5</v>
      </c>
      <c r="I1300" s="4">
        <v>0</v>
      </c>
      <c r="J1300" s="4">
        <v>0.25477536691546582</v>
      </c>
      <c r="K1300" s="5">
        <v>1</v>
      </c>
      <c r="L1300" s="5">
        <v>0</v>
      </c>
      <c r="M1300" s="5">
        <v>0</v>
      </c>
    </row>
    <row r="1301" spans="1:13" hidden="1" x14ac:dyDescent="0.25">
      <c r="A1301" t="s">
        <v>1312</v>
      </c>
      <c r="B1301" s="1">
        <v>4.3229217872003053E-2</v>
      </c>
      <c r="C1301" s="2">
        <v>1.231752954278763E-5</v>
      </c>
      <c r="D1301" s="2"/>
      <c r="E1301" s="2">
        <v>0.33311501621054851</v>
      </c>
      <c r="F1301" s="3">
        <v>120.0959531692682</v>
      </c>
      <c r="G1301" s="3">
        <v>7</v>
      </c>
      <c r="H1301" s="2">
        <v>3.7932155630215669E-4</v>
      </c>
      <c r="I1301" s="4">
        <v>3.3306690738754701E-16</v>
      </c>
      <c r="J1301" s="4">
        <v>0.33311501621054818</v>
      </c>
      <c r="K1301" s="5">
        <v>7</v>
      </c>
      <c r="L1301" s="5">
        <v>0</v>
      </c>
      <c r="M1301" s="5">
        <v>0</v>
      </c>
    </row>
    <row r="1302" spans="1:13" hidden="1" x14ac:dyDescent="0.25">
      <c r="A1302" t="s">
        <v>1313</v>
      </c>
      <c r="B1302" s="1">
        <v>4.3167927249129753E-2</v>
      </c>
      <c r="C1302" s="2">
        <v>1.230006568165156E-5</v>
      </c>
      <c r="D1302" s="2"/>
      <c r="E1302" s="2">
        <v>-0.80812404990843656</v>
      </c>
      <c r="F1302" s="3">
        <v>17.285474123611401</v>
      </c>
      <c r="G1302" s="3">
        <v>2</v>
      </c>
      <c r="H1302" s="2">
        <v>1.083775875149019E-4</v>
      </c>
      <c r="I1302" s="4">
        <v>-0.84965286359722048</v>
      </c>
      <c r="J1302" s="4">
        <v>4.1528813688783847E-2</v>
      </c>
      <c r="K1302" s="5">
        <v>2</v>
      </c>
      <c r="L1302" s="5">
        <v>1</v>
      </c>
      <c r="M1302" s="5">
        <v>0</v>
      </c>
    </row>
    <row r="1303" spans="1:13" hidden="1" x14ac:dyDescent="0.25">
      <c r="A1303" t="s">
        <v>1314</v>
      </c>
      <c r="B1303" s="1">
        <v>4.3054928544031451E-2</v>
      </c>
      <c r="C1303" s="2">
        <v>1.2267868363336289E-5</v>
      </c>
      <c r="D1303" s="2"/>
      <c r="E1303" s="2">
        <v>-0.37146877816536639</v>
      </c>
      <c r="F1303" s="3">
        <v>56.622313352558713</v>
      </c>
      <c r="G1303" s="3">
        <v>1</v>
      </c>
      <c r="H1303" s="2">
        <v>5.4188793757450959E-5</v>
      </c>
      <c r="I1303" s="4">
        <v>0</v>
      </c>
      <c r="J1303" s="4">
        <v>-0.37146877816536639</v>
      </c>
      <c r="K1303" s="5">
        <v>1</v>
      </c>
      <c r="L1303" s="5">
        <v>0</v>
      </c>
      <c r="M1303" s="5">
        <v>1</v>
      </c>
    </row>
    <row r="1304" spans="1:13" hidden="1" x14ac:dyDescent="0.25">
      <c r="A1304" t="s">
        <v>1315</v>
      </c>
      <c r="B1304" s="1">
        <v>4.2917624634567622E-2</v>
      </c>
      <c r="C1304" s="2">
        <v>1.222874563467234E-5</v>
      </c>
      <c r="D1304" s="2"/>
      <c r="E1304" s="2">
        <v>0.27338469248322222</v>
      </c>
      <c r="F1304" s="3">
        <v>114.71504449003589</v>
      </c>
      <c r="G1304" s="3">
        <v>2</v>
      </c>
      <c r="H1304" s="2">
        <v>1.083775875149019E-4</v>
      </c>
      <c r="I1304" s="4">
        <v>-2.2204460492503131E-16</v>
      </c>
      <c r="J1304" s="4">
        <v>0.27338469248322239</v>
      </c>
      <c r="K1304" s="5">
        <v>2</v>
      </c>
      <c r="L1304" s="5">
        <v>0</v>
      </c>
      <c r="M1304" s="5">
        <v>0</v>
      </c>
    </row>
    <row r="1305" spans="1:13" hidden="1" x14ac:dyDescent="0.25">
      <c r="A1305" t="s">
        <v>1316</v>
      </c>
      <c r="B1305" s="1">
        <v>4.2854087959971601E-2</v>
      </c>
      <c r="C1305" s="2">
        <v>1.221064179414707E-5</v>
      </c>
      <c r="D1305" s="2"/>
      <c r="E1305" s="2">
        <v>0.37758626410579937</v>
      </c>
      <c r="F1305" s="3">
        <v>124.102221825508</v>
      </c>
      <c r="G1305" s="3">
        <v>1</v>
      </c>
      <c r="H1305" s="2">
        <v>5.4188793757450959E-5</v>
      </c>
      <c r="I1305" s="4">
        <v>5.5511151231257827E-17</v>
      </c>
      <c r="J1305" s="4">
        <v>0.37758626410579937</v>
      </c>
      <c r="K1305" s="5">
        <v>1</v>
      </c>
      <c r="L1305" s="5">
        <v>0</v>
      </c>
      <c r="M1305" s="5">
        <v>0</v>
      </c>
    </row>
    <row r="1306" spans="1:13" hidden="1" x14ac:dyDescent="0.25">
      <c r="A1306" t="s">
        <v>1317</v>
      </c>
      <c r="B1306" s="1">
        <v>4.2723994398000641E-2</v>
      </c>
      <c r="C1306" s="2">
        <v>1.217357354790564E-5</v>
      </c>
      <c r="D1306" s="2"/>
      <c r="E1306" s="2">
        <v>-0.22605576460738991</v>
      </c>
      <c r="F1306" s="3">
        <v>69.722094132241082</v>
      </c>
      <c r="G1306" s="3">
        <v>1</v>
      </c>
      <c r="H1306" s="2">
        <v>5.4188793757450959E-5</v>
      </c>
      <c r="I1306" s="4">
        <v>0</v>
      </c>
      <c r="J1306" s="4">
        <v>-0.22605576460738991</v>
      </c>
      <c r="K1306" s="5">
        <v>1</v>
      </c>
      <c r="L1306" s="5">
        <v>0</v>
      </c>
      <c r="M1306" s="5">
        <v>0</v>
      </c>
    </row>
    <row r="1307" spans="1:13" hidden="1" x14ac:dyDescent="0.25">
      <c r="A1307" t="s">
        <v>1318</v>
      </c>
      <c r="B1307" s="1">
        <v>4.2688545161183769E-2</v>
      </c>
      <c r="C1307" s="2">
        <v>1.2163472809487149E-5</v>
      </c>
      <c r="D1307" s="2"/>
      <c r="E1307" s="2">
        <v>-0.31508082563366041</v>
      </c>
      <c r="F1307" s="3">
        <v>61.702118788858087</v>
      </c>
      <c r="G1307" s="3">
        <v>1</v>
      </c>
      <c r="H1307" s="2">
        <v>5.4188793757450959E-5</v>
      </c>
      <c r="I1307" s="4">
        <v>-5.5511151231257827E-17</v>
      </c>
      <c r="J1307" s="4">
        <v>-0.3150808256336603</v>
      </c>
      <c r="K1307" s="5">
        <v>1</v>
      </c>
      <c r="L1307" s="5">
        <v>0</v>
      </c>
      <c r="M1307" s="5">
        <v>0</v>
      </c>
    </row>
    <row r="1308" spans="1:13" hidden="1" x14ac:dyDescent="0.25">
      <c r="A1308" t="s">
        <v>1319</v>
      </c>
      <c r="B1308" s="1">
        <v>4.2635361317063088E-2</v>
      </c>
      <c r="C1308" s="2">
        <v>1.214831885567066E-5</v>
      </c>
      <c r="D1308" s="2"/>
      <c r="E1308" s="2">
        <v>-0.55970818061025129</v>
      </c>
      <c r="F1308" s="3">
        <v>39.664443862127982</v>
      </c>
      <c r="G1308" s="3">
        <v>2</v>
      </c>
      <c r="H1308" s="2">
        <v>1.083775875149019E-4</v>
      </c>
      <c r="I1308" s="4">
        <v>2.2204460492503131E-16</v>
      </c>
      <c r="J1308" s="4">
        <v>-0.55970818061025152</v>
      </c>
      <c r="K1308" s="5">
        <v>2</v>
      </c>
      <c r="L1308" s="5">
        <v>0</v>
      </c>
      <c r="M1308" s="5">
        <v>0</v>
      </c>
    </row>
    <row r="1309" spans="1:13" hidden="1" x14ac:dyDescent="0.25">
      <c r="A1309" t="s">
        <v>1320</v>
      </c>
      <c r="B1309" s="1">
        <v>4.2630332236608268E-2</v>
      </c>
      <c r="C1309" s="2">
        <v>1.2146885893194709E-5</v>
      </c>
      <c r="D1309" s="2"/>
      <c r="E1309" s="2">
        <v>0.70426408303210475</v>
      </c>
      <c r="F1309" s="3">
        <v>153.53155355318839</v>
      </c>
      <c r="G1309" s="3">
        <v>1</v>
      </c>
      <c r="H1309" s="2">
        <v>5.4188793757450959E-5</v>
      </c>
      <c r="I1309" s="4">
        <v>-1.110223024625157E-16</v>
      </c>
      <c r="J1309" s="4">
        <v>0.70426408303210486</v>
      </c>
      <c r="K1309" s="5">
        <v>1</v>
      </c>
      <c r="L1309" s="5">
        <v>0</v>
      </c>
      <c r="M1309" s="5">
        <v>1</v>
      </c>
    </row>
    <row r="1310" spans="1:13" hidden="1" x14ac:dyDescent="0.25">
      <c r="A1310" t="s">
        <v>1321</v>
      </c>
      <c r="B1310" s="1">
        <v>4.2623611977290102E-2</v>
      </c>
      <c r="C1310" s="2">
        <v>1.214497105418624E-5</v>
      </c>
      <c r="D1310" s="2"/>
      <c r="E1310" s="2">
        <v>-0.42958059790294478</v>
      </c>
      <c r="F1310" s="3">
        <v>51.387210381756283</v>
      </c>
      <c r="G1310" s="3">
        <v>1</v>
      </c>
      <c r="H1310" s="2">
        <v>5.4188793757450959E-5</v>
      </c>
      <c r="I1310" s="4">
        <v>0</v>
      </c>
      <c r="J1310" s="4">
        <v>-0.42958059790294478</v>
      </c>
      <c r="K1310" s="5">
        <v>1</v>
      </c>
      <c r="L1310" s="5">
        <v>0</v>
      </c>
      <c r="M1310" s="5">
        <v>0</v>
      </c>
    </row>
    <row r="1311" spans="1:13" hidden="1" x14ac:dyDescent="0.25">
      <c r="A1311" t="s">
        <v>1322</v>
      </c>
      <c r="B1311" s="1">
        <v>4.259782319529077E-2</v>
      </c>
      <c r="C1311" s="2">
        <v>1.2137622920220699E-5</v>
      </c>
      <c r="D1311" s="2"/>
      <c r="E1311" s="2">
        <v>-0.50102698535986989</v>
      </c>
      <c r="F1311" s="3">
        <v>44.95084000275434</v>
      </c>
      <c r="G1311" s="3">
        <v>7</v>
      </c>
      <c r="H1311" s="2">
        <v>3.7932155630215669E-4</v>
      </c>
      <c r="I1311" s="4">
        <v>-0.14904178162375989</v>
      </c>
      <c r="J1311" s="4">
        <v>-0.35198520373610998</v>
      </c>
      <c r="K1311" s="5">
        <v>7</v>
      </c>
      <c r="L1311" s="5">
        <v>0</v>
      </c>
      <c r="M1311" s="5">
        <v>0</v>
      </c>
    </row>
    <row r="1312" spans="1:13" hidden="1" x14ac:dyDescent="0.25">
      <c r="A1312" t="s">
        <v>1323</v>
      </c>
      <c r="B1312" s="1">
        <v>4.2593860797494901E-2</v>
      </c>
      <c r="C1312" s="2">
        <v>1.2136493893272869E-5</v>
      </c>
      <c r="D1312" s="2"/>
      <c r="E1312" s="2">
        <v>-0.56224350451608851</v>
      </c>
      <c r="F1312" s="3">
        <v>39.436044858769783</v>
      </c>
      <c r="G1312" s="3">
        <v>3</v>
      </c>
      <c r="H1312" s="2">
        <v>1.6256638127235291E-4</v>
      </c>
      <c r="I1312" s="4">
        <v>1.110223024625157E-16</v>
      </c>
      <c r="J1312" s="4">
        <v>-0.56224350451608862</v>
      </c>
      <c r="K1312" s="5">
        <v>3</v>
      </c>
      <c r="L1312" s="5">
        <v>0</v>
      </c>
      <c r="M1312" s="5">
        <v>0</v>
      </c>
    </row>
    <row r="1313" spans="1:13" hidden="1" x14ac:dyDescent="0.25">
      <c r="A1313" t="s">
        <v>1324</v>
      </c>
      <c r="B1313" s="1">
        <v>4.2539891030642367E-2</v>
      </c>
      <c r="C1313" s="2">
        <v>1.2121116002338281E-5</v>
      </c>
      <c r="D1313" s="2"/>
      <c r="E1313" s="2">
        <v>-0.45247334537887662</v>
      </c>
      <c r="F1313" s="3">
        <v>49.32487795330573</v>
      </c>
      <c r="G1313" s="3">
        <v>2</v>
      </c>
      <c r="H1313" s="2">
        <v>1.083775875149019E-4</v>
      </c>
      <c r="I1313" s="4">
        <v>1.110223024625157E-16</v>
      </c>
      <c r="J1313" s="4">
        <v>-0.45247334537887668</v>
      </c>
      <c r="K1313" s="5">
        <v>2</v>
      </c>
      <c r="L1313" s="5">
        <v>0</v>
      </c>
      <c r="M1313" s="5">
        <v>0</v>
      </c>
    </row>
    <row r="1314" spans="1:13" hidden="1" x14ac:dyDescent="0.25">
      <c r="A1314" t="s">
        <v>1325</v>
      </c>
      <c r="B1314" s="1">
        <v>4.241466027167326E-2</v>
      </c>
      <c r="C1314" s="2">
        <v>1.208543334025924E-5</v>
      </c>
      <c r="D1314" s="2"/>
      <c r="E1314" s="2">
        <v>-9.4856598540050463E-2</v>
      </c>
      <c r="F1314" s="3">
        <v>81.541396077139211</v>
      </c>
      <c r="G1314" s="3">
        <v>3</v>
      </c>
      <c r="H1314" s="2">
        <v>1.6256638127235291E-4</v>
      </c>
      <c r="I1314" s="4">
        <v>-1.2490009027033011E-16</v>
      </c>
      <c r="J1314" s="4">
        <v>-9.4856598540050338E-2</v>
      </c>
      <c r="K1314" s="5">
        <v>3</v>
      </c>
      <c r="L1314" s="5">
        <v>0</v>
      </c>
      <c r="M1314" s="5">
        <v>3</v>
      </c>
    </row>
    <row r="1315" spans="1:13" hidden="1" x14ac:dyDescent="0.25">
      <c r="A1315" t="s">
        <v>1326</v>
      </c>
      <c r="B1315" s="1">
        <v>4.2347718201921347E-2</v>
      </c>
      <c r="C1315" s="2">
        <v>1.2066359182492481E-5</v>
      </c>
      <c r="D1315" s="2"/>
      <c r="E1315" s="2">
        <v>0.82568001518798417</v>
      </c>
      <c r="F1315" s="3">
        <v>164.46951608821729</v>
      </c>
      <c r="G1315" s="3">
        <v>1</v>
      </c>
      <c r="H1315" s="2">
        <v>5.4188793757450959E-5</v>
      </c>
      <c r="I1315" s="4">
        <v>0</v>
      </c>
      <c r="J1315" s="4">
        <v>0.82568001518798417</v>
      </c>
      <c r="K1315" s="5">
        <v>1</v>
      </c>
      <c r="L1315" s="5">
        <v>0</v>
      </c>
      <c r="M1315" s="5">
        <v>0</v>
      </c>
    </row>
    <row r="1316" spans="1:13" hidden="1" x14ac:dyDescent="0.25">
      <c r="A1316" t="s">
        <v>1327</v>
      </c>
      <c r="B1316" s="1">
        <v>4.2325017567759041E-2</v>
      </c>
      <c r="C1316" s="2">
        <v>1.2059890970813E-5</v>
      </c>
      <c r="D1316" s="2"/>
      <c r="E1316" s="2">
        <v>-0.36551485391655131</v>
      </c>
      <c r="F1316" s="3">
        <v>57.158682832359197</v>
      </c>
      <c r="G1316" s="3">
        <v>2</v>
      </c>
      <c r="H1316" s="2">
        <v>1.083775875149019E-4</v>
      </c>
      <c r="I1316" s="4">
        <v>0</v>
      </c>
      <c r="J1316" s="4">
        <v>-0.36551485391655131</v>
      </c>
      <c r="K1316" s="5">
        <v>2</v>
      </c>
      <c r="L1316" s="5">
        <v>0</v>
      </c>
      <c r="M1316" s="5">
        <v>0</v>
      </c>
    </row>
    <row r="1317" spans="1:13" hidden="1" x14ac:dyDescent="0.25">
      <c r="A1317" t="s">
        <v>1328</v>
      </c>
      <c r="B1317" s="1">
        <v>4.2302384299154179E-2</v>
      </c>
      <c r="C1317" s="2">
        <v>1.205344195395788E-5</v>
      </c>
      <c r="D1317" s="2"/>
      <c r="E1317" s="2">
        <v>-0.1245826968396397</v>
      </c>
      <c r="F1317" s="3">
        <v>78.86346951725362</v>
      </c>
      <c r="G1317" s="3">
        <v>1</v>
      </c>
      <c r="H1317" s="2">
        <v>5.4188793757450959E-5</v>
      </c>
      <c r="I1317" s="4">
        <v>-1.387778780781446E-17</v>
      </c>
      <c r="J1317" s="4">
        <v>-0.1245826968396397</v>
      </c>
      <c r="K1317" s="5">
        <v>1</v>
      </c>
      <c r="L1317" s="5">
        <v>1</v>
      </c>
      <c r="M1317" s="5">
        <v>0</v>
      </c>
    </row>
    <row r="1318" spans="1:13" hidden="1" x14ac:dyDescent="0.25">
      <c r="A1318" t="s">
        <v>1329</v>
      </c>
      <c r="B1318" s="1">
        <v>4.2262814931140411E-2</v>
      </c>
      <c r="C1318" s="2">
        <v>1.204216724477989E-5</v>
      </c>
      <c r="D1318" s="2"/>
      <c r="E1318" s="2">
        <v>1.735840273923307</v>
      </c>
      <c r="F1318" s="3">
        <v>246.46286435933359</v>
      </c>
      <c r="G1318" s="3">
        <v>1</v>
      </c>
      <c r="H1318" s="2">
        <v>5.4188793757450959E-5</v>
      </c>
      <c r="I1318" s="4">
        <v>1.735840273923307</v>
      </c>
      <c r="J1318" s="4">
        <v>0</v>
      </c>
      <c r="K1318" s="5">
        <v>1</v>
      </c>
      <c r="L1318" s="5">
        <v>0</v>
      </c>
      <c r="M1318" s="5">
        <v>0</v>
      </c>
    </row>
    <row r="1319" spans="1:13" hidden="1" x14ac:dyDescent="0.25">
      <c r="A1319" t="s">
        <v>1330</v>
      </c>
      <c r="B1319" s="1">
        <v>4.2242353743941627E-2</v>
      </c>
      <c r="C1319" s="2">
        <v>1.2036337130560661E-5</v>
      </c>
      <c r="D1319" s="2"/>
      <c r="E1319" s="2">
        <v>0.33146030462014808</v>
      </c>
      <c r="F1319" s="3">
        <v>119.9468856370201</v>
      </c>
      <c r="G1319" s="3">
        <v>1</v>
      </c>
      <c r="H1319" s="2">
        <v>5.4188793757450959E-5</v>
      </c>
      <c r="I1319" s="4">
        <v>1.110223024625157E-16</v>
      </c>
      <c r="J1319" s="4">
        <v>0.33146030462014803</v>
      </c>
      <c r="K1319" s="5">
        <v>1</v>
      </c>
      <c r="L1319" s="5">
        <v>0</v>
      </c>
      <c r="M1319" s="5">
        <v>0</v>
      </c>
    </row>
    <row r="1320" spans="1:13" hidden="1" x14ac:dyDescent="0.25">
      <c r="A1320" t="s">
        <v>1331</v>
      </c>
      <c r="B1320" s="1">
        <v>4.2197180109111443E-2</v>
      </c>
      <c r="C1320" s="2">
        <v>1.2023465568016469E-5</v>
      </c>
      <c r="D1320" s="2"/>
      <c r="E1320" s="2">
        <v>-7.4613534546912774E-2</v>
      </c>
      <c r="F1320" s="3">
        <v>83.365027223559665</v>
      </c>
      <c r="G1320" s="3">
        <v>1</v>
      </c>
      <c r="H1320" s="2">
        <v>5.4188793757450959E-5</v>
      </c>
      <c r="I1320" s="4">
        <v>0</v>
      </c>
      <c r="J1320" s="4">
        <v>-7.4613534546912774E-2</v>
      </c>
      <c r="K1320" s="5">
        <v>1</v>
      </c>
      <c r="L1320" s="5">
        <v>0</v>
      </c>
      <c r="M1320" s="5">
        <v>0</v>
      </c>
    </row>
    <row r="1321" spans="1:13" hidden="1" x14ac:dyDescent="0.25">
      <c r="A1321" t="s">
        <v>1332</v>
      </c>
      <c r="B1321" s="1">
        <v>4.2103611973532268E-2</v>
      </c>
      <c r="C1321" s="2">
        <v>1.199680470457748E-5</v>
      </c>
      <c r="D1321" s="2"/>
      <c r="E1321" s="2">
        <v>2.1393562280093499</v>
      </c>
      <c r="F1321" s="3">
        <v>282.81429130726639</v>
      </c>
      <c r="G1321" s="3">
        <v>1</v>
      </c>
      <c r="H1321" s="2">
        <v>5.4188793757450959E-5</v>
      </c>
      <c r="I1321" s="4">
        <v>0</v>
      </c>
      <c r="J1321" s="4">
        <v>2.1393562280093499</v>
      </c>
      <c r="K1321" s="5">
        <v>1</v>
      </c>
      <c r="L1321" s="5">
        <v>0</v>
      </c>
      <c r="M1321" s="5">
        <v>0</v>
      </c>
    </row>
    <row r="1322" spans="1:13" hidden="1" x14ac:dyDescent="0.25">
      <c r="A1322" t="s">
        <v>1333</v>
      </c>
      <c r="B1322" s="1">
        <v>4.1943880036675242E-2</v>
      </c>
      <c r="C1322" s="2">
        <v>1.195129143952168E-5</v>
      </c>
      <c r="D1322" s="2"/>
      <c r="E1322" s="2">
        <v>-0.16947238063268311</v>
      </c>
      <c r="F1322" s="3">
        <v>74.819505345342179</v>
      </c>
      <c r="G1322" s="3">
        <v>1</v>
      </c>
      <c r="H1322" s="2">
        <v>5.4188793757450959E-5</v>
      </c>
      <c r="I1322" s="4">
        <v>0</v>
      </c>
      <c r="J1322" s="4">
        <v>-0.16947238063268311</v>
      </c>
      <c r="K1322" s="5">
        <v>1</v>
      </c>
      <c r="L1322" s="5">
        <v>0</v>
      </c>
      <c r="M1322" s="5">
        <v>0</v>
      </c>
    </row>
    <row r="1323" spans="1:13" hidden="1" x14ac:dyDescent="0.25">
      <c r="A1323" t="s">
        <v>1334</v>
      </c>
      <c r="B1323" s="1">
        <v>4.1942657862813829E-2</v>
      </c>
      <c r="C1323" s="2">
        <v>1.195094319906337E-5</v>
      </c>
      <c r="D1323" s="2"/>
      <c r="E1323" s="2">
        <v>-0.83554854939405987</v>
      </c>
      <c r="F1323" s="3">
        <v>14.814891041231769</v>
      </c>
      <c r="G1323" s="3">
        <v>4</v>
      </c>
      <c r="H1323" s="2">
        <v>2.1675517502980381E-4</v>
      </c>
      <c r="I1323" s="4">
        <v>-0.59964131676479659</v>
      </c>
      <c r="J1323" s="4">
        <v>-0.23590723262926341</v>
      </c>
      <c r="K1323" s="5">
        <v>4</v>
      </c>
      <c r="L1323" s="5">
        <v>0</v>
      </c>
      <c r="M1323" s="5">
        <v>0</v>
      </c>
    </row>
    <row r="1324" spans="1:13" hidden="1" x14ac:dyDescent="0.25">
      <c r="A1324" t="s">
        <v>1335</v>
      </c>
      <c r="B1324" s="1">
        <v>4.1887119531273991E-2</v>
      </c>
      <c r="C1324" s="2">
        <v>1.1935118368701541E-5</v>
      </c>
      <c r="D1324" s="2"/>
      <c r="E1324" s="2">
        <v>0.45709173161932037</v>
      </c>
      <c r="F1324" s="3">
        <v>131.26460825660979</v>
      </c>
      <c r="G1324" s="3">
        <v>2</v>
      </c>
      <c r="H1324" s="2">
        <v>1.083775875149019E-4</v>
      </c>
      <c r="I1324" s="4">
        <v>-2.2204460492503131E-16</v>
      </c>
      <c r="J1324" s="4">
        <v>0.4570917316193206</v>
      </c>
      <c r="K1324" s="5">
        <v>2</v>
      </c>
      <c r="L1324" s="5">
        <v>0</v>
      </c>
      <c r="M1324" s="5">
        <v>0</v>
      </c>
    </row>
    <row r="1325" spans="1:13" hidden="1" x14ac:dyDescent="0.25">
      <c r="A1325" t="s">
        <v>1336</v>
      </c>
      <c r="B1325" s="1">
        <v>4.1777042896189491E-2</v>
      </c>
      <c r="C1325" s="2">
        <v>1.190375365124034E-5</v>
      </c>
      <c r="D1325" s="2"/>
      <c r="E1325" s="2">
        <v>1.6397240003715541</v>
      </c>
      <c r="F1325" s="3">
        <v>237.80406497074969</v>
      </c>
      <c r="G1325" s="3">
        <v>1</v>
      </c>
      <c r="H1325" s="2">
        <v>5.4188793757450959E-5</v>
      </c>
      <c r="I1325" s="4">
        <v>-2.2204460492503131E-16</v>
      </c>
      <c r="J1325" s="4">
        <v>1.6397240003715541</v>
      </c>
      <c r="K1325" s="5">
        <v>1</v>
      </c>
      <c r="L1325" s="5">
        <v>0</v>
      </c>
      <c r="M1325" s="5">
        <v>0</v>
      </c>
    </row>
    <row r="1326" spans="1:13" hidden="1" x14ac:dyDescent="0.25">
      <c r="A1326" t="s">
        <v>1337</v>
      </c>
      <c r="B1326" s="1">
        <v>4.1722305854492742E-2</v>
      </c>
      <c r="C1326" s="2">
        <v>1.188815713662883E-5</v>
      </c>
      <c r="D1326" s="2"/>
      <c r="E1326" s="2">
        <v>-0.15192927979145029</v>
      </c>
      <c r="F1326" s="3">
        <v>76.399905679486864</v>
      </c>
      <c r="G1326" s="3">
        <v>1</v>
      </c>
      <c r="H1326" s="2">
        <v>5.4188793757450959E-5</v>
      </c>
      <c r="I1326" s="4">
        <v>1.3877787807814459E-16</v>
      </c>
      <c r="J1326" s="4">
        <v>-0.15192927979145049</v>
      </c>
      <c r="K1326" s="5">
        <v>1</v>
      </c>
      <c r="L1326" s="5">
        <v>0</v>
      </c>
      <c r="M1326" s="5">
        <v>0</v>
      </c>
    </row>
    <row r="1327" spans="1:13" hidden="1" x14ac:dyDescent="0.25">
      <c r="A1327" t="s">
        <v>1338</v>
      </c>
      <c r="B1327" s="1">
        <v>4.1693927530079097E-2</v>
      </c>
      <c r="C1327" s="2">
        <v>1.1880071150655761E-5</v>
      </c>
      <c r="D1327" s="2"/>
      <c r="E1327" s="2">
        <v>1.688794549806699</v>
      </c>
      <c r="F1327" s="3">
        <v>242.2246695962269</v>
      </c>
      <c r="G1327" s="3">
        <v>1</v>
      </c>
      <c r="H1327" s="2">
        <v>5.4188793757450959E-5</v>
      </c>
      <c r="I1327" s="4">
        <v>0</v>
      </c>
      <c r="J1327" s="4">
        <v>1.688794549806699</v>
      </c>
      <c r="K1327" s="5">
        <v>1</v>
      </c>
      <c r="L1327" s="5">
        <v>0</v>
      </c>
      <c r="M1327" s="5">
        <v>0</v>
      </c>
    </row>
    <row r="1328" spans="1:13" hidden="1" x14ac:dyDescent="0.25">
      <c r="A1328" t="s">
        <v>1339</v>
      </c>
      <c r="B1328" s="1">
        <v>4.1610394686164218E-2</v>
      </c>
      <c r="C1328" s="2">
        <v>1.185626969591371E-5</v>
      </c>
      <c r="D1328" s="2"/>
      <c r="E1328" s="2">
        <v>-0.43728709046873138</v>
      </c>
      <c r="F1328" s="3">
        <v>50.69295777862316</v>
      </c>
      <c r="G1328" s="3">
        <v>1</v>
      </c>
      <c r="H1328" s="2">
        <v>5.4188793757450959E-5</v>
      </c>
      <c r="I1328" s="4">
        <v>0</v>
      </c>
      <c r="J1328" s="4">
        <v>-0.43728709046873138</v>
      </c>
      <c r="K1328" s="5">
        <v>1</v>
      </c>
      <c r="L1328" s="5">
        <v>0</v>
      </c>
      <c r="M1328" s="5">
        <v>0</v>
      </c>
    </row>
    <row r="1329" spans="1:13" hidden="1" x14ac:dyDescent="0.25">
      <c r="A1329" t="s">
        <v>1340</v>
      </c>
      <c r="B1329" s="1">
        <v>4.1553696574482643E-2</v>
      </c>
      <c r="C1329" s="2">
        <v>1.184011440326591E-5</v>
      </c>
      <c r="D1329" s="2"/>
      <c r="E1329" s="2">
        <v>-0.1079094172208251</v>
      </c>
      <c r="F1329" s="3">
        <v>80.36551051441468</v>
      </c>
      <c r="G1329" s="3">
        <v>1</v>
      </c>
      <c r="H1329" s="2">
        <v>5.4188793757450959E-5</v>
      </c>
      <c r="I1329" s="4">
        <v>0</v>
      </c>
      <c r="J1329" s="4">
        <v>-0.1079094172208251</v>
      </c>
      <c r="K1329" s="5">
        <v>1</v>
      </c>
      <c r="L1329" s="5">
        <v>0</v>
      </c>
      <c r="M1329" s="5">
        <v>1</v>
      </c>
    </row>
    <row r="1330" spans="1:13" hidden="1" x14ac:dyDescent="0.25">
      <c r="A1330" t="s">
        <v>1341</v>
      </c>
      <c r="B1330" s="1">
        <v>4.1540806574108927E-2</v>
      </c>
      <c r="C1330" s="2">
        <v>1.18364415873274E-5</v>
      </c>
      <c r="D1330" s="2"/>
      <c r="E1330" s="2">
        <v>1.8162477356858551</v>
      </c>
      <c r="F1330" s="3">
        <v>253.7065084897134</v>
      </c>
      <c r="G1330" s="3">
        <v>1</v>
      </c>
      <c r="H1330" s="2">
        <v>5.4188793757450959E-5</v>
      </c>
      <c r="I1330" s="4">
        <v>2.2204460492503131E-16</v>
      </c>
      <c r="J1330" s="4">
        <v>1.8162477356858551</v>
      </c>
      <c r="K1330" s="5">
        <v>1</v>
      </c>
      <c r="L1330" s="5">
        <v>0</v>
      </c>
      <c r="M1330" s="5">
        <v>0</v>
      </c>
    </row>
    <row r="1331" spans="1:13" hidden="1" x14ac:dyDescent="0.25">
      <c r="A1331" t="s">
        <v>1342</v>
      </c>
      <c r="B1331" s="1">
        <v>4.1522657812270269E-2</v>
      </c>
      <c r="C1331" s="2">
        <v>1.18312703646887E-5</v>
      </c>
      <c r="D1331" s="2"/>
      <c r="E1331" s="2">
        <v>-0.38818887124887641</v>
      </c>
      <c r="F1331" s="3">
        <v>55.116055084122941</v>
      </c>
      <c r="G1331" s="3">
        <v>1</v>
      </c>
      <c r="H1331" s="2">
        <v>5.4188793757450959E-5</v>
      </c>
      <c r="I1331" s="4">
        <v>0</v>
      </c>
      <c r="J1331" s="4">
        <v>-0.38818887124887641</v>
      </c>
      <c r="K1331" s="5">
        <v>1</v>
      </c>
      <c r="L1331" s="5">
        <v>0</v>
      </c>
      <c r="M1331" s="5">
        <v>0</v>
      </c>
    </row>
    <row r="1332" spans="1:13" hidden="1" x14ac:dyDescent="0.25">
      <c r="A1332" t="s">
        <v>1343</v>
      </c>
      <c r="B1332" s="1">
        <v>4.1503286334463312E-2</v>
      </c>
      <c r="C1332" s="2">
        <v>1.182575074712631E-5</v>
      </c>
      <c r="D1332" s="2"/>
      <c r="E1332" s="2">
        <v>-0.14858291009570121</v>
      </c>
      <c r="F1332" s="3">
        <v>76.701369134163215</v>
      </c>
      <c r="G1332" s="3">
        <v>1</v>
      </c>
      <c r="H1332" s="2">
        <v>5.4188793757450959E-5</v>
      </c>
      <c r="I1332" s="4">
        <v>-2.775557561562891E-17</v>
      </c>
      <c r="J1332" s="4">
        <v>-0.14858291009570121</v>
      </c>
      <c r="K1332" s="5">
        <v>1</v>
      </c>
      <c r="L1332" s="5">
        <v>0</v>
      </c>
      <c r="M1332" s="5">
        <v>0</v>
      </c>
    </row>
    <row r="1333" spans="1:13" hidden="1" x14ac:dyDescent="0.25">
      <c r="A1333" t="s">
        <v>1344</v>
      </c>
      <c r="B1333" s="1">
        <v>4.146764360889009E-2</v>
      </c>
      <c r="C1333" s="2">
        <v>1.181559487693376E-5</v>
      </c>
      <c r="D1333" s="2"/>
      <c r="E1333" s="2">
        <v>-0.43075891100350139</v>
      </c>
      <c r="F1333" s="3">
        <v>51.281060024718492</v>
      </c>
      <c r="G1333" s="3">
        <v>1</v>
      </c>
      <c r="H1333" s="2">
        <v>5.4188793757450959E-5</v>
      </c>
      <c r="I1333" s="4">
        <v>0</v>
      </c>
      <c r="J1333" s="4">
        <v>-0.43075891100350139</v>
      </c>
      <c r="K1333" s="5">
        <v>1</v>
      </c>
      <c r="L1333" s="5">
        <v>0</v>
      </c>
      <c r="M1333" s="5">
        <v>0</v>
      </c>
    </row>
    <row r="1334" spans="1:13" hidden="1" x14ac:dyDescent="0.25">
      <c r="A1334" t="s">
        <v>1345</v>
      </c>
      <c r="B1334" s="1">
        <v>4.1394629349209039E-2</v>
      </c>
      <c r="C1334" s="2">
        <v>1.179479053799501E-5</v>
      </c>
      <c r="D1334" s="2"/>
      <c r="E1334" s="2">
        <v>-0.62577610696278341</v>
      </c>
      <c r="F1334" s="3">
        <v>33.71260137836498</v>
      </c>
      <c r="G1334" s="3">
        <v>1</v>
      </c>
      <c r="H1334" s="2">
        <v>5.4188793757450959E-5</v>
      </c>
      <c r="I1334" s="4">
        <v>0</v>
      </c>
      <c r="J1334" s="4">
        <v>-0.62577610696278341</v>
      </c>
      <c r="K1334" s="5">
        <v>1</v>
      </c>
      <c r="L1334" s="5">
        <v>0</v>
      </c>
      <c r="M1334" s="5">
        <v>0</v>
      </c>
    </row>
    <row r="1335" spans="1:13" hidden="1" x14ac:dyDescent="0.25">
      <c r="A1335" t="s">
        <v>1346</v>
      </c>
      <c r="B1335" s="1">
        <v>4.1374212421830051E-2</v>
      </c>
      <c r="C1335" s="2">
        <v>1.178897303496018E-5</v>
      </c>
      <c r="D1335" s="2"/>
      <c r="E1335" s="2">
        <v>-0.1590539373037583</v>
      </c>
      <c r="F1335" s="3">
        <v>75.758068685273543</v>
      </c>
      <c r="G1335" s="3">
        <v>1</v>
      </c>
      <c r="H1335" s="2">
        <v>5.4188793757450959E-5</v>
      </c>
      <c r="I1335" s="4">
        <v>-2.775557561562891E-17</v>
      </c>
      <c r="J1335" s="4">
        <v>-0.15905393730375819</v>
      </c>
      <c r="K1335" s="5">
        <v>1</v>
      </c>
      <c r="L1335" s="5">
        <v>0</v>
      </c>
      <c r="M1335" s="5">
        <v>0</v>
      </c>
    </row>
    <row r="1336" spans="1:13" hidden="1" x14ac:dyDescent="0.25">
      <c r="A1336" t="s">
        <v>1347</v>
      </c>
      <c r="B1336" s="1">
        <v>4.1278335710907263E-2</v>
      </c>
      <c r="C1336" s="2">
        <v>1.176165437694621E-5</v>
      </c>
      <c r="D1336" s="2"/>
      <c r="E1336" s="2">
        <v>0.15381461405533689</v>
      </c>
      <c r="F1336" s="3">
        <v>103.9433688546209</v>
      </c>
      <c r="G1336" s="3">
        <v>1</v>
      </c>
      <c r="H1336" s="2">
        <v>5.4188793757450959E-5</v>
      </c>
      <c r="I1336" s="4">
        <v>-8.3266726846886741E-17</v>
      </c>
      <c r="J1336" s="4">
        <v>0.153814614055337</v>
      </c>
      <c r="K1336" s="5">
        <v>1</v>
      </c>
      <c r="L1336" s="5">
        <v>0</v>
      </c>
      <c r="M1336" s="5">
        <v>1</v>
      </c>
    </row>
    <row r="1337" spans="1:13" hidden="1" x14ac:dyDescent="0.25">
      <c r="A1337" t="s">
        <v>1348</v>
      </c>
      <c r="B1337" s="1">
        <v>4.1223459039951477E-2</v>
      </c>
      <c r="C1337" s="2">
        <v>1.17460180770319E-5</v>
      </c>
      <c r="D1337" s="2"/>
      <c r="E1337" s="2">
        <v>0.17731051882227969</v>
      </c>
      <c r="F1337" s="3">
        <v>106.0600377423372</v>
      </c>
      <c r="G1337" s="3">
        <v>2</v>
      </c>
      <c r="H1337" s="2">
        <v>1.083775875149019E-4</v>
      </c>
      <c r="I1337" s="4">
        <v>5.5511151231257827E-17</v>
      </c>
      <c r="J1337" s="4">
        <v>0.17731051882227961</v>
      </c>
      <c r="K1337" s="5">
        <v>2</v>
      </c>
      <c r="L1337" s="5">
        <v>0</v>
      </c>
      <c r="M1337" s="5">
        <v>0</v>
      </c>
    </row>
    <row r="1338" spans="1:13" hidden="1" x14ac:dyDescent="0.25">
      <c r="A1338" t="s">
        <v>1349</v>
      </c>
      <c r="B1338" s="1">
        <v>4.120050843132457E-2</v>
      </c>
      <c r="C1338" s="2">
        <v>1.1739478638806949E-5</v>
      </c>
      <c r="D1338" s="2"/>
      <c r="E1338" s="2">
        <v>0.1621663018982793</v>
      </c>
      <c r="F1338" s="3">
        <v>104.6957449811171</v>
      </c>
      <c r="G1338" s="3">
        <v>1</v>
      </c>
      <c r="H1338" s="2">
        <v>5.4188793757450959E-5</v>
      </c>
      <c r="I1338" s="4">
        <v>0.1621663018982793</v>
      </c>
      <c r="J1338" s="4">
        <v>0</v>
      </c>
      <c r="K1338" s="5">
        <v>1</v>
      </c>
      <c r="L1338" s="5">
        <v>0</v>
      </c>
      <c r="M1338" s="5">
        <v>0</v>
      </c>
    </row>
    <row r="1339" spans="1:13" hidden="1" x14ac:dyDescent="0.25">
      <c r="A1339" t="s">
        <v>1350</v>
      </c>
      <c r="B1339" s="1">
        <v>4.115739898402318E-2</v>
      </c>
      <c r="C1339" s="2">
        <v>1.1727195236125911E-5</v>
      </c>
      <c r="D1339" s="2"/>
      <c r="E1339" s="2">
        <v>-0.3628501597374425</v>
      </c>
      <c r="F1339" s="3">
        <v>57.398736378717373</v>
      </c>
      <c r="G1339" s="3">
        <v>2</v>
      </c>
      <c r="H1339" s="2">
        <v>1.083775875149019E-4</v>
      </c>
      <c r="I1339" s="4">
        <v>-2.7755575615628909E-16</v>
      </c>
      <c r="J1339" s="4">
        <v>-0.36285015973744222</v>
      </c>
      <c r="K1339" s="5">
        <v>2</v>
      </c>
      <c r="L1339" s="5">
        <v>0</v>
      </c>
      <c r="M1339" s="5">
        <v>0</v>
      </c>
    </row>
    <row r="1340" spans="1:13" hidden="1" x14ac:dyDescent="0.25">
      <c r="A1340" t="s">
        <v>1351</v>
      </c>
      <c r="B1340" s="1">
        <v>4.1153259812141019E-2</v>
      </c>
      <c r="C1340" s="2">
        <v>1.1726015840003309E-5</v>
      </c>
      <c r="D1340" s="2"/>
      <c r="E1340" s="2">
        <v>-0.1132910314650501</v>
      </c>
      <c r="F1340" s="3">
        <v>79.880698563164827</v>
      </c>
      <c r="G1340" s="3">
        <v>3</v>
      </c>
      <c r="H1340" s="2">
        <v>1.6256638127235291E-4</v>
      </c>
      <c r="I1340" s="4">
        <v>0.26625983237927281</v>
      </c>
      <c r="J1340" s="4">
        <v>-0.37955086384432302</v>
      </c>
      <c r="K1340" s="5">
        <v>3</v>
      </c>
      <c r="L1340" s="5">
        <v>0</v>
      </c>
      <c r="M1340" s="5">
        <v>0</v>
      </c>
    </row>
    <row r="1341" spans="1:13" hidden="1" x14ac:dyDescent="0.25">
      <c r="A1341" t="s">
        <v>1352</v>
      </c>
      <c r="B1341" s="1">
        <v>4.1146229975276179E-2</v>
      </c>
      <c r="C1341" s="2">
        <v>1.1724012791428159E-5</v>
      </c>
      <c r="D1341" s="2"/>
      <c r="E1341" s="2">
        <v>0.42559341063624978</v>
      </c>
      <c r="F1341" s="3">
        <v>128.4270279760679</v>
      </c>
      <c r="G1341" s="3">
        <v>1</v>
      </c>
      <c r="H1341" s="2">
        <v>5.4188793757450959E-5</v>
      </c>
      <c r="I1341" s="4">
        <v>5.5511151231257827E-17</v>
      </c>
      <c r="J1341" s="4">
        <v>0.42559341063624972</v>
      </c>
      <c r="K1341" s="5">
        <v>1</v>
      </c>
      <c r="L1341" s="5">
        <v>0</v>
      </c>
      <c r="M1341" s="5">
        <v>0</v>
      </c>
    </row>
    <row r="1342" spans="1:13" hidden="1" x14ac:dyDescent="0.25">
      <c r="A1342" t="s">
        <v>1353</v>
      </c>
      <c r="B1342" s="1">
        <v>4.1064421562318182E-2</v>
      </c>
      <c r="C1342" s="2">
        <v>1.170070268791339E-5</v>
      </c>
      <c r="D1342" s="2"/>
      <c r="E1342" s="2" t="s">
        <v>303</v>
      </c>
      <c r="F1342" s="3" t="s">
        <v>303</v>
      </c>
      <c r="G1342" s="3">
        <v>1</v>
      </c>
      <c r="H1342" s="2">
        <v>5.4188793757450959E-5</v>
      </c>
      <c r="I1342" s="4" t="s">
        <v>303</v>
      </c>
      <c r="J1342" s="4">
        <v>0</v>
      </c>
      <c r="K1342" s="5">
        <v>1</v>
      </c>
      <c r="L1342" s="5">
        <v>0</v>
      </c>
      <c r="M1342" s="5">
        <v>0</v>
      </c>
    </row>
    <row r="1343" spans="1:13" hidden="1" x14ac:dyDescent="0.25">
      <c r="A1343" t="s">
        <v>1354</v>
      </c>
      <c r="B1343" s="1">
        <v>4.1058488370863948E-2</v>
      </c>
      <c r="C1343" s="2">
        <v>1.169901211231157E-5</v>
      </c>
      <c r="D1343" s="2"/>
      <c r="E1343" s="2">
        <v>-0.5748351722270455</v>
      </c>
      <c r="F1343" s="3">
        <v>38.301702872257152</v>
      </c>
      <c r="G1343" s="3">
        <v>2</v>
      </c>
      <c r="H1343" s="2">
        <v>1.083775875149019E-4</v>
      </c>
      <c r="I1343" s="4">
        <v>0.1865147580243752</v>
      </c>
      <c r="J1343" s="4">
        <v>-0.76134993025142073</v>
      </c>
      <c r="K1343" s="5">
        <v>2</v>
      </c>
      <c r="L1343" s="5">
        <v>0</v>
      </c>
      <c r="M1343" s="5">
        <v>0</v>
      </c>
    </row>
    <row r="1344" spans="1:13" hidden="1" x14ac:dyDescent="0.25">
      <c r="A1344" t="s">
        <v>1355</v>
      </c>
      <c r="B1344" s="1">
        <v>4.0964052950232907E-2</v>
      </c>
      <c r="C1344" s="2">
        <v>1.167210412875858E-5</v>
      </c>
      <c r="D1344" s="2"/>
      <c r="E1344" s="2">
        <v>1.2580938680392231</v>
      </c>
      <c r="F1344" s="3">
        <v>203.42425982021899</v>
      </c>
      <c r="G1344" s="3">
        <v>2</v>
      </c>
      <c r="H1344" s="2">
        <v>1.083775875149019E-4</v>
      </c>
      <c r="I1344" s="4">
        <v>0</v>
      </c>
      <c r="J1344" s="4">
        <v>1.2580938680392231</v>
      </c>
      <c r="K1344" s="5">
        <v>2</v>
      </c>
      <c r="L1344" s="5">
        <v>0</v>
      </c>
      <c r="M1344" s="5">
        <v>0</v>
      </c>
    </row>
    <row r="1345" spans="1:13" hidden="1" x14ac:dyDescent="0.25">
      <c r="A1345" t="s">
        <v>1356</v>
      </c>
      <c r="B1345" s="1">
        <v>4.0956624104683197E-2</v>
      </c>
      <c r="C1345" s="2">
        <v>1.166998738852982E-5</v>
      </c>
      <c r="D1345" s="2"/>
      <c r="E1345" s="2">
        <v>-3.3265875477411999E-2</v>
      </c>
      <c r="F1345" s="3">
        <v>87.08990202197343</v>
      </c>
      <c r="G1345" s="3">
        <v>1</v>
      </c>
      <c r="H1345" s="2">
        <v>5.4188793757450959E-5</v>
      </c>
      <c r="I1345" s="4">
        <v>-4.8572257327350599E-17</v>
      </c>
      <c r="J1345" s="4">
        <v>-3.3265875477411951E-2</v>
      </c>
      <c r="K1345" s="5">
        <v>1</v>
      </c>
      <c r="L1345" s="5">
        <v>0</v>
      </c>
      <c r="M1345" s="5">
        <v>0</v>
      </c>
    </row>
    <row r="1346" spans="1:13" hidden="1" x14ac:dyDescent="0.25">
      <c r="A1346" t="s">
        <v>1357</v>
      </c>
      <c r="B1346" s="1">
        <v>4.0939216281157598E-2</v>
      </c>
      <c r="C1346" s="2">
        <v>1.166502728536101E-5</v>
      </c>
      <c r="D1346" s="2"/>
      <c r="E1346" s="2">
        <v>3.0200927912220621E-3</v>
      </c>
      <c r="F1346" s="3">
        <v>90.358785721354977</v>
      </c>
      <c r="G1346" s="3">
        <v>1</v>
      </c>
      <c r="H1346" s="2">
        <v>5.4188793757450959E-5</v>
      </c>
      <c r="I1346" s="4">
        <v>2.2551405187698489E-17</v>
      </c>
      <c r="J1346" s="4">
        <v>3.02009279122204E-3</v>
      </c>
      <c r="K1346" s="5">
        <v>1</v>
      </c>
      <c r="L1346" s="5">
        <v>0</v>
      </c>
      <c r="M1346" s="5">
        <v>0</v>
      </c>
    </row>
    <row r="1347" spans="1:13" hidden="1" x14ac:dyDescent="0.25">
      <c r="A1347" t="s">
        <v>1358</v>
      </c>
      <c r="B1347" s="1">
        <v>4.0775458419890831E-2</v>
      </c>
      <c r="C1347" s="2">
        <v>1.1618366892383521E-5</v>
      </c>
      <c r="D1347" s="2"/>
      <c r="E1347" s="2">
        <v>-0.12553397372759831</v>
      </c>
      <c r="F1347" s="3">
        <v>78.777772106904123</v>
      </c>
      <c r="G1347" s="3">
        <v>2</v>
      </c>
      <c r="H1347" s="2">
        <v>1.083775875149019E-4</v>
      </c>
      <c r="I1347" s="4">
        <v>1.110223024625157E-16</v>
      </c>
      <c r="J1347" s="4">
        <v>-0.12553397372759839</v>
      </c>
      <c r="K1347" s="5">
        <v>2</v>
      </c>
      <c r="L1347" s="5">
        <v>0</v>
      </c>
      <c r="M1347" s="5">
        <v>0</v>
      </c>
    </row>
    <row r="1348" spans="1:13" hidden="1" x14ac:dyDescent="0.25">
      <c r="A1348" t="s">
        <v>1359</v>
      </c>
      <c r="B1348" s="1">
        <v>4.0760049240411801E-2</v>
      </c>
      <c r="C1348" s="2">
        <v>1.161397627342703E-5</v>
      </c>
      <c r="D1348" s="2"/>
      <c r="E1348" s="2">
        <v>0.14265423820560169</v>
      </c>
      <c r="F1348" s="3">
        <v>102.9379672507809</v>
      </c>
      <c r="G1348" s="3">
        <v>1</v>
      </c>
      <c r="H1348" s="2">
        <v>5.4188793757450959E-5</v>
      </c>
      <c r="I1348" s="4">
        <v>-8.3266726846886741E-17</v>
      </c>
      <c r="J1348" s="4">
        <v>0.1426542382056018</v>
      </c>
      <c r="K1348" s="5">
        <v>1</v>
      </c>
      <c r="L1348" s="5">
        <v>0</v>
      </c>
      <c r="M1348" s="5">
        <v>0</v>
      </c>
    </row>
    <row r="1349" spans="1:13" hidden="1" x14ac:dyDescent="0.25">
      <c r="A1349" t="s">
        <v>1360</v>
      </c>
      <c r="B1349" s="1">
        <v>4.0747822209695132E-2</v>
      </c>
      <c r="C1349" s="2">
        <v>1.161049236093712E-5</v>
      </c>
      <c r="D1349" s="2"/>
      <c r="E1349" s="2">
        <v>-0.62378334805677726</v>
      </c>
      <c r="F1349" s="3">
        <v>33.892122482953269</v>
      </c>
      <c r="G1349" s="3">
        <v>3</v>
      </c>
      <c r="H1349" s="2">
        <v>1.6256638127235291E-4</v>
      </c>
      <c r="I1349" s="4">
        <v>1.110223024625157E-16</v>
      </c>
      <c r="J1349" s="4">
        <v>-0.62378334805677726</v>
      </c>
      <c r="K1349" s="5">
        <v>3</v>
      </c>
      <c r="L1349" s="5">
        <v>0</v>
      </c>
      <c r="M1349" s="5">
        <v>0</v>
      </c>
    </row>
    <row r="1350" spans="1:13" hidden="1" x14ac:dyDescent="0.25">
      <c r="A1350" t="s">
        <v>1361</v>
      </c>
      <c r="B1350" s="1">
        <v>4.0737358500890948E-2</v>
      </c>
      <c r="C1350" s="2">
        <v>1.1607510881080041E-5</v>
      </c>
      <c r="D1350" s="2"/>
      <c r="E1350" s="2">
        <v>-0.29545438993330148</v>
      </c>
      <c r="F1350" s="3">
        <v>63.470199917709238</v>
      </c>
      <c r="G1350" s="3">
        <v>1</v>
      </c>
      <c r="H1350" s="2">
        <v>5.4188793757450959E-5</v>
      </c>
      <c r="I1350" s="4">
        <v>-5.5511151231257827E-17</v>
      </c>
      <c r="J1350" s="4">
        <v>-0.29545438993330148</v>
      </c>
      <c r="K1350" s="5">
        <v>1</v>
      </c>
      <c r="L1350" s="5">
        <v>0</v>
      </c>
      <c r="M1350" s="5">
        <v>1</v>
      </c>
    </row>
    <row r="1351" spans="1:13" hidden="1" x14ac:dyDescent="0.25">
      <c r="A1351" t="s">
        <v>1362</v>
      </c>
      <c r="B1351" s="1">
        <v>4.0732168243074067E-2</v>
      </c>
      <c r="C1351" s="2">
        <v>1.1606031993486391E-5</v>
      </c>
      <c r="D1351" s="2"/>
      <c r="E1351" s="2">
        <v>1.459813197242311</v>
      </c>
      <c r="F1351" s="3">
        <v>221.5964916372254</v>
      </c>
      <c r="G1351" s="3">
        <v>2</v>
      </c>
      <c r="H1351" s="2">
        <v>1.083775875149019E-4</v>
      </c>
      <c r="I1351" s="4">
        <v>2.2204460492503131E-16</v>
      </c>
      <c r="J1351" s="4">
        <v>1.459813197242311</v>
      </c>
      <c r="K1351" s="5">
        <v>2</v>
      </c>
      <c r="L1351" s="5">
        <v>0</v>
      </c>
      <c r="M1351" s="5">
        <v>0</v>
      </c>
    </row>
    <row r="1352" spans="1:13" hidden="1" x14ac:dyDescent="0.25">
      <c r="A1352" t="s">
        <v>1363</v>
      </c>
      <c r="B1352" s="1">
        <v>4.0658121265006793E-2</v>
      </c>
      <c r="C1352" s="2">
        <v>1.158493339663927E-5</v>
      </c>
      <c r="D1352" s="2"/>
      <c r="E1352" s="2">
        <v>0.79947921861292137</v>
      </c>
      <c r="F1352" s="3">
        <v>162.1091723817751</v>
      </c>
      <c r="G1352" s="3">
        <v>1</v>
      </c>
      <c r="H1352" s="2">
        <v>5.4188793757450959E-5</v>
      </c>
      <c r="I1352" s="4">
        <v>-1.110223024625157E-16</v>
      </c>
      <c r="J1352" s="4">
        <v>0.79947921861292148</v>
      </c>
      <c r="K1352" s="5">
        <v>1</v>
      </c>
      <c r="L1352" s="5">
        <v>0</v>
      </c>
      <c r="M1352" s="5">
        <v>0</v>
      </c>
    </row>
    <row r="1353" spans="1:13" hidden="1" x14ac:dyDescent="0.25">
      <c r="A1353" t="s">
        <v>1364</v>
      </c>
      <c r="B1353" s="1">
        <v>4.0436966330798858E-2</v>
      </c>
      <c r="C1353" s="2">
        <v>1.1521918552287809E-5</v>
      </c>
      <c r="D1353" s="2"/>
      <c r="E1353" s="2">
        <v>0.44840613185470612</v>
      </c>
      <c r="F1353" s="3">
        <v>130.4821511018302</v>
      </c>
      <c r="G1353" s="3">
        <v>1</v>
      </c>
      <c r="H1353" s="2">
        <v>5.4188793757450959E-5</v>
      </c>
      <c r="I1353" s="4">
        <v>0</v>
      </c>
      <c r="J1353" s="4">
        <v>0.44840613185470612</v>
      </c>
      <c r="K1353" s="5">
        <v>1</v>
      </c>
      <c r="L1353" s="5">
        <v>1</v>
      </c>
      <c r="M1353" s="5">
        <v>0</v>
      </c>
    </row>
    <row r="1354" spans="1:13" hidden="1" x14ac:dyDescent="0.25">
      <c r="A1354" t="s">
        <v>1365</v>
      </c>
      <c r="B1354" s="1">
        <v>4.0428085131092278E-2</v>
      </c>
      <c r="C1354" s="2">
        <v>1.1519387985112501E-5</v>
      </c>
      <c r="D1354" s="2"/>
      <c r="E1354" s="2">
        <v>-0.2086017202416488</v>
      </c>
      <c r="F1354" s="3">
        <v>71.294471661016374</v>
      </c>
      <c r="G1354" s="3">
        <v>1</v>
      </c>
      <c r="H1354" s="2">
        <v>5.4188793757450959E-5</v>
      </c>
      <c r="I1354" s="4">
        <v>2.775557561562891E-17</v>
      </c>
      <c r="J1354" s="4">
        <v>-0.2086017202416488</v>
      </c>
      <c r="K1354" s="5">
        <v>1</v>
      </c>
      <c r="L1354" s="5">
        <v>0</v>
      </c>
      <c r="M1354" s="5">
        <v>0</v>
      </c>
    </row>
    <row r="1355" spans="1:13" hidden="1" x14ac:dyDescent="0.25">
      <c r="A1355" t="s">
        <v>1366</v>
      </c>
      <c r="B1355" s="1">
        <v>4.0382638674060563E-2</v>
      </c>
      <c r="C1355" s="2">
        <v>1.1506438685896391E-5</v>
      </c>
      <c r="D1355" s="2"/>
      <c r="E1355" s="2">
        <v>-0.5161910741751552</v>
      </c>
      <c r="F1355" s="3">
        <v>43.584757048117893</v>
      </c>
      <c r="G1355" s="3">
        <v>1</v>
      </c>
      <c r="H1355" s="2">
        <v>5.4188793757450959E-5</v>
      </c>
      <c r="I1355" s="4">
        <v>1.110223024625157E-16</v>
      </c>
      <c r="J1355" s="4">
        <v>-0.51619107417515531</v>
      </c>
      <c r="K1355" s="5">
        <v>1</v>
      </c>
      <c r="L1355" s="5">
        <v>0</v>
      </c>
      <c r="M1355" s="5">
        <v>0</v>
      </c>
    </row>
    <row r="1356" spans="1:13" hidden="1" x14ac:dyDescent="0.25">
      <c r="A1356" t="s">
        <v>1367</v>
      </c>
      <c r="B1356" s="1">
        <v>4.0335806629433153E-2</v>
      </c>
      <c r="C1356" s="2">
        <v>1.1493094583882899E-5</v>
      </c>
      <c r="D1356" s="2"/>
      <c r="E1356" s="2">
        <v>-0.5062833839265628</v>
      </c>
      <c r="F1356" s="3">
        <v>44.477308320620118</v>
      </c>
      <c r="G1356" s="3">
        <v>1</v>
      </c>
      <c r="H1356" s="2">
        <v>5.4188793757450959E-5</v>
      </c>
      <c r="I1356" s="4">
        <v>0</v>
      </c>
      <c r="J1356" s="4">
        <v>-0.5062833839265628</v>
      </c>
      <c r="K1356" s="5">
        <v>1</v>
      </c>
      <c r="L1356" s="5">
        <v>0</v>
      </c>
      <c r="M1356" s="5">
        <v>0</v>
      </c>
    </row>
    <row r="1357" spans="1:13" hidden="1" x14ac:dyDescent="0.25">
      <c r="A1357" t="s">
        <v>1368</v>
      </c>
      <c r="B1357" s="1">
        <v>4.0132488437534988E-2</v>
      </c>
      <c r="C1357" s="2">
        <v>1.143516205679655E-5</v>
      </c>
      <c r="D1357" s="2"/>
      <c r="E1357" s="2">
        <v>0.45683016989758118</v>
      </c>
      <c r="F1357" s="3">
        <v>131.24104502020271</v>
      </c>
      <c r="G1357" s="3">
        <v>1</v>
      </c>
      <c r="H1357" s="2">
        <v>5.4188793757450959E-5</v>
      </c>
      <c r="I1357" s="4">
        <v>-5.5511151231257827E-17</v>
      </c>
      <c r="J1357" s="4">
        <v>0.45683016989758118</v>
      </c>
      <c r="K1357" s="5">
        <v>1</v>
      </c>
      <c r="L1357" s="5">
        <v>0</v>
      </c>
      <c r="M1357" s="5">
        <v>0</v>
      </c>
    </row>
    <row r="1358" spans="1:13" hidden="1" x14ac:dyDescent="0.25">
      <c r="A1358" t="s">
        <v>1369</v>
      </c>
      <c r="B1358" s="1">
        <v>4.0120279363969183E-2</v>
      </c>
      <c r="C1358" s="2">
        <v>1.1431683260932549E-5</v>
      </c>
      <c r="D1358" s="2"/>
      <c r="E1358" s="2">
        <v>-0.38770529178956359</v>
      </c>
      <c r="F1358" s="3">
        <v>55.159619169286657</v>
      </c>
      <c r="G1358" s="3">
        <v>1</v>
      </c>
      <c r="H1358" s="2">
        <v>5.4188793757450959E-5</v>
      </c>
      <c r="I1358" s="4">
        <v>5.5511151231257827E-17</v>
      </c>
      <c r="J1358" s="4">
        <v>-0.38770529178956359</v>
      </c>
      <c r="K1358" s="5">
        <v>1</v>
      </c>
      <c r="L1358" s="5">
        <v>0</v>
      </c>
      <c r="M1358" s="5">
        <v>0</v>
      </c>
    </row>
    <row r="1359" spans="1:13" hidden="1" x14ac:dyDescent="0.25">
      <c r="A1359" t="s">
        <v>1370</v>
      </c>
      <c r="B1359" s="1">
        <v>4.0098580852279339E-2</v>
      </c>
      <c r="C1359" s="2">
        <v>1.142550058930602E-5</v>
      </c>
      <c r="D1359" s="2"/>
      <c r="E1359" s="2">
        <v>-0.16716725033470209</v>
      </c>
      <c r="F1359" s="3">
        <v>75.027166962643832</v>
      </c>
      <c r="G1359" s="3">
        <v>1</v>
      </c>
      <c r="H1359" s="2">
        <v>5.4188793757450959E-5</v>
      </c>
      <c r="I1359" s="4">
        <v>-2.775557561562891E-17</v>
      </c>
      <c r="J1359" s="4">
        <v>-0.16716725033470209</v>
      </c>
      <c r="K1359" s="5">
        <v>1</v>
      </c>
      <c r="L1359" s="5">
        <v>0</v>
      </c>
      <c r="M1359" s="5">
        <v>0</v>
      </c>
    </row>
    <row r="1360" spans="1:13" hidden="1" x14ac:dyDescent="0.25">
      <c r="A1360" t="s">
        <v>1371</v>
      </c>
      <c r="B1360" s="1">
        <v>4.0032937019002943E-2</v>
      </c>
      <c r="C1360" s="2">
        <v>1.1406796344920251E-5</v>
      </c>
      <c r="D1360" s="2"/>
      <c r="E1360" s="2">
        <v>-0.25875262214732359</v>
      </c>
      <c r="F1360" s="3">
        <v>66.776541629907001</v>
      </c>
      <c r="G1360" s="3">
        <v>1</v>
      </c>
      <c r="H1360" s="2">
        <v>5.4188793757450959E-5</v>
      </c>
      <c r="I1360" s="4">
        <v>-0.25875262214732359</v>
      </c>
      <c r="J1360" s="4">
        <v>0</v>
      </c>
      <c r="K1360" s="5">
        <v>1</v>
      </c>
      <c r="L1360" s="5">
        <v>0</v>
      </c>
      <c r="M1360" s="5">
        <v>0</v>
      </c>
    </row>
    <row r="1361" spans="1:13" hidden="1" x14ac:dyDescent="0.25">
      <c r="A1361" t="s">
        <v>1372</v>
      </c>
      <c r="B1361" s="1">
        <v>4.001237558223901E-2</v>
      </c>
      <c r="C1361" s="2">
        <v>1.1400937666062539E-5</v>
      </c>
      <c r="D1361" s="2"/>
      <c r="E1361" s="2">
        <v>-0.15777625021373509</v>
      </c>
      <c r="F1361" s="3">
        <v>75.873171318626646</v>
      </c>
      <c r="G1361" s="3">
        <v>1</v>
      </c>
      <c r="H1361" s="2">
        <v>5.4188793757450959E-5</v>
      </c>
      <c r="I1361" s="4">
        <v>-0.15777625021373509</v>
      </c>
      <c r="J1361" s="4">
        <v>0</v>
      </c>
      <c r="K1361" s="5">
        <v>1</v>
      </c>
      <c r="L1361" s="5">
        <v>0</v>
      </c>
      <c r="M1361" s="5">
        <v>1</v>
      </c>
    </row>
    <row r="1362" spans="1:13" hidden="1" x14ac:dyDescent="0.25">
      <c r="A1362" t="s">
        <v>1373</v>
      </c>
      <c r="B1362" s="1">
        <v>3.9893377502046107E-2</v>
      </c>
      <c r="C1362" s="2">
        <v>1.136703091409097E-5</v>
      </c>
      <c r="D1362" s="2"/>
      <c r="E1362" s="2">
        <v>-0.44053240082385831</v>
      </c>
      <c r="F1362" s="3">
        <v>50.400598428012188</v>
      </c>
      <c r="G1362" s="3">
        <v>1</v>
      </c>
      <c r="H1362" s="2">
        <v>5.4188793757450959E-5</v>
      </c>
      <c r="I1362" s="4">
        <v>-5.5511151231257827E-17</v>
      </c>
      <c r="J1362" s="4">
        <v>-0.44053240082385819</v>
      </c>
      <c r="K1362" s="5">
        <v>1</v>
      </c>
      <c r="L1362" s="5">
        <v>0</v>
      </c>
      <c r="M1362" s="5">
        <v>0</v>
      </c>
    </row>
    <row r="1363" spans="1:13" hidden="1" x14ac:dyDescent="0.25">
      <c r="A1363" t="s">
        <v>1374</v>
      </c>
      <c r="B1363" s="1">
        <v>3.9862010967139157E-2</v>
      </c>
      <c r="C1363" s="2">
        <v>1.135809348150741E-5</v>
      </c>
      <c r="D1363" s="2"/>
      <c r="E1363" s="2" t="s">
        <v>303</v>
      </c>
      <c r="F1363" s="3" t="s">
        <v>303</v>
      </c>
      <c r="G1363" s="3">
        <v>1</v>
      </c>
      <c r="H1363" s="2">
        <v>5.4188793757450959E-5</v>
      </c>
      <c r="I1363" s="4" t="s">
        <v>303</v>
      </c>
      <c r="J1363" s="4">
        <v>0</v>
      </c>
      <c r="K1363" s="5">
        <v>1</v>
      </c>
      <c r="L1363" s="5">
        <v>0</v>
      </c>
      <c r="M1363" s="5">
        <v>1</v>
      </c>
    </row>
    <row r="1364" spans="1:13" hidden="1" x14ac:dyDescent="0.25">
      <c r="A1364" t="s">
        <v>1375</v>
      </c>
      <c r="B1364" s="1">
        <v>3.985629469304508E-2</v>
      </c>
      <c r="C1364" s="2">
        <v>1.1356464713315549E-5</v>
      </c>
      <c r="D1364" s="2"/>
      <c r="E1364" s="2">
        <v>-0.28594175237769592</v>
      </c>
      <c r="F1364" s="3">
        <v>64.327162190658214</v>
      </c>
      <c r="G1364" s="3">
        <v>1</v>
      </c>
      <c r="H1364" s="2">
        <v>5.4188793757450959E-5</v>
      </c>
      <c r="I1364" s="4">
        <v>0</v>
      </c>
      <c r="J1364" s="4">
        <v>-0.28594175237769592</v>
      </c>
      <c r="K1364" s="5">
        <v>1</v>
      </c>
      <c r="L1364" s="5">
        <v>0</v>
      </c>
      <c r="M1364" s="5">
        <v>0</v>
      </c>
    </row>
    <row r="1365" spans="1:13" hidden="1" x14ac:dyDescent="0.25">
      <c r="A1365" t="s">
        <v>1376</v>
      </c>
      <c r="B1365" s="1">
        <v>3.9829458324117217E-2</v>
      </c>
      <c r="C1365" s="2">
        <v>1.1348818084869281E-5</v>
      </c>
      <c r="D1365" s="2"/>
      <c r="E1365" s="2">
        <v>-0.25042387059780369</v>
      </c>
      <c r="F1365" s="3">
        <v>67.526851501063419</v>
      </c>
      <c r="G1365" s="3">
        <v>1</v>
      </c>
      <c r="H1365" s="2">
        <v>5.4188793757450959E-5</v>
      </c>
      <c r="I1365" s="4">
        <v>0</v>
      </c>
      <c r="J1365" s="4">
        <v>-0.25042387059780369</v>
      </c>
      <c r="K1365" s="5">
        <v>1</v>
      </c>
      <c r="L1365" s="5">
        <v>0</v>
      </c>
      <c r="M1365" s="5">
        <v>0</v>
      </c>
    </row>
    <row r="1366" spans="1:13" hidden="1" x14ac:dyDescent="0.25">
      <c r="A1366" t="s">
        <v>1377</v>
      </c>
      <c r="B1366" s="1">
        <v>3.9763358793986188E-2</v>
      </c>
      <c r="C1366" s="2">
        <v>1.132998399637007E-5</v>
      </c>
      <c r="D1366" s="2"/>
      <c r="E1366" s="2">
        <v>-0.46937809879596371</v>
      </c>
      <c r="F1366" s="3">
        <v>47.801984241938307</v>
      </c>
      <c r="G1366" s="3">
        <v>1</v>
      </c>
      <c r="H1366" s="2">
        <v>5.4188793757450959E-5</v>
      </c>
      <c r="I1366" s="4">
        <v>0</v>
      </c>
      <c r="J1366" s="4">
        <v>-0.46937809879596371</v>
      </c>
      <c r="K1366" s="5">
        <v>1</v>
      </c>
      <c r="L1366" s="5">
        <v>0</v>
      </c>
      <c r="M1366" s="5">
        <v>0</v>
      </c>
    </row>
    <row r="1367" spans="1:13" hidden="1" x14ac:dyDescent="0.25">
      <c r="A1367" t="s">
        <v>1378</v>
      </c>
      <c r="B1367" s="1">
        <v>3.9714814057768361E-2</v>
      </c>
      <c r="C1367" s="2">
        <v>1.131615188808903E-5</v>
      </c>
      <c r="D1367" s="2"/>
      <c r="E1367" s="2">
        <v>3.632386853813006</v>
      </c>
      <c r="F1367" s="3">
        <v>417.31651649897458</v>
      </c>
      <c r="G1367" s="3">
        <v>1</v>
      </c>
      <c r="H1367" s="2">
        <v>5.4188793757450959E-5</v>
      </c>
      <c r="I1367" s="4">
        <v>-4.4408920985006262E-16</v>
      </c>
      <c r="J1367" s="4">
        <v>3.632386853813006</v>
      </c>
      <c r="K1367" s="5">
        <v>1</v>
      </c>
      <c r="L1367" s="5">
        <v>0</v>
      </c>
      <c r="M1367" s="5">
        <v>0</v>
      </c>
    </row>
    <row r="1368" spans="1:13" hidden="1" x14ac:dyDescent="0.25">
      <c r="A1368" t="s">
        <v>1379</v>
      </c>
      <c r="B1368" s="1">
        <v>3.9643158824235768E-2</v>
      </c>
      <c r="C1368" s="2">
        <v>1.1295734783654101E-5</v>
      </c>
      <c r="D1368" s="2"/>
      <c r="E1368" s="2">
        <v>-0.64324928703841633</v>
      </c>
      <c r="F1368" s="3">
        <v>32.13849997633713</v>
      </c>
      <c r="G1368" s="3">
        <v>2</v>
      </c>
      <c r="H1368" s="2">
        <v>1.083775875149019E-4</v>
      </c>
      <c r="I1368" s="4">
        <v>0</v>
      </c>
      <c r="J1368" s="4">
        <v>-0.64324928703841633</v>
      </c>
      <c r="K1368" s="5">
        <v>2</v>
      </c>
      <c r="L1368" s="5">
        <v>0</v>
      </c>
      <c r="M1368" s="5">
        <v>0</v>
      </c>
    </row>
    <row r="1369" spans="1:13" hidden="1" x14ac:dyDescent="0.25">
      <c r="A1369" t="s">
        <v>1380</v>
      </c>
      <c r="B1369" s="1">
        <v>3.9635187465350441E-2</v>
      </c>
      <c r="C1369" s="2">
        <v>1.1293463462233089E-5</v>
      </c>
      <c r="D1369" s="2"/>
      <c r="E1369" s="2">
        <v>-0.20648594288229899</v>
      </c>
      <c r="F1369" s="3">
        <v>71.485075094009972</v>
      </c>
      <c r="G1369" s="3">
        <v>1</v>
      </c>
      <c r="H1369" s="2">
        <v>5.4188793757450959E-5</v>
      </c>
      <c r="I1369" s="4">
        <v>-2.775557561562891E-17</v>
      </c>
      <c r="J1369" s="4">
        <v>-0.20648594288229899</v>
      </c>
      <c r="K1369" s="5">
        <v>1</v>
      </c>
      <c r="L1369" s="5">
        <v>0</v>
      </c>
      <c r="M1369" s="5">
        <v>0</v>
      </c>
    </row>
    <row r="1370" spans="1:13" hidden="1" x14ac:dyDescent="0.25">
      <c r="A1370" t="s">
        <v>1381</v>
      </c>
      <c r="B1370" s="1">
        <v>3.957668228426206E-2</v>
      </c>
      <c r="C1370" s="2">
        <v>1.1276793271747669E-5</v>
      </c>
      <c r="D1370" s="2"/>
      <c r="E1370" s="2">
        <v>1.4933399011598689</v>
      </c>
      <c r="F1370" s="3">
        <v>224.61680227407379</v>
      </c>
      <c r="G1370" s="3">
        <v>1</v>
      </c>
      <c r="H1370" s="2">
        <v>5.4188793757450959E-5</v>
      </c>
      <c r="I1370" s="4">
        <v>0</v>
      </c>
      <c r="J1370" s="4">
        <v>1.4933399011598689</v>
      </c>
      <c r="K1370" s="5">
        <v>1</v>
      </c>
      <c r="L1370" s="5">
        <v>0</v>
      </c>
      <c r="M1370" s="5">
        <v>0</v>
      </c>
    </row>
    <row r="1371" spans="1:13" hidden="1" x14ac:dyDescent="0.25">
      <c r="A1371" t="s">
        <v>1382</v>
      </c>
      <c r="B1371" s="1">
        <v>3.9566710861420003E-2</v>
      </c>
      <c r="C1371" s="2">
        <v>1.127395206153182E-5</v>
      </c>
      <c r="D1371" s="2"/>
      <c r="E1371" s="2">
        <v>3.8481059993804127E-2</v>
      </c>
      <c r="F1371" s="3">
        <v>93.553347784427274</v>
      </c>
      <c r="G1371" s="3">
        <v>1</v>
      </c>
      <c r="H1371" s="2">
        <v>5.4188793757450959E-5</v>
      </c>
      <c r="I1371" s="4">
        <v>7.6327832942979512E-17</v>
      </c>
      <c r="J1371" s="4">
        <v>3.8481059993804058E-2</v>
      </c>
      <c r="K1371" s="5">
        <v>1</v>
      </c>
      <c r="L1371" s="5">
        <v>0</v>
      </c>
      <c r="M1371" s="5">
        <v>1</v>
      </c>
    </row>
    <row r="1372" spans="1:13" hidden="1" x14ac:dyDescent="0.25">
      <c r="A1372" t="s">
        <v>1383</v>
      </c>
      <c r="B1372" s="1">
        <v>3.9553578970327213E-2</v>
      </c>
      <c r="C1372" s="2">
        <v>1.127021032239218E-5</v>
      </c>
      <c r="D1372" s="2"/>
      <c r="E1372" s="2">
        <v>0.69010156117909682</v>
      </c>
      <c r="F1372" s="3">
        <v>152.25569847651809</v>
      </c>
      <c r="G1372" s="3">
        <v>1</v>
      </c>
      <c r="H1372" s="2">
        <v>5.4188793757450959E-5</v>
      </c>
      <c r="I1372" s="4">
        <v>1.110223024625157E-16</v>
      </c>
      <c r="J1372" s="4">
        <v>0.69010156117909671</v>
      </c>
      <c r="K1372" s="5">
        <v>1</v>
      </c>
      <c r="L1372" s="5">
        <v>0</v>
      </c>
      <c r="M1372" s="5">
        <v>0</v>
      </c>
    </row>
    <row r="1373" spans="1:13" hidden="1" x14ac:dyDescent="0.25">
      <c r="A1373" t="s">
        <v>1384</v>
      </c>
      <c r="B1373" s="1">
        <v>3.9513300006434882E-2</v>
      </c>
      <c r="C1373" s="2">
        <v>1.125873342430983E-5</v>
      </c>
      <c r="D1373" s="2"/>
      <c r="E1373" s="2">
        <v>0.12562254445016169</v>
      </c>
      <c r="F1373" s="3">
        <v>101.40363790126921</v>
      </c>
      <c r="G1373" s="3">
        <v>1</v>
      </c>
      <c r="H1373" s="2">
        <v>5.4188793757450959E-5</v>
      </c>
      <c r="I1373" s="4">
        <v>-1.110223024625157E-16</v>
      </c>
      <c r="J1373" s="4">
        <v>0.12562254445016191</v>
      </c>
      <c r="K1373" s="5">
        <v>1</v>
      </c>
      <c r="L1373" s="5">
        <v>0</v>
      </c>
      <c r="M1373" s="5">
        <v>0</v>
      </c>
    </row>
    <row r="1374" spans="1:13" hidden="1" x14ac:dyDescent="0.25">
      <c r="A1374" t="s">
        <v>1385</v>
      </c>
      <c r="B1374" s="1">
        <v>3.949062689398615E-2</v>
      </c>
      <c r="C1374" s="2">
        <v>1.125227305453767E-5</v>
      </c>
      <c r="D1374" s="2"/>
      <c r="E1374" s="2">
        <v>-0.39357734751440437</v>
      </c>
      <c r="F1374" s="3">
        <v>54.630624955912332</v>
      </c>
      <c r="G1374" s="3">
        <v>1</v>
      </c>
      <c r="H1374" s="2">
        <v>5.4188793757450959E-5</v>
      </c>
      <c r="I1374" s="4">
        <v>-5.5511151231257827E-17</v>
      </c>
      <c r="J1374" s="4">
        <v>-0.39357734751440437</v>
      </c>
      <c r="K1374" s="5">
        <v>1</v>
      </c>
      <c r="L1374" s="5">
        <v>0</v>
      </c>
      <c r="M1374" s="5">
        <v>0</v>
      </c>
    </row>
    <row r="1375" spans="1:13" hidden="1" x14ac:dyDescent="0.25">
      <c r="A1375" t="s">
        <v>1386</v>
      </c>
      <c r="B1375" s="1">
        <v>3.948694100190122E-2</v>
      </c>
      <c r="C1375" s="2">
        <v>1.1251222813823581E-5</v>
      </c>
      <c r="D1375" s="2"/>
      <c r="E1375" s="2">
        <v>4.2329533388799412E-2</v>
      </c>
      <c r="F1375" s="3">
        <v>93.900044112199751</v>
      </c>
      <c r="G1375" s="3">
        <v>1</v>
      </c>
      <c r="H1375" s="2">
        <v>5.4188793757450959E-5</v>
      </c>
      <c r="I1375" s="4">
        <v>4.163336342344337E-17</v>
      </c>
      <c r="J1375" s="4">
        <v>4.232953338879937E-2</v>
      </c>
      <c r="K1375" s="5">
        <v>1</v>
      </c>
      <c r="L1375" s="5">
        <v>0</v>
      </c>
      <c r="M1375" s="5">
        <v>0</v>
      </c>
    </row>
    <row r="1376" spans="1:13" hidden="1" x14ac:dyDescent="0.25">
      <c r="A1376" t="s">
        <v>1387</v>
      </c>
      <c r="B1376" s="1">
        <v>3.9435179986521379E-2</v>
      </c>
      <c r="C1376" s="2">
        <v>1.1236474274120791E-5</v>
      </c>
      <c r="D1376" s="2"/>
      <c r="E1376" s="2">
        <v>-0.16197799379539321</v>
      </c>
      <c r="F1376" s="3">
        <v>75.49465004006025</v>
      </c>
      <c r="G1376" s="3">
        <v>1</v>
      </c>
      <c r="H1376" s="2">
        <v>5.4188793757450959E-5</v>
      </c>
      <c r="I1376" s="4">
        <v>2.775557561562891E-17</v>
      </c>
      <c r="J1376" s="4">
        <v>-0.16197799379539329</v>
      </c>
      <c r="K1376" s="5">
        <v>1</v>
      </c>
      <c r="L1376" s="5">
        <v>0</v>
      </c>
      <c r="M1376" s="5">
        <v>0</v>
      </c>
    </row>
    <row r="1377" spans="1:13" hidden="1" x14ac:dyDescent="0.25">
      <c r="A1377" t="s">
        <v>1388</v>
      </c>
      <c r="B1377" s="1">
        <v>3.9370886715651462E-2</v>
      </c>
      <c r="C1377" s="2">
        <v>1.121815485262009E-5</v>
      </c>
      <c r="D1377" s="2"/>
      <c r="E1377" s="2">
        <v>-0.14242691374227751</v>
      </c>
      <c r="F1377" s="3">
        <v>77.255942626158287</v>
      </c>
      <c r="G1377" s="3">
        <v>1</v>
      </c>
      <c r="H1377" s="2">
        <v>5.4188793757450959E-5</v>
      </c>
      <c r="I1377" s="4">
        <v>5.5511151231257827E-17</v>
      </c>
      <c r="J1377" s="4">
        <v>-0.14242691374227751</v>
      </c>
      <c r="K1377" s="5">
        <v>1</v>
      </c>
      <c r="L1377" s="5">
        <v>0</v>
      </c>
      <c r="M1377" s="5">
        <v>0</v>
      </c>
    </row>
    <row r="1378" spans="1:13" hidden="1" x14ac:dyDescent="0.25">
      <c r="A1378" t="s">
        <v>1389</v>
      </c>
      <c r="B1378" s="1">
        <v>3.9345007533880157E-2</v>
      </c>
      <c r="C1378" s="2">
        <v>1.121078096056969E-5</v>
      </c>
      <c r="D1378" s="2"/>
      <c r="E1378" s="2">
        <v>0.7314071687592274</v>
      </c>
      <c r="F1378" s="3">
        <v>155.97678499437339</v>
      </c>
      <c r="G1378" s="3">
        <v>1</v>
      </c>
      <c r="H1378" s="2">
        <v>5.4188793757450959E-5</v>
      </c>
      <c r="I1378" s="4">
        <v>-1.110223024625157E-16</v>
      </c>
      <c r="J1378" s="4">
        <v>0.73140716875922751</v>
      </c>
      <c r="K1378" s="5">
        <v>1</v>
      </c>
      <c r="L1378" s="5">
        <v>0</v>
      </c>
      <c r="M1378" s="5">
        <v>0</v>
      </c>
    </row>
    <row r="1379" spans="1:13" hidden="1" x14ac:dyDescent="0.25">
      <c r="A1379" t="s">
        <v>1390</v>
      </c>
      <c r="B1379" s="1">
        <v>3.9305351670745912E-2</v>
      </c>
      <c r="C1379" s="2">
        <v>1.119948160587984E-5</v>
      </c>
      <c r="D1379" s="2"/>
      <c r="E1379" s="2">
        <v>0.13818860569446029</v>
      </c>
      <c r="F1379" s="3">
        <v>102.5356730853055</v>
      </c>
      <c r="G1379" s="3">
        <v>3</v>
      </c>
      <c r="H1379" s="2">
        <v>1.6256638127235291E-4</v>
      </c>
      <c r="I1379" s="4">
        <v>0</v>
      </c>
      <c r="J1379" s="4">
        <v>0.13818860569446029</v>
      </c>
      <c r="K1379" s="5">
        <v>3</v>
      </c>
      <c r="L1379" s="5">
        <v>0</v>
      </c>
      <c r="M1379" s="5">
        <v>0</v>
      </c>
    </row>
    <row r="1380" spans="1:13" hidden="1" x14ac:dyDescent="0.25">
      <c r="A1380" t="s">
        <v>1391</v>
      </c>
      <c r="B1380" s="1">
        <v>3.9177945881521029E-2</v>
      </c>
      <c r="C1380" s="2">
        <v>1.116317920093357E-5</v>
      </c>
      <c r="D1380" s="2"/>
      <c r="E1380" s="2">
        <v>1.118378524104136</v>
      </c>
      <c r="F1380" s="3">
        <v>190.83776338276061</v>
      </c>
      <c r="G1380" s="3">
        <v>1</v>
      </c>
      <c r="H1380" s="2">
        <v>5.4188793757450959E-5</v>
      </c>
      <c r="I1380" s="4">
        <v>0</v>
      </c>
      <c r="J1380" s="4">
        <v>1.118378524104136</v>
      </c>
      <c r="K1380" s="5">
        <v>1</v>
      </c>
      <c r="L1380" s="5">
        <v>0</v>
      </c>
      <c r="M1380" s="5">
        <v>0</v>
      </c>
    </row>
    <row r="1381" spans="1:13" hidden="1" x14ac:dyDescent="0.25">
      <c r="A1381" t="s">
        <v>1392</v>
      </c>
      <c r="B1381" s="1">
        <v>3.9162049516354817E-2</v>
      </c>
      <c r="C1381" s="2">
        <v>1.115864976558414E-5</v>
      </c>
      <c r="D1381" s="2"/>
      <c r="E1381" s="2">
        <v>-0.57378075024256847</v>
      </c>
      <c r="F1381" s="3">
        <v>38.396692285570019</v>
      </c>
      <c r="G1381" s="3">
        <v>1</v>
      </c>
      <c r="H1381" s="2">
        <v>5.4188793757450959E-5</v>
      </c>
      <c r="I1381" s="4">
        <v>0</v>
      </c>
      <c r="J1381" s="4">
        <v>-0.57378075024256847</v>
      </c>
      <c r="K1381" s="5">
        <v>1</v>
      </c>
      <c r="L1381" s="5">
        <v>0</v>
      </c>
      <c r="M1381" s="5">
        <v>0</v>
      </c>
    </row>
    <row r="1382" spans="1:13" hidden="1" x14ac:dyDescent="0.25">
      <c r="A1382" t="s">
        <v>1393</v>
      </c>
      <c r="B1382" s="1">
        <v>3.9144842710727719E-2</v>
      </c>
      <c r="C1382" s="2">
        <v>1.115374693950766E-5</v>
      </c>
      <c r="D1382" s="2"/>
      <c r="E1382" s="2">
        <v>1.8994969442682059</v>
      </c>
      <c r="F1382" s="3">
        <v>261.20615625731881</v>
      </c>
      <c r="G1382" s="3">
        <v>1</v>
      </c>
      <c r="H1382" s="2">
        <v>5.4188793757450959E-5</v>
      </c>
      <c r="I1382" s="4">
        <v>0</v>
      </c>
      <c r="J1382" s="4">
        <v>1.8994969442682059</v>
      </c>
      <c r="K1382" s="5">
        <v>1</v>
      </c>
      <c r="L1382" s="5">
        <v>0</v>
      </c>
      <c r="M1382" s="5">
        <v>0</v>
      </c>
    </row>
    <row r="1383" spans="1:13" hidden="1" x14ac:dyDescent="0.25">
      <c r="A1383" t="s">
        <v>1394</v>
      </c>
      <c r="B1383" s="1">
        <v>3.9120236951164768E-2</v>
      </c>
      <c r="C1383" s="2">
        <v>1.114673589037796E-5</v>
      </c>
      <c r="D1383" s="2"/>
      <c r="E1383" s="2">
        <v>-7.4413655653297828E-2</v>
      </c>
      <c r="F1383" s="3">
        <v>83.383033656579471</v>
      </c>
      <c r="G1383" s="3">
        <v>1</v>
      </c>
      <c r="H1383" s="2">
        <v>5.4188793757450959E-5</v>
      </c>
      <c r="I1383" s="4">
        <v>-2.775557561562891E-17</v>
      </c>
      <c r="J1383" s="4">
        <v>-7.44136556532978E-2</v>
      </c>
      <c r="K1383" s="5">
        <v>1</v>
      </c>
      <c r="L1383" s="5">
        <v>0</v>
      </c>
      <c r="M1383" s="5">
        <v>0</v>
      </c>
    </row>
    <row r="1384" spans="1:13" hidden="1" x14ac:dyDescent="0.25">
      <c r="A1384" t="s">
        <v>1395</v>
      </c>
      <c r="B1384" s="1">
        <v>3.9120088824934098E-2</v>
      </c>
      <c r="C1384" s="2">
        <v>1.1146693683988109E-5</v>
      </c>
      <c r="D1384" s="2"/>
      <c r="E1384" s="2">
        <v>-0.54909774212576479</v>
      </c>
      <c r="F1384" s="3">
        <v>40.620303415012231</v>
      </c>
      <c r="G1384" s="3">
        <v>2</v>
      </c>
      <c r="H1384" s="2">
        <v>1.083775875149019E-4</v>
      </c>
      <c r="I1384" s="4">
        <v>0</v>
      </c>
      <c r="J1384" s="4">
        <v>-0.54909774212576479</v>
      </c>
      <c r="K1384" s="5">
        <v>2</v>
      </c>
      <c r="L1384" s="5">
        <v>0</v>
      </c>
      <c r="M1384" s="5">
        <v>2</v>
      </c>
    </row>
    <row r="1385" spans="1:13" hidden="1" x14ac:dyDescent="0.25">
      <c r="A1385" t="s">
        <v>1396</v>
      </c>
      <c r="B1385" s="1">
        <v>3.9066127036994157E-2</v>
      </c>
      <c r="C1385" s="2">
        <v>1.1131318066527251E-5</v>
      </c>
      <c r="D1385" s="2"/>
      <c r="E1385" s="2">
        <v>-0.3578866179500404</v>
      </c>
      <c r="F1385" s="3">
        <v>57.845885555498832</v>
      </c>
      <c r="G1385" s="3">
        <v>1</v>
      </c>
      <c r="H1385" s="2">
        <v>5.4188793757450959E-5</v>
      </c>
      <c r="I1385" s="4">
        <v>0</v>
      </c>
      <c r="J1385" s="4">
        <v>-0.3578866179500404</v>
      </c>
      <c r="K1385" s="5">
        <v>1</v>
      </c>
      <c r="L1385" s="5">
        <v>0</v>
      </c>
      <c r="M1385" s="5">
        <v>0</v>
      </c>
    </row>
    <row r="1386" spans="1:13" hidden="1" x14ac:dyDescent="0.25">
      <c r="A1386" t="s">
        <v>1397</v>
      </c>
      <c r="B1386" s="1">
        <v>3.9036911441017917E-2</v>
      </c>
      <c r="C1386" s="2">
        <v>1.1122993512342329E-5</v>
      </c>
      <c r="D1386" s="2"/>
      <c r="E1386" s="2">
        <v>-0.52367045897888809</v>
      </c>
      <c r="F1386" s="3">
        <v>42.910963837328502</v>
      </c>
      <c r="G1386" s="3">
        <v>2</v>
      </c>
      <c r="H1386" s="2">
        <v>1.083775875149019E-4</v>
      </c>
      <c r="I1386" s="4">
        <v>2.2204460492503131E-16</v>
      </c>
      <c r="J1386" s="4">
        <v>-0.52367045897888831</v>
      </c>
      <c r="K1386" s="5">
        <v>2</v>
      </c>
      <c r="L1386" s="5">
        <v>0</v>
      </c>
      <c r="M1386" s="5">
        <v>0</v>
      </c>
    </row>
    <row r="1387" spans="1:13" hidden="1" x14ac:dyDescent="0.25">
      <c r="A1387" t="s">
        <v>1398</v>
      </c>
      <c r="B1387" s="1">
        <v>3.8971586610967467E-2</v>
      </c>
      <c r="C1387" s="2">
        <v>1.110438016323186E-5</v>
      </c>
      <c r="D1387" s="2"/>
      <c r="E1387" s="2">
        <v>-0.54058266976986347</v>
      </c>
      <c r="F1387" s="3">
        <v>41.387398315641377</v>
      </c>
      <c r="G1387" s="3">
        <v>1</v>
      </c>
      <c r="H1387" s="2">
        <v>5.4188793757450959E-5</v>
      </c>
      <c r="I1387" s="4">
        <v>-0.2197368653897934</v>
      </c>
      <c r="J1387" s="4">
        <v>-0.3208458043800701</v>
      </c>
      <c r="K1387" s="5">
        <v>1</v>
      </c>
      <c r="L1387" s="5">
        <v>0</v>
      </c>
      <c r="M1387" s="5">
        <v>0</v>
      </c>
    </row>
    <row r="1388" spans="1:13" hidden="1" x14ac:dyDescent="0.25">
      <c r="A1388" t="s">
        <v>1399</v>
      </c>
      <c r="B1388" s="1">
        <v>3.8931007333581097E-2</v>
      </c>
      <c r="C1388" s="2">
        <v>1.10928176952383E-5</v>
      </c>
      <c r="D1388" s="2"/>
      <c r="E1388" s="2" t="s">
        <v>303</v>
      </c>
      <c r="F1388" s="3" t="s">
        <v>303</v>
      </c>
      <c r="G1388" s="3">
        <v>1</v>
      </c>
      <c r="H1388" s="2">
        <v>5.4188793757450959E-5</v>
      </c>
      <c r="I1388" s="4" t="s">
        <v>303</v>
      </c>
      <c r="J1388" s="4">
        <v>0</v>
      </c>
      <c r="K1388" s="5">
        <v>1</v>
      </c>
      <c r="L1388" s="5">
        <v>0</v>
      </c>
      <c r="M1388" s="5">
        <v>0</v>
      </c>
    </row>
    <row r="1389" spans="1:13" hidden="1" x14ac:dyDescent="0.25">
      <c r="A1389" t="s">
        <v>1400</v>
      </c>
      <c r="B1389" s="1">
        <v>3.8929435614545753E-2</v>
      </c>
      <c r="C1389" s="2">
        <v>1.1092369857026001E-5</v>
      </c>
      <c r="D1389" s="2"/>
      <c r="E1389" s="2">
        <v>3.2541807502346041</v>
      </c>
      <c r="F1389" s="3">
        <v>383.24517085259907</v>
      </c>
      <c r="G1389" s="3">
        <v>1</v>
      </c>
      <c r="H1389" s="2">
        <v>5.4188793757450959E-5</v>
      </c>
      <c r="I1389" s="4">
        <v>4.4408920985006262E-16</v>
      </c>
      <c r="J1389" s="4">
        <v>3.2541807502346041</v>
      </c>
      <c r="K1389" s="5">
        <v>1</v>
      </c>
      <c r="L1389" s="5">
        <v>0</v>
      </c>
      <c r="M1389" s="5">
        <v>0</v>
      </c>
    </row>
    <row r="1390" spans="1:13" hidden="1" x14ac:dyDescent="0.25">
      <c r="A1390" t="s">
        <v>1401</v>
      </c>
      <c r="B1390" s="1">
        <v>3.8886543396846683E-2</v>
      </c>
      <c r="C1390" s="2">
        <v>1.108014835072375E-5</v>
      </c>
      <c r="D1390" s="2"/>
      <c r="E1390" s="2">
        <v>-9.5288306137014334E-2</v>
      </c>
      <c r="F1390" s="3">
        <v>81.502504957680387</v>
      </c>
      <c r="G1390" s="3">
        <v>1</v>
      </c>
      <c r="H1390" s="2">
        <v>5.4188793757450959E-5</v>
      </c>
      <c r="I1390" s="4">
        <v>-1.387778780781446E-17</v>
      </c>
      <c r="J1390" s="4">
        <v>-9.528830613701432E-2</v>
      </c>
      <c r="K1390" s="5">
        <v>1</v>
      </c>
      <c r="L1390" s="5">
        <v>0</v>
      </c>
      <c r="M1390" s="5">
        <v>0</v>
      </c>
    </row>
    <row r="1391" spans="1:13" hidden="1" x14ac:dyDescent="0.25">
      <c r="A1391" t="s">
        <v>1402</v>
      </c>
      <c r="B1391" s="1">
        <v>3.8854115937878478E-2</v>
      </c>
      <c r="C1391" s="2">
        <v>1.107090862343974E-5</v>
      </c>
      <c r="D1391" s="2"/>
      <c r="E1391" s="2">
        <v>2.1494005530268971</v>
      </c>
      <c r="F1391" s="3">
        <v>283.71915155732432</v>
      </c>
      <c r="G1391" s="3">
        <v>1</v>
      </c>
      <c r="H1391" s="2">
        <v>5.4188793757450959E-5</v>
      </c>
      <c r="I1391" s="4">
        <v>0</v>
      </c>
      <c r="J1391" s="4">
        <v>2.1494005530268971</v>
      </c>
      <c r="K1391" s="5">
        <v>1</v>
      </c>
      <c r="L1391" s="5">
        <v>0</v>
      </c>
      <c r="M1391" s="5">
        <v>0</v>
      </c>
    </row>
    <row r="1392" spans="1:13" hidden="1" x14ac:dyDescent="0.25">
      <c r="A1392" t="s">
        <v>1403</v>
      </c>
      <c r="B1392" s="1">
        <v>3.8839891903992417E-2</v>
      </c>
      <c r="C1392" s="2">
        <v>1.106685569428132E-5</v>
      </c>
      <c r="D1392" s="2"/>
      <c r="E1392" s="2">
        <v>-0.30444316957825629</v>
      </c>
      <c r="F1392" s="3">
        <v>62.660430283309687</v>
      </c>
      <c r="G1392" s="3">
        <v>2</v>
      </c>
      <c r="H1392" s="2">
        <v>1.083775875149019E-4</v>
      </c>
      <c r="I1392" s="4">
        <v>-1.110223024625157E-16</v>
      </c>
      <c r="J1392" s="4">
        <v>-0.30444316957825618</v>
      </c>
      <c r="K1392" s="5">
        <v>2</v>
      </c>
      <c r="L1392" s="5">
        <v>0</v>
      </c>
      <c r="M1392" s="5">
        <v>1</v>
      </c>
    </row>
    <row r="1393" spans="1:13" hidden="1" x14ac:dyDescent="0.25">
      <c r="A1393" t="s">
        <v>1404</v>
      </c>
      <c r="B1393" s="1">
        <v>3.8829236778753912E-2</v>
      </c>
      <c r="C1393" s="2">
        <v>1.106381967312785E-5</v>
      </c>
      <c r="D1393" s="2"/>
      <c r="E1393" s="2">
        <v>0.2005766755966141</v>
      </c>
      <c r="F1393" s="3">
        <v>108.1560093880111</v>
      </c>
      <c r="G1393" s="3">
        <v>1</v>
      </c>
      <c r="H1393" s="2">
        <v>5.4188793757450959E-5</v>
      </c>
      <c r="I1393" s="4">
        <v>1.110223024625157E-16</v>
      </c>
      <c r="J1393" s="4">
        <v>0.20057667559661399</v>
      </c>
      <c r="K1393" s="5">
        <v>1</v>
      </c>
      <c r="L1393" s="5">
        <v>1</v>
      </c>
      <c r="M1393" s="5">
        <v>0</v>
      </c>
    </row>
    <row r="1394" spans="1:13" hidden="1" x14ac:dyDescent="0.25">
      <c r="A1394" t="s">
        <v>1405</v>
      </c>
      <c r="B1394" s="1">
        <v>3.8755366321852433E-2</v>
      </c>
      <c r="C1394" s="2">
        <v>1.1042771373389531E-5</v>
      </c>
      <c r="D1394" s="2"/>
      <c r="E1394" s="2">
        <v>-0.35007096182256259</v>
      </c>
      <c r="F1394" s="3">
        <v>58.549972345354959</v>
      </c>
      <c r="G1394" s="3">
        <v>1</v>
      </c>
      <c r="H1394" s="2">
        <v>5.4188793757450959E-5</v>
      </c>
      <c r="I1394" s="4">
        <v>5.5511151231257827E-17</v>
      </c>
      <c r="J1394" s="4">
        <v>-0.35007096182256259</v>
      </c>
      <c r="K1394" s="5">
        <v>1</v>
      </c>
      <c r="L1394" s="5">
        <v>0</v>
      </c>
      <c r="M1394" s="5">
        <v>0</v>
      </c>
    </row>
    <row r="1395" spans="1:13" hidden="1" x14ac:dyDescent="0.25">
      <c r="A1395" t="s">
        <v>1406</v>
      </c>
      <c r="B1395" s="1">
        <v>3.8675387420262483E-2</v>
      </c>
      <c r="C1395" s="2">
        <v>1.101998256221902E-5</v>
      </c>
      <c r="D1395" s="2"/>
      <c r="E1395" s="2">
        <v>-0.39732562932165649</v>
      </c>
      <c r="F1395" s="3">
        <v>54.292954559198513</v>
      </c>
      <c r="G1395" s="3">
        <v>1</v>
      </c>
      <c r="H1395" s="2">
        <v>5.4188793757450959E-5</v>
      </c>
      <c r="I1395" s="4">
        <v>0</v>
      </c>
      <c r="J1395" s="4">
        <v>-0.39732562932165649</v>
      </c>
      <c r="K1395" s="5">
        <v>1</v>
      </c>
      <c r="L1395" s="5">
        <v>0</v>
      </c>
      <c r="M1395" s="5">
        <v>0</v>
      </c>
    </row>
    <row r="1396" spans="1:13" hidden="1" x14ac:dyDescent="0.25">
      <c r="A1396" t="s">
        <v>1407</v>
      </c>
      <c r="B1396" s="1">
        <v>3.8660818833318213E-2</v>
      </c>
      <c r="C1396" s="2">
        <v>1.1015831457736541E-5</v>
      </c>
      <c r="D1396" s="2"/>
      <c r="E1396" s="2">
        <v>-0.56915003661889396</v>
      </c>
      <c r="F1396" s="3">
        <v>38.81385806626156</v>
      </c>
      <c r="G1396" s="3">
        <v>3</v>
      </c>
      <c r="H1396" s="2">
        <v>1.6256638127235291E-4</v>
      </c>
      <c r="I1396" s="4">
        <v>0</v>
      </c>
      <c r="J1396" s="4">
        <v>-0.56915003661889396</v>
      </c>
      <c r="K1396" s="5">
        <v>3</v>
      </c>
      <c r="L1396" s="5">
        <v>0</v>
      </c>
      <c r="M1396" s="5">
        <v>0</v>
      </c>
    </row>
    <row r="1397" spans="1:13" hidden="1" x14ac:dyDescent="0.25">
      <c r="A1397" t="s">
        <v>1408</v>
      </c>
      <c r="B1397" s="1">
        <v>3.8653035966295088E-2</v>
      </c>
      <c r="C1397" s="2">
        <v>1.101361384429812E-5</v>
      </c>
      <c r="D1397" s="2"/>
      <c r="E1397" s="2">
        <v>0.32247497047108431</v>
      </c>
      <c r="F1397" s="3">
        <v>119.1374263960285</v>
      </c>
      <c r="G1397" s="3">
        <v>1</v>
      </c>
      <c r="H1397" s="2">
        <v>5.4188793757450959E-5</v>
      </c>
      <c r="I1397" s="4">
        <v>1.110223024625157E-16</v>
      </c>
      <c r="J1397" s="4">
        <v>0.3224749704710842</v>
      </c>
      <c r="K1397" s="5">
        <v>1</v>
      </c>
      <c r="L1397" s="5">
        <v>0</v>
      </c>
      <c r="M1397" s="5">
        <v>0</v>
      </c>
    </row>
    <row r="1398" spans="1:13" hidden="1" x14ac:dyDescent="0.25">
      <c r="A1398" t="s">
        <v>1409</v>
      </c>
      <c r="B1398" s="1">
        <v>3.8556147504021462E-2</v>
      </c>
      <c r="C1398" s="2">
        <v>1.098600690262399E-5</v>
      </c>
      <c r="D1398" s="2"/>
      <c r="E1398" s="2">
        <v>4.6975430383565691</v>
      </c>
      <c r="F1398" s="3">
        <v>513.27293863914554</v>
      </c>
      <c r="G1398" s="3">
        <v>1</v>
      </c>
      <c r="H1398" s="2">
        <v>5.4188793757450959E-5</v>
      </c>
      <c r="I1398" s="4">
        <v>8.8817841970012523E-16</v>
      </c>
      <c r="J1398" s="4">
        <v>4.6975430383565682</v>
      </c>
      <c r="K1398" s="5">
        <v>1</v>
      </c>
      <c r="L1398" s="5">
        <v>0</v>
      </c>
      <c r="M1398" s="5">
        <v>0</v>
      </c>
    </row>
    <row r="1399" spans="1:13" hidden="1" x14ac:dyDescent="0.25">
      <c r="A1399" t="s">
        <v>1410</v>
      </c>
      <c r="B1399" s="1">
        <v>3.8531792759322003E-2</v>
      </c>
      <c r="C1399" s="2">
        <v>1.0979067376486121E-5</v>
      </c>
      <c r="D1399" s="2"/>
      <c r="E1399" s="2">
        <v>-0.27641388396720351</v>
      </c>
      <c r="F1399" s="3">
        <v>65.185496561297953</v>
      </c>
      <c r="G1399" s="3">
        <v>1</v>
      </c>
      <c r="H1399" s="2">
        <v>5.4188793757450959E-5</v>
      </c>
      <c r="I1399" s="4">
        <v>0</v>
      </c>
      <c r="J1399" s="4">
        <v>-0.27641388396720351</v>
      </c>
      <c r="K1399" s="5">
        <v>1</v>
      </c>
      <c r="L1399" s="5">
        <v>0</v>
      </c>
      <c r="M1399" s="5">
        <v>0</v>
      </c>
    </row>
    <row r="1400" spans="1:13" hidden="1" x14ac:dyDescent="0.25">
      <c r="A1400" t="s">
        <v>1411</v>
      </c>
      <c r="B1400" s="1">
        <v>3.8519714880172452E-2</v>
      </c>
      <c r="C1400" s="2">
        <v>1.0975625962540589E-5</v>
      </c>
      <c r="D1400" s="2"/>
      <c r="E1400" s="2">
        <v>-0.6200049920555295</v>
      </c>
      <c r="F1400" s="3">
        <v>34.232502165024897</v>
      </c>
      <c r="G1400" s="3">
        <v>2</v>
      </c>
      <c r="H1400" s="2">
        <v>1.083775875149019E-4</v>
      </c>
      <c r="I1400" s="4">
        <v>-0.37796101360828699</v>
      </c>
      <c r="J1400" s="4">
        <v>-0.24204397844724251</v>
      </c>
      <c r="K1400" s="5">
        <v>2</v>
      </c>
      <c r="L1400" s="5">
        <v>0</v>
      </c>
      <c r="M1400" s="5">
        <v>1</v>
      </c>
    </row>
    <row r="1401" spans="1:13" hidden="1" x14ac:dyDescent="0.25">
      <c r="A1401" t="s">
        <v>1412</v>
      </c>
      <c r="B1401" s="1">
        <v>3.8452652801579383E-2</v>
      </c>
      <c r="C1401" s="2">
        <v>1.095651761002039E-5</v>
      </c>
      <c r="D1401" s="2"/>
      <c r="E1401" s="2">
        <v>-0.50824943693805547</v>
      </c>
      <c r="F1401" s="3">
        <v>44.300193062352541</v>
      </c>
      <c r="G1401" s="3">
        <v>2</v>
      </c>
      <c r="H1401" s="2">
        <v>1.083775875149019E-4</v>
      </c>
      <c r="I1401" s="4">
        <v>-1.110223024625157E-16</v>
      </c>
      <c r="J1401" s="4">
        <v>-0.50824943693805535</v>
      </c>
      <c r="K1401" s="5">
        <v>2</v>
      </c>
      <c r="L1401" s="5">
        <v>0</v>
      </c>
      <c r="M1401" s="5">
        <v>0</v>
      </c>
    </row>
    <row r="1402" spans="1:13" hidden="1" x14ac:dyDescent="0.25">
      <c r="A1402" t="s">
        <v>1413</v>
      </c>
      <c r="B1402" s="1">
        <v>3.8450699466601339E-2</v>
      </c>
      <c r="C1402" s="2">
        <v>1.095596103596045E-5</v>
      </c>
      <c r="D1402" s="2"/>
      <c r="E1402" s="2">
        <v>0.12703050931513671</v>
      </c>
      <c r="F1402" s="3">
        <v>101.53047683146789</v>
      </c>
      <c r="G1402" s="3">
        <v>1</v>
      </c>
      <c r="H1402" s="2">
        <v>5.4188793757450959E-5</v>
      </c>
      <c r="I1402" s="4">
        <v>1.110223024625157E-16</v>
      </c>
      <c r="J1402" s="4">
        <v>0.1270305093151366</v>
      </c>
      <c r="K1402" s="5">
        <v>1</v>
      </c>
      <c r="L1402" s="5">
        <v>0</v>
      </c>
      <c r="M1402" s="5">
        <v>1</v>
      </c>
    </row>
    <row r="1403" spans="1:13" hidden="1" x14ac:dyDescent="0.25">
      <c r="A1403" t="s">
        <v>1414</v>
      </c>
      <c r="B1403" s="1">
        <v>3.8412438448483653E-2</v>
      </c>
      <c r="C1403" s="2">
        <v>1.094505912183383E-5</v>
      </c>
      <c r="D1403" s="2"/>
      <c r="E1403" s="2">
        <v>-0.19886347517167741</v>
      </c>
      <c r="F1403" s="3">
        <v>72.171758173922512</v>
      </c>
      <c r="G1403" s="3">
        <v>1</v>
      </c>
      <c r="H1403" s="2">
        <v>5.4188793757450959E-5</v>
      </c>
      <c r="I1403" s="4">
        <v>-2.775557561562891E-17</v>
      </c>
      <c r="J1403" s="4">
        <v>-0.1988634751716773</v>
      </c>
      <c r="K1403" s="5">
        <v>1</v>
      </c>
      <c r="L1403" s="5">
        <v>0</v>
      </c>
      <c r="M1403" s="5">
        <v>0</v>
      </c>
    </row>
    <row r="1404" spans="1:13" hidden="1" x14ac:dyDescent="0.25">
      <c r="A1404" t="s">
        <v>1415</v>
      </c>
      <c r="B1404" s="1">
        <v>3.8389846488423543E-2</v>
      </c>
      <c r="C1404" s="2">
        <v>1.0938621875240709E-5</v>
      </c>
      <c r="D1404" s="2"/>
      <c r="E1404" s="2" t="s">
        <v>303</v>
      </c>
      <c r="F1404" s="3" t="s">
        <v>303</v>
      </c>
      <c r="G1404" s="3">
        <v>1</v>
      </c>
      <c r="H1404" s="2">
        <v>5.4188793757450959E-5</v>
      </c>
      <c r="I1404" s="4" t="s">
        <v>303</v>
      </c>
      <c r="J1404" s="4">
        <v>0</v>
      </c>
      <c r="K1404" s="5">
        <v>1</v>
      </c>
      <c r="L1404" s="5">
        <v>0</v>
      </c>
      <c r="M1404" s="5">
        <v>0</v>
      </c>
    </row>
    <row r="1405" spans="1:13" hidden="1" x14ac:dyDescent="0.25">
      <c r="A1405" t="s">
        <v>1416</v>
      </c>
      <c r="B1405" s="1">
        <v>3.8333998691027597E-2</v>
      </c>
      <c r="C1405" s="2">
        <v>1.0922708867136769E-5</v>
      </c>
      <c r="D1405" s="2"/>
      <c r="E1405" s="2">
        <v>5.5769925770100759E-2</v>
      </c>
      <c r="F1405" s="3">
        <v>95.110844916611683</v>
      </c>
      <c r="G1405" s="3">
        <v>1</v>
      </c>
      <c r="H1405" s="2">
        <v>5.4188793757450959E-5</v>
      </c>
      <c r="I1405" s="4">
        <v>1.387778780781446E-17</v>
      </c>
      <c r="J1405" s="4">
        <v>5.5769925770100752E-2</v>
      </c>
      <c r="K1405" s="5">
        <v>1</v>
      </c>
      <c r="L1405" s="5">
        <v>0</v>
      </c>
      <c r="M1405" s="5">
        <v>0</v>
      </c>
    </row>
    <row r="1406" spans="1:13" hidden="1" x14ac:dyDescent="0.25">
      <c r="A1406" t="s">
        <v>1417</v>
      </c>
      <c r="B1406" s="1">
        <v>3.8278649989141669E-2</v>
      </c>
      <c r="C1406" s="2">
        <v>1.0906938068954539E-5</v>
      </c>
      <c r="D1406" s="2"/>
      <c r="E1406" s="2">
        <v>-0.41460077600528689</v>
      </c>
      <c r="F1406" s="3">
        <v>52.736693335011822</v>
      </c>
      <c r="G1406" s="3">
        <v>1</v>
      </c>
      <c r="H1406" s="2">
        <v>5.4188793757450959E-5</v>
      </c>
      <c r="I1406" s="4">
        <v>-5.5511151231257827E-17</v>
      </c>
      <c r="J1406" s="4">
        <v>-0.41460077600528678</v>
      </c>
      <c r="K1406" s="5">
        <v>1</v>
      </c>
      <c r="L1406" s="5">
        <v>0</v>
      </c>
      <c r="M1406" s="5">
        <v>0</v>
      </c>
    </row>
    <row r="1407" spans="1:13" hidden="1" x14ac:dyDescent="0.25">
      <c r="A1407" t="s">
        <v>1418</v>
      </c>
      <c r="B1407" s="1">
        <v>3.8236919405788647E-2</v>
      </c>
      <c r="C1407" s="2">
        <v>1.08950475532665E-5</v>
      </c>
      <c r="D1407" s="2"/>
      <c r="E1407" s="2">
        <v>-0.20019790949651861</v>
      </c>
      <c r="F1407" s="3">
        <v>72.051543368571984</v>
      </c>
      <c r="G1407" s="3">
        <v>1</v>
      </c>
      <c r="H1407" s="2">
        <v>5.4188793757450959E-5</v>
      </c>
      <c r="I1407" s="4">
        <v>0</v>
      </c>
      <c r="J1407" s="4">
        <v>-0.20019790949651861</v>
      </c>
      <c r="K1407" s="5">
        <v>1</v>
      </c>
      <c r="L1407" s="5">
        <v>0</v>
      </c>
      <c r="M1407" s="5">
        <v>1</v>
      </c>
    </row>
    <row r="1408" spans="1:13" hidden="1" x14ac:dyDescent="0.25">
      <c r="A1408" t="s">
        <v>1419</v>
      </c>
      <c r="B1408" s="1">
        <v>3.8088614150506919E-2</v>
      </c>
      <c r="C1408" s="2">
        <v>1.08527901529894E-5</v>
      </c>
      <c r="D1408" s="2"/>
      <c r="E1408" s="2">
        <v>-0.561748990447137</v>
      </c>
      <c r="F1408" s="3">
        <v>39.480594007000938</v>
      </c>
      <c r="G1408" s="3">
        <v>1</v>
      </c>
      <c r="H1408" s="2">
        <v>5.4188793757450959E-5</v>
      </c>
      <c r="I1408" s="4">
        <v>0</v>
      </c>
      <c r="J1408" s="4">
        <v>-0.561748990447137</v>
      </c>
      <c r="K1408" s="5">
        <v>1</v>
      </c>
      <c r="L1408" s="5">
        <v>0</v>
      </c>
      <c r="M1408" s="5">
        <v>0</v>
      </c>
    </row>
    <row r="1409" spans="1:13" hidden="1" x14ac:dyDescent="0.25">
      <c r="A1409" t="s">
        <v>1420</v>
      </c>
      <c r="B1409" s="1">
        <v>3.8009936298891267E-2</v>
      </c>
      <c r="C1409" s="2">
        <v>1.083037205686496E-5</v>
      </c>
      <c r="D1409" s="2"/>
      <c r="E1409" s="2">
        <v>-9.7130719303939905E-2</v>
      </c>
      <c r="F1409" s="3">
        <v>81.336528006912474</v>
      </c>
      <c r="G1409" s="3">
        <v>1</v>
      </c>
      <c r="H1409" s="2">
        <v>5.4188793757450959E-5</v>
      </c>
      <c r="I1409" s="4">
        <v>-0.45605069883377308</v>
      </c>
      <c r="J1409" s="4">
        <v>0.35891997952983318</v>
      </c>
      <c r="K1409" s="5">
        <v>1</v>
      </c>
      <c r="L1409" s="5">
        <v>0</v>
      </c>
      <c r="M1409" s="5">
        <v>0</v>
      </c>
    </row>
    <row r="1410" spans="1:13" hidden="1" x14ac:dyDescent="0.25">
      <c r="A1410" t="s">
        <v>1421</v>
      </c>
      <c r="B1410" s="1">
        <v>3.7845217166936992E-2</v>
      </c>
      <c r="C1410" s="2">
        <v>1.0783437763949541E-5</v>
      </c>
      <c r="D1410" s="2"/>
      <c r="E1410" s="2">
        <v>0.35961367868044669</v>
      </c>
      <c r="F1410" s="3">
        <v>122.48313063583009</v>
      </c>
      <c r="G1410" s="3">
        <v>1</v>
      </c>
      <c r="H1410" s="2">
        <v>5.4188793757450959E-5</v>
      </c>
      <c r="I1410" s="4">
        <v>-5.5511151231257827E-17</v>
      </c>
      <c r="J1410" s="4">
        <v>0.35961367868044669</v>
      </c>
      <c r="K1410" s="5">
        <v>1</v>
      </c>
      <c r="L1410" s="5">
        <v>0</v>
      </c>
      <c r="M1410" s="5">
        <v>0</v>
      </c>
    </row>
    <row r="1411" spans="1:13" hidden="1" x14ac:dyDescent="0.25">
      <c r="A1411" t="s">
        <v>1422</v>
      </c>
      <c r="B1411" s="1">
        <v>3.7823096479748838E-2</v>
      </c>
      <c r="C1411" s="2">
        <v>1.0777134799626811E-5</v>
      </c>
      <c r="D1411" s="2"/>
      <c r="E1411" s="2">
        <v>-0.65652861575223176</v>
      </c>
      <c r="F1411" s="3">
        <v>30.94220886871237</v>
      </c>
      <c r="G1411" s="3">
        <v>2</v>
      </c>
      <c r="H1411" s="2">
        <v>1.083775875149019E-4</v>
      </c>
      <c r="I1411" s="4">
        <v>1.110223024625157E-16</v>
      </c>
      <c r="J1411" s="4">
        <v>-0.65652861575223198</v>
      </c>
      <c r="K1411" s="5">
        <v>2</v>
      </c>
      <c r="L1411" s="5">
        <v>0</v>
      </c>
      <c r="M1411" s="5">
        <v>0</v>
      </c>
    </row>
    <row r="1412" spans="1:13" hidden="1" x14ac:dyDescent="0.25">
      <c r="A1412" t="s">
        <v>1423</v>
      </c>
      <c r="B1412" s="1">
        <v>3.7778786535317258E-2</v>
      </c>
      <c r="C1412" s="2">
        <v>1.0764509332953061E-5</v>
      </c>
      <c r="D1412" s="2"/>
      <c r="E1412" s="2">
        <v>-0.44418122409111538</v>
      </c>
      <c r="F1412" s="3">
        <v>50.071887924493083</v>
      </c>
      <c r="G1412" s="3">
        <v>1</v>
      </c>
      <c r="H1412" s="2">
        <v>5.4188793757450959E-5</v>
      </c>
      <c r="I1412" s="4">
        <v>-0.19546762024610431</v>
      </c>
      <c r="J1412" s="4">
        <v>-0.24871360384501109</v>
      </c>
      <c r="K1412" s="5">
        <v>1</v>
      </c>
      <c r="L1412" s="5">
        <v>0</v>
      </c>
      <c r="M1412" s="5">
        <v>0</v>
      </c>
    </row>
    <row r="1413" spans="1:13" hidden="1" x14ac:dyDescent="0.25">
      <c r="A1413" t="s">
        <v>1424</v>
      </c>
      <c r="B1413" s="1">
        <v>3.7763966862856373E-2</v>
      </c>
      <c r="C1413" s="2">
        <v>1.0760286685347169E-5</v>
      </c>
      <c r="D1413" s="2"/>
      <c r="E1413" s="2">
        <v>-0.15034120659480579</v>
      </c>
      <c r="F1413" s="3">
        <v>76.542969977716524</v>
      </c>
      <c r="G1413" s="3">
        <v>1</v>
      </c>
      <c r="H1413" s="2">
        <v>5.4188793757450959E-5</v>
      </c>
      <c r="I1413" s="4">
        <v>2.775557561562891E-17</v>
      </c>
      <c r="J1413" s="4">
        <v>-0.15034120659480579</v>
      </c>
      <c r="K1413" s="5">
        <v>1</v>
      </c>
      <c r="L1413" s="5">
        <v>0</v>
      </c>
      <c r="M1413" s="5">
        <v>1</v>
      </c>
    </row>
    <row r="1414" spans="1:13" hidden="1" x14ac:dyDescent="0.25">
      <c r="A1414" t="s">
        <v>1425</v>
      </c>
      <c r="B1414" s="1">
        <v>3.77410327339451E-2</v>
      </c>
      <c r="C1414" s="2">
        <v>1.0753751942774711E-5</v>
      </c>
      <c r="D1414" s="2"/>
      <c r="E1414" s="2">
        <v>0.28014687046626457</v>
      </c>
      <c r="F1414" s="3">
        <v>115.3242268940285</v>
      </c>
      <c r="G1414" s="3">
        <v>1</v>
      </c>
      <c r="H1414" s="2">
        <v>5.4188793757450959E-5</v>
      </c>
      <c r="I1414" s="4">
        <v>0</v>
      </c>
      <c r="J1414" s="4">
        <v>0.28014687046626457</v>
      </c>
      <c r="K1414" s="5">
        <v>1</v>
      </c>
      <c r="L1414" s="5">
        <v>0</v>
      </c>
      <c r="M1414" s="5">
        <v>0</v>
      </c>
    </row>
    <row r="1415" spans="1:13" hidden="1" x14ac:dyDescent="0.25">
      <c r="A1415" t="s">
        <v>1426</v>
      </c>
      <c r="B1415" s="1">
        <v>3.7688542435415168E-2</v>
      </c>
      <c r="C1415" s="2">
        <v>1.073879560456922E-5</v>
      </c>
      <c r="D1415" s="2"/>
      <c r="E1415" s="2" t="s">
        <v>303</v>
      </c>
      <c r="F1415" s="3" t="s">
        <v>303</v>
      </c>
      <c r="G1415" s="3">
        <v>1</v>
      </c>
      <c r="H1415" s="2">
        <v>5.4188793757450959E-5</v>
      </c>
      <c r="I1415" s="4" t="s">
        <v>303</v>
      </c>
      <c r="J1415" s="4">
        <v>0</v>
      </c>
      <c r="K1415" s="5">
        <v>1</v>
      </c>
      <c r="L1415" s="5">
        <v>0</v>
      </c>
      <c r="M1415" s="5">
        <v>0</v>
      </c>
    </row>
    <row r="1416" spans="1:13" hidden="1" x14ac:dyDescent="0.25">
      <c r="A1416" t="s">
        <v>1427</v>
      </c>
      <c r="B1416" s="1">
        <v>3.7594083283202122E-2</v>
      </c>
      <c r="C1416" s="2">
        <v>1.071188085905114E-5</v>
      </c>
      <c r="D1416" s="2"/>
      <c r="E1416" s="2">
        <v>-0.177083951969081</v>
      </c>
      <c r="F1416" s="3">
        <v>74.133803883994148</v>
      </c>
      <c r="G1416" s="3">
        <v>1</v>
      </c>
      <c r="H1416" s="2">
        <v>5.4188793757450959E-5</v>
      </c>
      <c r="I1416" s="4">
        <v>2.775557561562891E-17</v>
      </c>
      <c r="J1416" s="4">
        <v>-0.177083951969081</v>
      </c>
      <c r="K1416" s="5">
        <v>0</v>
      </c>
      <c r="L1416" s="5">
        <v>0</v>
      </c>
      <c r="M1416" s="5">
        <v>0</v>
      </c>
    </row>
    <row r="1417" spans="1:13" hidden="1" x14ac:dyDescent="0.25">
      <c r="A1417" t="s">
        <v>1428</v>
      </c>
      <c r="B1417" s="1">
        <v>3.7557931243488253E-2</v>
      </c>
      <c r="C1417" s="2">
        <v>1.0701579867288439E-5</v>
      </c>
      <c r="D1417" s="2"/>
      <c r="E1417" s="2">
        <v>-0.1125183252554821</v>
      </c>
      <c r="F1417" s="3">
        <v>79.950309127616848</v>
      </c>
      <c r="G1417" s="3">
        <v>1</v>
      </c>
      <c r="H1417" s="2">
        <v>5.4188793757450959E-5</v>
      </c>
      <c r="I1417" s="4">
        <v>4.163336342344337E-17</v>
      </c>
      <c r="J1417" s="4">
        <v>-0.1125183252554821</v>
      </c>
      <c r="K1417" s="5">
        <v>1</v>
      </c>
      <c r="L1417" s="5">
        <v>1</v>
      </c>
      <c r="M1417" s="5">
        <v>0</v>
      </c>
    </row>
    <row r="1418" spans="1:13" hidden="1" x14ac:dyDescent="0.25">
      <c r="A1418" t="s">
        <v>1429</v>
      </c>
      <c r="B1418" s="1">
        <v>3.7522765174112287E-2</v>
      </c>
      <c r="C1418" s="2">
        <v>1.069155981326561E-5</v>
      </c>
      <c r="D1418" s="2"/>
      <c r="E1418" s="2">
        <v>-0.22685394438175219</v>
      </c>
      <c r="F1418" s="3">
        <v>69.650188738005141</v>
      </c>
      <c r="G1418" s="3">
        <v>1</v>
      </c>
      <c r="H1418" s="2">
        <v>5.4188793757450959E-5</v>
      </c>
      <c r="I1418" s="4">
        <v>2.775557561562891E-17</v>
      </c>
      <c r="J1418" s="4">
        <v>-0.22685394438175219</v>
      </c>
      <c r="K1418" s="5">
        <v>1</v>
      </c>
      <c r="L1418" s="5">
        <v>0</v>
      </c>
      <c r="M1418" s="5">
        <v>0</v>
      </c>
    </row>
    <row r="1419" spans="1:13" hidden="1" x14ac:dyDescent="0.25">
      <c r="A1419" t="s">
        <v>1430</v>
      </c>
      <c r="B1419" s="1">
        <v>3.7522029620955979E-2</v>
      </c>
      <c r="C1419" s="2">
        <v>1.0691350228216901E-5</v>
      </c>
      <c r="D1419" s="2"/>
      <c r="E1419" s="2">
        <v>0.93173500568223711</v>
      </c>
      <c r="F1419" s="3">
        <v>174.02366184224979</v>
      </c>
      <c r="G1419" s="3">
        <v>1</v>
      </c>
      <c r="H1419" s="2">
        <v>5.4188793757450959E-5</v>
      </c>
      <c r="I1419" s="4">
        <v>0</v>
      </c>
      <c r="J1419" s="4">
        <v>0.93173500568223711</v>
      </c>
      <c r="K1419" s="5">
        <v>1</v>
      </c>
      <c r="L1419" s="5">
        <v>0</v>
      </c>
      <c r="M1419" s="5">
        <v>0</v>
      </c>
    </row>
    <row r="1420" spans="1:13" hidden="1" x14ac:dyDescent="0.25">
      <c r="A1420" t="s">
        <v>1431</v>
      </c>
      <c r="B1420" s="1">
        <v>3.7477362969754437E-2</v>
      </c>
      <c r="C1420" s="2">
        <v>1.067862312319776E-5</v>
      </c>
      <c r="D1420" s="2"/>
      <c r="E1420" s="2" t="s">
        <v>303</v>
      </c>
      <c r="F1420" s="3" t="s">
        <v>303</v>
      </c>
      <c r="G1420" s="3">
        <v>1</v>
      </c>
      <c r="H1420" s="2">
        <v>5.4188793757450959E-5</v>
      </c>
      <c r="I1420" s="4" t="s">
        <v>303</v>
      </c>
      <c r="J1420" s="4">
        <v>0</v>
      </c>
      <c r="K1420" s="5">
        <v>1</v>
      </c>
      <c r="L1420" s="5">
        <v>0</v>
      </c>
      <c r="M1420" s="5">
        <v>1</v>
      </c>
    </row>
    <row r="1421" spans="1:13" hidden="1" x14ac:dyDescent="0.25">
      <c r="A1421" t="s">
        <v>1432</v>
      </c>
      <c r="B1421" s="1">
        <v>3.7321820206212393E-2</v>
      </c>
      <c r="C1421" s="2">
        <v>1.063430350143711E-5</v>
      </c>
      <c r="D1421" s="2"/>
      <c r="E1421" s="2">
        <v>-0.20526365540267591</v>
      </c>
      <c r="F1421" s="3">
        <v>71.595186958423199</v>
      </c>
      <c r="G1421" s="3">
        <v>1</v>
      </c>
      <c r="H1421" s="2">
        <v>5.4188793757450959E-5</v>
      </c>
      <c r="I1421" s="4">
        <v>0</v>
      </c>
      <c r="J1421" s="4">
        <v>-0.20526365540267591</v>
      </c>
      <c r="K1421" s="5">
        <v>1</v>
      </c>
      <c r="L1421" s="5">
        <v>0</v>
      </c>
      <c r="M1421" s="5">
        <v>0</v>
      </c>
    </row>
    <row r="1422" spans="1:13" hidden="1" x14ac:dyDescent="0.25">
      <c r="A1422" t="s">
        <v>1433</v>
      </c>
      <c r="B1422" s="1">
        <v>3.7268979202161177E-2</v>
      </c>
      <c r="C1422" s="2">
        <v>1.0619247234853741E-5</v>
      </c>
      <c r="D1422" s="2"/>
      <c r="E1422" s="2">
        <v>0.55304968313376723</v>
      </c>
      <c r="F1422" s="3">
        <v>139.90914493286451</v>
      </c>
      <c r="G1422" s="3">
        <v>2</v>
      </c>
      <c r="H1422" s="2">
        <v>1.083775875149019E-4</v>
      </c>
      <c r="I1422" s="4">
        <v>-1.110223024625157E-16</v>
      </c>
      <c r="J1422" s="4">
        <v>0.55304968313376734</v>
      </c>
      <c r="K1422" s="5">
        <v>2</v>
      </c>
      <c r="L1422" s="5">
        <v>0</v>
      </c>
      <c r="M1422" s="5">
        <v>0</v>
      </c>
    </row>
    <row r="1423" spans="1:13" hidden="1" x14ac:dyDescent="0.25">
      <c r="A1423" t="s">
        <v>1434</v>
      </c>
      <c r="B1423" s="1">
        <v>3.725269627724459E-2</v>
      </c>
      <c r="C1423" s="2">
        <v>1.0614607654991411E-5</v>
      </c>
      <c r="D1423" s="2"/>
      <c r="E1423" s="2">
        <v>-0.68794100292452787</v>
      </c>
      <c r="F1423" s="3">
        <v>28.112370082931889</v>
      </c>
      <c r="G1423" s="3">
        <v>3</v>
      </c>
      <c r="H1423" s="2">
        <v>1.6256638127235291E-4</v>
      </c>
      <c r="I1423" s="4">
        <v>-1.110223024625157E-16</v>
      </c>
      <c r="J1423" s="4">
        <v>-0.68794100292452776</v>
      </c>
      <c r="K1423" s="5">
        <v>3</v>
      </c>
      <c r="L1423" s="5">
        <v>0</v>
      </c>
      <c r="M1423" s="5">
        <v>0</v>
      </c>
    </row>
    <row r="1424" spans="1:13" hidden="1" x14ac:dyDescent="0.25">
      <c r="A1424" t="s">
        <v>1435</v>
      </c>
      <c r="B1424" s="1">
        <v>3.7184288596570858E-2</v>
      </c>
      <c r="C1424" s="2">
        <v>1.059511589295799E-5</v>
      </c>
      <c r="D1424" s="2"/>
      <c r="E1424" s="2">
        <v>0.23564506868637319</v>
      </c>
      <c r="F1424" s="3">
        <v>111.3152057386762</v>
      </c>
      <c r="G1424" s="3">
        <v>3</v>
      </c>
      <c r="H1424" s="2">
        <v>1.6256638127235291E-4</v>
      </c>
      <c r="I1424" s="4">
        <v>-8.3266726846886741E-17</v>
      </c>
      <c r="J1424" s="4">
        <v>0.23564506868637319</v>
      </c>
      <c r="K1424" s="5">
        <v>3</v>
      </c>
      <c r="L1424" s="5">
        <v>0</v>
      </c>
      <c r="M1424" s="5">
        <v>0</v>
      </c>
    </row>
    <row r="1425" spans="1:13" hidden="1" x14ac:dyDescent="0.25">
      <c r="A1425" t="s">
        <v>1436</v>
      </c>
      <c r="B1425" s="1">
        <v>3.716811030267006E-2</v>
      </c>
      <c r="C1425" s="2">
        <v>1.0590506126164031E-5</v>
      </c>
      <c r="D1425" s="2"/>
      <c r="E1425" s="2">
        <v>9.7773857698981281E-2</v>
      </c>
      <c r="F1425" s="3">
        <v>98.894841181386511</v>
      </c>
      <c r="G1425" s="3">
        <v>1</v>
      </c>
      <c r="H1425" s="2">
        <v>5.4188793757450959E-5</v>
      </c>
      <c r="I1425" s="4">
        <v>2.775557561562891E-17</v>
      </c>
      <c r="J1425" s="4">
        <v>9.7773857698981254E-2</v>
      </c>
      <c r="K1425" s="5">
        <v>1</v>
      </c>
      <c r="L1425" s="5">
        <v>0</v>
      </c>
      <c r="M1425" s="5">
        <v>0</v>
      </c>
    </row>
    <row r="1426" spans="1:13" hidden="1" x14ac:dyDescent="0.25">
      <c r="A1426" t="s">
        <v>1437</v>
      </c>
      <c r="B1426" s="1">
        <v>3.7159025202183817E-2</v>
      </c>
      <c r="C1426" s="2">
        <v>1.058791746046182E-5</v>
      </c>
      <c r="D1426" s="2"/>
      <c r="E1426" s="2">
        <v>-0.36064128069493567</v>
      </c>
      <c r="F1426" s="3">
        <v>57.597727036552371</v>
      </c>
      <c r="G1426" s="3">
        <v>1</v>
      </c>
      <c r="H1426" s="2">
        <v>5.4188793757450959E-5</v>
      </c>
      <c r="I1426" s="4">
        <v>0</v>
      </c>
      <c r="J1426" s="4">
        <v>-0.36064128069493567</v>
      </c>
      <c r="K1426" s="5">
        <v>1</v>
      </c>
      <c r="L1426" s="5">
        <v>0</v>
      </c>
      <c r="M1426" s="5">
        <v>0</v>
      </c>
    </row>
    <row r="1427" spans="1:13" hidden="1" x14ac:dyDescent="0.25">
      <c r="A1427" t="s">
        <v>1438</v>
      </c>
      <c r="B1427" s="1">
        <v>3.7126580941083058E-2</v>
      </c>
      <c r="C1427" s="2">
        <v>1.057867294565738E-5</v>
      </c>
      <c r="D1427" s="2"/>
      <c r="E1427" s="2">
        <v>-0.2294680863830191</v>
      </c>
      <c r="F1427" s="3">
        <v>69.414689271309186</v>
      </c>
      <c r="G1427" s="3">
        <v>2</v>
      </c>
      <c r="H1427" s="2">
        <v>1.083775875149019E-4</v>
      </c>
      <c r="I1427" s="4">
        <v>-5.5511151231257827E-17</v>
      </c>
      <c r="J1427" s="4">
        <v>-0.22946808638301899</v>
      </c>
      <c r="K1427" s="5">
        <v>2</v>
      </c>
      <c r="L1427" s="5">
        <v>0</v>
      </c>
      <c r="M1427" s="5">
        <v>0</v>
      </c>
    </row>
    <row r="1428" spans="1:13" hidden="1" x14ac:dyDescent="0.25">
      <c r="A1428" t="s">
        <v>1439</v>
      </c>
      <c r="B1428" s="1">
        <v>3.7065884768454307E-2</v>
      </c>
      <c r="C1428" s="2">
        <v>1.0561378464371539E-5</v>
      </c>
      <c r="D1428" s="2"/>
      <c r="E1428" s="2">
        <v>0.61832339099154265</v>
      </c>
      <c r="F1428" s="3">
        <v>145.78943888106039</v>
      </c>
      <c r="G1428" s="3">
        <v>1</v>
      </c>
      <c r="H1428" s="2">
        <v>5.4188793757450959E-5</v>
      </c>
      <c r="I1428" s="4">
        <v>0</v>
      </c>
      <c r="J1428" s="4">
        <v>0.61832339099154265</v>
      </c>
      <c r="K1428" s="5">
        <v>1</v>
      </c>
      <c r="L1428" s="5">
        <v>0</v>
      </c>
      <c r="M1428" s="5">
        <v>0</v>
      </c>
    </row>
    <row r="1429" spans="1:13" hidden="1" x14ac:dyDescent="0.25">
      <c r="A1429" t="s">
        <v>1440</v>
      </c>
      <c r="B1429" s="1">
        <v>3.701556830955495E-2</v>
      </c>
      <c r="C1429" s="2">
        <v>1.054704152978215E-5</v>
      </c>
      <c r="D1429" s="2"/>
      <c r="E1429" s="2">
        <v>0.20151660925281359</v>
      </c>
      <c r="F1429" s="3">
        <v>108.2406849238684</v>
      </c>
      <c r="G1429" s="3">
        <v>1</v>
      </c>
      <c r="H1429" s="2">
        <v>5.4188793757450959E-5</v>
      </c>
      <c r="I1429" s="4">
        <v>2.775557561562891E-17</v>
      </c>
      <c r="J1429" s="4">
        <v>0.20151660925281351</v>
      </c>
      <c r="K1429" s="5">
        <v>1</v>
      </c>
      <c r="L1429" s="5">
        <v>0</v>
      </c>
      <c r="M1429" s="5">
        <v>0</v>
      </c>
    </row>
    <row r="1430" spans="1:13" hidden="1" x14ac:dyDescent="0.25">
      <c r="A1430" t="s">
        <v>1441</v>
      </c>
      <c r="B1430" s="1">
        <v>3.7009478039708221E-2</v>
      </c>
      <c r="C1430" s="2">
        <v>1.054530619700368E-5</v>
      </c>
      <c r="D1430" s="2"/>
      <c r="E1430" s="2">
        <v>2.4247833448153582</v>
      </c>
      <c r="F1430" s="3">
        <v>308.52748276962978</v>
      </c>
      <c r="G1430" s="3">
        <v>1</v>
      </c>
      <c r="H1430" s="2">
        <v>5.4188793757450959E-5</v>
      </c>
      <c r="I1430" s="4">
        <v>0</v>
      </c>
      <c r="J1430" s="4">
        <v>2.4247833448153582</v>
      </c>
      <c r="K1430" s="5">
        <v>1</v>
      </c>
      <c r="L1430" s="5">
        <v>0</v>
      </c>
      <c r="M1430" s="5">
        <v>0</v>
      </c>
    </row>
    <row r="1431" spans="1:13" hidden="1" x14ac:dyDescent="0.25">
      <c r="A1431" t="s">
        <v>1442</v>
      </c>
      <c r="B1431" s="1">
        <v>3.6884414009474377E-2</v>
      </c>
      <c r="C1431" s="2">
        <v>1.050967104182446E-5</v>
      </c>
      <c r="D1431" s="2"/>
      <c r="E1431" s="2">
        <v>-0.28857616408737358</v>
      </c>
      <c r="F1431" s="3">
        <v>64.08983669250776</v>
      </c>
      <c r="G1431" s="3">
        <v>1</v>
      </c>
      <c r="H1431" s="2">
        <v>5.4188793757450959E-5</v>
      </c>
      <c r="I1431" s="4">
        <v>0</v>
      </c>
      <c r="J1431" s="4">
        <v>-0.28857616408737358</v>
      </c>
      <c r="K1431" s="5">
        <v>1</v>
      </c>
      <c r="L1431" s="5">
        <v>0</v>
      </c>
      <c r="M1431" s="5">
        <v>0</v>
      </c>
    </row>
    <row r="1432" spans="1:13" hidden="1" x14ac:dyDescent="0.25">
      <c r="A1432" t="s">
        <v>1443</v>
      </c>
      <c r="B1432" s="1">
        <v>3.6879007988573263E-2</v>
      </c>
      <c r="C1432" s="2">
        <v>1.0508130675714769E-5</v>
      </c>
      <c r="D1432" s="2"/>
      <c r="E1432" s="2">
        <v>-0.37167126884401008</v>
      </c>
      <c r="F1432" s="3">
        <v>56.604071632404107</v>
      </c>
      <c r="G1432" s="3">
        <v>2</v>
      </c>
      <c r="H1432" s="2">
        <v>1.083775875149019E-4</v>
      </c>
      <c r="I1432" s="4">
        <v>0</v>
      </c>
      <c r="J1432" s="4">
        <v>-0.37167126884401008</v>
      </c>
      <c r="K1432" s="5">
        <v>2</v>
      </c>
      <c r="L1432" s="5">
        <v>0</v>
      </c>
      <c r="M1432" s="5">
        <v>0</v>
      </c>
    </row>
    <row r="1433" spans="1:13" hidden="1" x14ac:dyDescent="0.25">
      <c r="A1433" t="s">
        <v>1444</v>
      </c>
      <c r="B1433" s="1">
        <v>3.6875523047646457E-2</v>
      </c>
      <c r="C1433" s="2">
        <v>1.0507137693076309E-5</v>
      </c>
      <c r="D1433" s="2"/>
      <c r="E1433" s="2">
        <v>-0.35592268153833978</v>
      </c>
      <c r="F1433" s="3">
        <v>58.022810136243152</v>
      </c>
      <c r="G1433" s="3">
        <v>1</v>
      </c>
      <c r="H1433" s="2">
        <v>5.4188793757450959E-5</v>
      </c>
      <c r="I1433" s="4">
        <v>5.5511151231257827E-17</v>
      </c>
      <c r="J1433" s="4">
        <v>-0.35592268153833989</v>
      </c>
      <c r="K1433" s="5">
        <v>1</v>
      </c>
      <c r="L1433" s="5">
        <v>0</v>
      </c>
      <c r="M1433" s="5">
        <v>0</v>
      </c>
    </row>
    <row r="1434" spans="1:13" hidden="1" x14ac:dyDescent="0.25">
      <c r="A1434" t="s">
        <v>1445</v>
      </c>
      <c r="B1434" s="1">
        <v>3.671540466963176E-2</v>
      </c>
      <c r="C1434" s="2">
        <v>1.046151431729887E-5</v>
      </c>
      <c r="D1434" s="2"/>
      <c r="E1434" s="2">
        <v>-0.48579718784903192</v>
      </c>
      <c r="F1434" s="3">
        <v>46.322842437951699</v>
      </c>
      <c r="G1434" s="3">
        <v>1</v>
      </c>
      <c r="H1434" s="2">
        <v>5.4188793757450959E-5</v>
      </c>
      <c r="I1434" s="4">
        <v>0</v>
      </c>
      <c r="J1434" s="4">
        <v>-0.48579718784903192</v>
      </c>
      <c r="K1434" s="5">
        <v>1</v>
      </c>
      <c r="L1434" s="5">
        <v>0</v>
      </c>
      <c r="M1434" s="5">
        <v>0</v>
      </c>
    </row>
    <row r="1435" spans="1:13" hidden="1" x14ac:dyDescent="0.25">
      <c r="A1435" t="s">
        <v>1446</v>
      </c>
      <c r="B1435" s="1">
        <v>3.6680908741117367E-2</v>
      </c>
      <c r="C1435" s="2">
        <v>1.045168521005386E-5</v>
      </c>
      <c r="D1435" s="2"/>
      <c r="E1435" s="2">
        <v>0.13851565864143639</v>
      </c>
      <c r="F1435" s="3">
        <v>102.56513621108709</v>
      </c>
      <c r="G1435" s="3">
        <v>1</v>
      </c>
      <c r="H1435" s="2">
        <v>5.4188793757450959E-5</v>
      </c>
      <c r="I1435" s="4">
        <v>-2.775557561562891E-17</v>
      </c>
      <c r="J1435" s="4">
        <v>0.1385156586414365</v>
      </c>
      <c r="K1435" s="5">
        <v>1</v>
      </c>
      <c r="L1435" s="5">
        <v>0</v>
      </c>
      <c r="M1435" s="5">
        <v>0</v>
      </c>
    </row>
    <row r="1436" spans="1:13" hidden="1" x14ac:dyDescent="0.25">
      <c r="A1436" t="s">
        <v>1447</v>
      </c>
      <c r="B1436" s="1">
        <v>3.6640642018151773E-2</v>
      </c>
      <c r="C1436" s="2">
        <v>1.044021179984347E-5</v>
      </c>
      <c r="D1436" s="2"/>
      <c r="E1436" s="2">
        <v>1.099318802837203</v>
      </c>
      <c r="F1436" s="3">
        <v>189.12073569583271</v>
      </c>
      <c r="G1436" s="3">
        <v>1</v>
      </c>
      <c r="H1436" s="2">
        <v>5.4188793757450959E-5</v>
      </c>
      <c r="I1436" s="4">
        <v>-2.2204460492503131E-16</v>
      </c>
      <c r="J1436" s="4">
        <v>1.099318802837203</v>
      </c>
      <c r="K1436" s="5">
        <v>1</v>
      </c>
      <c r="L1436" s="5">
        <v>0</v>
      </c>
      <c r="M1436" s="5">
        <v>0</v>
      </c>
    </row>
    <row r="1437" spans="1:13" hidden="1" x14ac:dyDescent="0.25">
      <c r="A1437" t="s">
        <v>1448</v>
      </c>
      <c r="B1437" s="1">
        <v>3.663706596624277E-2</v>
      </c>
      <c r="C1437" s="2">
        <v>1.0439192856471279E-5</v>
      </c>
      <c r="D1437" s="2"/>
      <c r="E1437" s="2">
        <v>-0.1870759682668113</v>
      </c>
      <c r="F1437" s="3">
        <v>73.23365595469555</v>
      </c>
      <c r="G1437" s="3">
        <v>1</v>
      </c>
      <c r="H1437" s="2">
        <v>5.4188793757450959E-5</v>
      </c>
      <c r="I1437" s="4">
        <v>1.6653345369377351E-16</v>
      </c>
      <c r="J1437" s="4">
        <v>-0.18707596826681139</v>
      </c>
      <c r="K1437" s="5">
        <v>1</v>
      </c>
      <c r="L1437" s="5">
        <v>0</v>
      </c>
      <c r="M1437" s="5">
        <v>0</v>
      </c>
    </row>
    <row r="1438" spans="1:13" hidden="1" x14ac:dyDescent="0.25">
      <c r="A1438" t="s">
        <v>1449</v>
      </c>
      <c r="B1438" s="1">
        <v>3.6570488911184987E-2</v>
      </c>
      <c r="C1438" s="2">
        <v>1.0420222704270651E-5</v>
      </c>
      <c r="D1438" s="2"/>
      <c r="E1438" s="2">
        <v>1.0242181171705811</v>
      </c>
      <c r="F1438" s="3">
        <v>182.35516159372969</v>
      </c>
      <c r="G1438" s="3">
        <v>1</v>
      </c>
      <c r="H1438" s="2">
        <v>5.4188793757450959E-5</v>
      </c>
      <c r="I1438" s="4">
        <v>-2.2204460492503131E-16</v>
      </c>
      <c r="J1438" s="4">
        <v>1.0242181171705811</v>
      </c>
      <c r="K1438" s="5">
        <v>1</v>
      </c>
      <c r="L1438" s="5">
        <v>0</v>
      </c>
      <c r="M1438" s="5">
        <v>0</v>
      </c>
    </row>
    <row r="1439" spans="1:13" hidden="1" x14ac:dyDescent="0.25">
      <c r="A1439" t="s">
        <v>1450</v>
      </c>
      <c r="B1439" s="1">
        <v>3.6566815688496193E-2</v>
      </c>
      <c r="C1439" s="2">
        <v>1.041917607351456E-5</v>
      </c>
      <c r="D1439" s="2"/>
      <c r="E1439" s="2">
        <v>-0.31609304351395567</v>
      </c>
      <c r="F1439" s="3">
        <v>61.610931404670787</v>
      </c>
      <c r="G1439" s="3">
        <v>1</v>
      </c>
      <c r="H1439" s="2">
        <v>5.4188793757450959E-5</v>
      </c>
      <c r="I1439" s="4">
        <v>-0.59491328120301423</v>
      </c>
      <c r="J1439" s="4">
        <v>0.27882023768905873</v>
      </c>
      <c r="K1439" s="5">
        <v>1</v>
      </c>
      <c r="L1439" s="5">
        <v>0</v>
      </c>
      <c r="M1439" s="5">
        <v>0</v>
      </c>
    </row>
    <row r="1440" spans="1:13" hidden="1" x14ac:dyDescent="0.25">
      <c r="A1440" t="s">
        <v>1451</v>
      </c>
      <c r="B1440" s="1">
        <v>3.6557757590034462E-2</v>
      </c>
      <c r="C1440" s="2">
        <v>1.041659510164192E-5</v>
      </c>
      <c r="D1440" s="2"/>
      <c r="E1440" s="2">
        <v>-0.42896608470051412</v>
      </c>
      <c r="F1440" s="3">
        <v>51.44256985778317</v>
      </c>
      <c r="G1440" s="3">
        <v>1</v>
      </c>
      <c r="H1440" s="2">
        <v>5.4188793757450959E-5</v>
      </c>
      <c r="I1440" s="4">
        <v>0</v>
      </c>
      <c r="J1440" s="4">
        <v>-0.42896608470051412</v>
      </c>
      <c r="K1440" s="5">
        <v>1</v>
      </c>
      <c r="L1440" s="5">
        <v>0</v>
      </c>
      <c r="M1440" s="5">
        <v>0</v>
      </c>
    </row>
    <row r="1441" spans="1:13" hidden="1" x14ac:dyDescent="0.25">
      <c r="A1441" t="s">
        <v>1452</v>
      </c>
      <c r="B1441" s="1">
        <v>3.6526710912016293E-2</v>
      </c>
      <c r="C1441" s="2">
        <v>1.040774880757233E-5</v>
      </c>
      <c r="D1441" s="2"/>
      <c r="E1441" s="2">
        <v>-0.1088935202176579</v>
      </c>
      <c r="F1441" s="3">
        <v>80.276855907734671</v>
      </c>
      <c r="G1441" s="3">
        <v>2</v>
      </c>
      <c r="H1441" s="2">
        <v>1.083775875149019E-4</v>
      </c>
      <c r="I1441" s="4">
        <v>0</v>
      </c>
      <c r="J1441" s="4">
        <v>-0.1088935202176579</v>
      </c>
      <c r="K1441" s="5">
        <v>2</v>
      </c>
      <c r="L1441" s="5">
        <v>0</v>
      </c>
      <c r="M1441" s="5">
        <v>0</v>
      </c>
    </row>
    <row r="1442" spans="1:13" hidden="1" x14ac:dyDescent="0.25">
      <c r="A1442" t="s">
        <v>1453</v>
      </c>
      <c r="B1442" s="1">
        <v>3.6465952350310873E-2</v>
      </c>
      <c r="C1442" s="2">
        <v>1.039043654943711E-5</v>
      </c>
      <c r="D1442" s="2"/>
      <c r="E1442" s="2">
        <v>7.8536966122102259E-2</v>
      </c>
      <c r="F1442" s="3">
        <v>97.161852803154744</v>
      </c>
      <c r="G1442" s="3">
        <v>1</v>
      </c>
      <c r="H1442" s="2">
        <v>5.4188793757450959E-5</v>
      </c>
      <c r="I1442" s="4">
        <v>-1.387778780781446E-17</v>
      </c>
      <c r="J1442" s="4">
        <v>7.8536966122102272E-2</v>
      </c>
      <c r="K1442" s="5">
        <v>1</v>
      </c>
      <c r="L1442" s="5">
        <v>0</v>
      </c>
      <c r="M1442" s="5">
        <v>0</v>
      </c>
    </row>
    <row r="1443" spans="1:13" hidden="1" x14ac:dyDescent="0.25">
      <c r="A1443" t="s">
        <v>1454</v>
      </c>
      <c r="B1443" s="1">
        <v>3.6403894077016767E-2</v>
      </c>
      <c r="C1443" s="2">
        <v>1.03727539576091E-5</v>
      </c>
      <c r="D1443" s="2"/>
      <c r="E1443" s="2">
        <v>1.86758708998503</v>
      </c>
      <c r="F1443" s="3">
        <v>258.33150229345921</v>
      </c>
      <c r="G1443" s="3">
        <v>1</v>
      </c>
      <c r="H1443" s="2">
        <v>5.4188793757450959E-5</v>
      </c>
      <c r="I1443" s="4">
        <v>0</v>
      </c>
      <c r="J1443" s="4">
        <v>1.86758708998503</v>
      </c>
      <c r="K1443" s="5">
        <v>1</v>
      </c>
      <c r="L1443" s="5">
        <v>0</v>
      </c>
      <c r="M1443" s="5">
        <v>0</v>
      </c>
    </row>
    <row r="1444" spans="1:13" hidden="1" x14ac:dyDescent="0.25">
      <c r="A1444" t="s">
        <v>1455</v>
      </c>
      <c r="B1444" s="1">
        <v>3.6382539871025077E-2</v>
      </c>
      <c r="C1444" s="2">
        <v>1.0366669390825031E-5</v>
      </c>
      <c r="D1444" s="2"/>
      <c r="E1444" s="2">
        <v>7.3358913336059484E-2</v>
      </c>
      <c r="F1444" s="3">
        <v>96.695379035071113</v>
      </c>
      <c r="G1444" s="3">
        <v>1</v>
      </c>
      <c r="H1444" s="2">
        <v>5.4188793757450959E-5</v>
      </c>
      <c r="I1444" s="4">
        <v>5.5511151231257827E-17</v>
      </c>
      <c r="J1444" s="4">
        <v>7.3358913336059428E-2</v>
      </c>
      <c r="K1444" s="5">
        <v>1</v>
      </c>
      <c r="L1444" s="5">
        <v>0</v>
      </c>
      <c r="M1444" s="5">
        <v>0</v>
      </c>
    </row>
    <row r="1445" spans="1:13" hidden="1" x14ac:dyDescent="0.25">
      <c r="A1445" t="s">
        <v>1456</v>
      </c>
      <c r="B1445" s="1">
        <v>3.6297962237317467E-2</v>
      </c>
      <c r="C1445" s="2">
        <v>1.0342570238604951E-5</v>
      </c>
      <c r="D1445" s="2"/>
      <c r="E1445" s="2">
        <v>0.12427946840960941</v>
      </c>
      <c r="F1445" s="3">
        <v>101.2826445921342</v>
      </c>
      <c r="G1445" s="3">
        <v>2</v>
      </c>
      <c r="H1445" s="2">
        <v>1.083775875149019E-4</v>
      </c>
      <c r="I1445" s="4">
        <v>-1.387778780781446E-17</v>
      </c>
      <c r="J1445" s="4">
        <v>0.12427946840960941</v>
      </c>
      <c r="K1445" s="5">
        <v>2</v>
      </c>
      <c r="L1445" s="5">
        <v>0</v>
      </c>
      <c r="M1445" s="5">
        <v>0</v>
      </c>
    </row>
    <row r="1446" spans="1:13" hidden="1" x14ac:dyDescent="0.25">
      <c r="A1446" t="s">
        <v>1457</v>
      </c>
      <c r="B1446" s="1">
        <v>3.6233968476604213E-2</v>
      </c>
      <c r="C1446" s="2">
        <v>1.032433615811629E-5</v>
      </c>
      <c r="D1446" s="2"/>
      <c r="E1446" s="2">
        <v>0.19164854335091761</v>
      </c>
      <c r="F1446" s="3">
        <v>107.3517032786132</v>
      </c>
      <c r="G1446" s="3">
        <v>1</v>
      </c>
      <c r="H1446" s="2">
        <v>5.4188793757450959E-5</v>
      </c>
      <c r="I1446" s="4">
        <v>0</v>
      </c>
      <c r="J1446" s="4">
        <v>0.19164854335091761</v>
      </c>
      <c r="K1446" s="5">
        <v>1</v>
      </c>
      <c r="L1446" s="5">
        <v>0</v>
      </c>
      <c r="M1446" s="5">
        <v>0</v>
      </c>
    </row>
    <row r="1447" spans="1:13" hidden="1" x14ac:dyDescent="0.25">
      <c r="A1447" t="s">
        <v>1458</v>
      </c>
      <c r="B1447" s="1">
        <v>3.619672984845277E-2</v>
      </c>
      <c r="C1447" s="2">
        <v>1.031372555896675E-5</v>
      </c>
      <c r="D1447" s="2"/>
      <c r="E1447" s="2">
        <v>-0.67194710728256712</v>
      </c>
      <c r="F1447" s="3">
        <v>29.553207609067531</v>
      </c>
      <c r="G1447" s="3">
        <v>2</v>
      </c>
      <c r="H1447" s="2">
        <v>1.083775875149019E-4</v>
      </c>
      <c r="I1447" s="4">
        <v>-2.2204460492503131E-16</v>
      </c>
      <c r="J1447" s="4">
        <v>-0.6719471072825669</v>
      </c>
      <c r="K1447" s="5">
        <v>2</v>
      </c>
      <c r="L1447" s="5">
        <v>0</v>
      </c>
      <c r="M1447" s="5">
        <v>0</v>
      </c>
    </row>
    <row r="1448" spans="1:13" hidden="1" x14ac:dyDescent="0.25">
      <c r="A1448" t="s">
        <v>1459</v>
      </c>
      <c r="B1448" s="1">
        <v>3.6181123893222512E-2</v>
      </c>
      <c r="C1448" s="2">
        <v>1.030927887165537E-5</v>
      </c>
      <c r="D1448" s="2"/>
      <c r="E1448" s="2">
        <v>-0.27625582185604469</v>
      </c>
      <c r="F1448" s="3">
        <v>65.199735857734282</v>
      </c>
      <c r="G1448" s="3">
        <v>1</v>
      </c>
      <c r="H1448" s="2">
        <v>5.4188793757450959E-5</v>
      </c>
      <c r="I1448" s="4">
        <v>0</v>
      </c>
      <c r="J1448" s="4">
        <v>-0.27625582185604469</v>
      </c>
      <c r="K1448" s="5">
        <v>1</v>
      </c>
      <c r="L1448" s="5">
        <v>0</v>
      </c>
      <c r="M1448" s="5">
        <v>0</v>
      </c>
    </row>
    <row r="1449" spans="1:13" hidden="1" x14ac:dyDescent="0.25">
      <c r="A1449" t="s">
        <v>1460</v>
      </c>
      <c r="B1449" s="1">
        <v>3.6169790124375358E-2</v>
      </c>
      <c r="C1449" s="2">
        <v>1.030604948099142E-5</v>
      </c>
      <c r="D1449" s="2"/>
      <c r="E1449" s="2">
        <v>-0.1025817844748674</v>
      </c>
      <c r="F1449" s="3">
        <v>80.845459449788876</v>
      </c>
      <c r="G1449" s="3">
        <v>1</v>
      </c>
      <c r="H1449" s="2">
        <v>5.4188793757450959E-5</v>
      </c>
      <c r="I1449" s="4">
        <v>-1.387778780781446E-17</v>
      </c>
      <c r="J1449" s="4">
        <v>-0.1025817844748674</v>
      </c>
      <c r="K1449" s="5">
        <v>1</v>
      </c>
      <c r="L1449" s="5">
        <v>0</v>
      </c>
      <c r="M1449" s="5">
        <v>0</v>
      </c>
    </row>
    <row r="1450" spans="1:13" hidden="1" x14ac:dyDescent="0.25">
      <c r="A1450" t="s">
        <v>1461</v>
      </c>
      <c r="B1450" s="1">
        <v>3.6151781954983003E-2</v>
      </c>
      <c r="C1450" s="2">
        <v>1.0300918318101571E-5</v>
      </c>
      <c r="D1450" s="2"/>
      <c r="E1450" s="2">
        <v>-0.51469079588201805</v>
      </c>
      <c r="F1450" s="3">
        <v>43.719912191854569</v>
      </c>
      <c r="G1450" s="3">
        <v>1</v>
      </c>
      <c r="H1450" s="2">
        <v>5.4188793757450959E-5</v>
      </c>
      <c r="I1450" s="4">
        <v>0</v>
      </c>
      <c r="J1450" s="4">
        <v>-0.51469079588201805</v>
      </c>
      <c r="K1450" s="5">
        <v>1</v>
      </c>
      <c r="L1450" s="5">
        <v>0</v>
      </c>
      <c r="M1450" s="5">
        <v>0</v>
      </c>
    </row>
    <row r="1451" spans="1:13" hidden="1" x14ac:dyDescent="0.25">
      <c r="A1451" t="s">
        <v>1462</v>
      </c>
      <c r="B1451" s="1">
        <v>3.6028995737564982E-2</v>
      </c>
      <c r="C1451" s="2">
        <v>1.026593219216768E-5</v>
      </c>
      <c r="D1451" s="2"/>
      <c r="E1451" s="2">
        <v>51.675085269930818</v>
      </c>
      <c r="F1451" s="3">
        <v>4745.325419667839</v>
      </c>
      <c r="G1451" s="3">
        <v>1</v>
      </c>
      <c r="H1451" s="2">
        <v>5.4188793757450959E-5</v>
      </c>
      <c r="I1451" s="4">
        <v>0</v>
      </c>
      <c r="J1451" s="4">
        <v>51.675085269930818</v>
      </c>
      <c r="K1451" s="5">
        <v>1</v>
      </c>
      <c r="L1451" s="5">
        <v>0</v>
      </c>
      <c r="M1451" s="5">
        <v>0</v>
      </c>
    </row>
    <row r="1452" spans="1:13" hidden="1" x14ac:dyDescent="0.25">
      <c r="A1452" t="s">
        <v>1463</v>
      </c>
      <c r="B1452" s="1">
        <v>3.5997601857899797E-2</v>
      </c>
      <c r="C1452" s="2">
        <v>1.025698696809761E-5</v>
      </c>
      <c r="D1452" s="2"/>
      <c r="E1452" s="2">
        <v>0.28247802784464898</v>
      </c>
      <c r="F1452" s="3">
        <v>115.5342332055172</v>
      </c>
      <c r="G1452" s="3">
        <v>2</v>
      </c>
      <c r="H1452" s="2">
        <v>1.083775875149019E-4</v>
      </c>
      <c r="I1452" s="4">
        <v>5.5511151231257827E-17</v>
      </c>
      <c r="J1452" s="4">
        <v>0.28247802784464898</v>
      </c>
      <c r="K1452" s="5">
        <v>2</v>
      </c>
      <c r="L1452" s="5">
        <v>2</v>
      </c>
      <c r="M1452" s="5">
        <v>0</v>
      </c>
    </row>
    <row r="1453" spans="1:13" hidden="1" x14ac:dyDescent="0.25">
      <c r="A1453" t="s">
        <v>1464</v>
      </c>
      <c r="B1453" s="1">
        <v>3.5984027025132842E-2</v>
      </c>
      <c r="C1453" s="2">
        <v>1.0253119019245511E-5</v>
      </c>
      <c r="D1453" s="2"/>
      <c r="E1453" s="2">
        <v>0.96198424175823805</v>
      </c>
      <c r="F1453" s="3">
        <v>176.74871616615661</v>
      </c>
      <c r="G1453" s="3">
        <v>1</v>
      </c>
      <c r="H1453" s="2">
        <v>5.4188793757450959E-5</v>
      </c>
      <c r="I1453" s="4">
        <v>0</v>
      </c>
      <c r="J1453" s="4">
        <v>0.96198424175823805</v>
      </c>
      <c r="K1453" s="5">
        <v>1</v>
      </c>
      <c r="L1453" s="5">
        <v>0</v>
      </c>
      <c r="M1453" s="5">
        <v>0</v>
      </c>
    </row>
    <row r="1454" spans="1:13" hidden="1" x14ac:dyDescent="0.25">
      <c r="A1454" t="s">
        <v>1465</v>
      </c>
      <c r="B1454" s="1">
        <v>3.5934183262278693E-2</v>
      </c>
      <c r="C1454" s="2">
        <v>1.0238916772438791E-5</v>
      </c>
      <c r="D1454" s="2"/>
      <c r="E1454" s="2">
        <v>1.8414890992040209</v>
      </c>
      <c r="F1454" s="3">
        <v>255.9804200233356</v>
      </c>
      <c r="G1454" s="3">
        <v>1</v>
      </c>
      <c r="H1454" s="2">
        <v>5.4188793757450959E-5</v>
      </c>
      <c r="I1454" s="4">
        <v>0</v>
      </c>
      <c r="J1454" s="4">
        <v>1.8414890992040209</v>
      </c>
      <c r="K1454" s="5">
        <v>1</v>
      </c>
      <c r="L1454" s="5">
        <v>0</v>
      </c>
      <c r="M1454" s="5">
        <v>0</v>
      </c>
    </row>
    <row r="1455" spans="1:13" hidden="1" x14ac:dyDescent="0.25">
      <c r="A1455" t="s">
        <v>1466</v>
      </c>
      <c r="B1455" s="1">
        <v>3.5880616925345582E-2</v>
      </c>
      <c r="C1455" s="2">
        <v>1.022365383292353E-5</v>
      </c>
      <c r="D1455" s="2"/>
      <c r="E1455" s="2">
        <v>-0.25277939756765988</v>
      </c>
      <c r="F1455" s="3">
        <v>67.314649813121335</v>
      </c>
      <c r="G1455" s="3">
        <v>1</v>
      </c>
      <c r="H1455" s="2">
        <v>5.4188793757450959E-5</v>
      </c>
      <c r="I1455" s="4">
        <v>5.5511151231257827E-17</v>
      </c>
      <c r="J1455" s="4">
        <v>-0.25277939756765988</v>
      </c>
      <c r="K1455" s="5">
        <v>1</v>
      </c>
      <c r="L1455" s="5">
        <v>0</v>
      </c>
      <c r="M1455" s="5">
        <v>0</v>
      </c>
    </row>
    <row r="1456" spans="1:13" hidden="1" x14ac:dyDescent="0.25">
      <c r="A1456" t="s">
        <v>1467</v>
      </c>
      <c r="B1456" s="1">
        <v>3.5878091880535888E-2</v>
      </c>
      <c r="C1456" s="2">
        <v>1.02229343585594E-5</v>
      </c>
      <c r="D1456" s="2"/>
      <c r="E1456" s="2" t="s">
        <v>303</v>
      </c>
      <c r="F1456" s="3" t="s">
        <v>303</v>
      </c>
      <c r="G1456" s="3">
        <v>1</v>
      </c>
      <c r="H1456" s="2">
        <v>5.4188793757450959E-5</v>
      </c>
      <c r="I1456" s="4" t="s">
        <v>303</v>
      </c>
      <c r="J1456" s="4">
        <v>0</v>
      </c>
      <c r="K1456" s="5">
        <v>1</v>
      </c>
      <c r="L1456" s="5">
        <v>0</v>
      </c>
      <c r="M1456" s="5">
        <v>0</v>
      </c>
    </row>
    <row r="1457" spans="1:13" hidden="1" x14ac:dyDescent="0.25">
      <c r="A1457" t="s">
        <v>1468</v>
      </c>
      <c r="B1457" s="1">
        <v>3.58720342963832E-2</v>
      </c>
      <c r="C1457" s="2">
        <v>1.02212083390885E-5</v>
      </c>
      <c r="D1457" s="2"/>
      <c r="E1457" s="2">
        <v>-0.41439766515741983</v>
      </c>
      <c r="F1457" s="3">
        <v>52.754990924174777</v>
      </c>
      <c r="G1457" s="3">
        <v>1</v>
      </c>
      <c r="H1457" s="2">
        <v>5.4188793757450959E-5</v>
      </c>
      <c r="I1457" s="4">
        <v>0</v>
      </c>
      <c r="J1457" s="4">
        <v>-0.41439766515741983</v>
      </c>
      <c r="K1457" s="5">
        <v>1</v>
      </c>
      <c r="L1457" s="5">
        <v>0</v>
      </c>
      <c r="M1457" s="5">
        <v>0</v>
      </c>
    </row>
    <row r="1458" spans="1:13" hidden="1" x14ac:dyDescent="0.25">
      <c r="A1458" t="s">
        <v>1469</v>
      </c>
      <c r="B1458" s="1">
        <v>3.5753702479365067E-2</v>
      </c>
      <c r="C1458" s="2">
        <v>1.018749142900495E-5</v>
      </c>
      <c r="D1458" s="2"/>
      <c r="E1458" s="2">
        <v>-0.34596085492829171</v>
      </c>
      <c r="F1458" s="3">
        <v>58.920238375737043</v>
      </c>
      <c r="G1458" s="3">
        <v>1</v>
      </c>
      <c r="H1458" s="2">
        <v>5.4188793757450959E-5</v>
      </c>
      <c r="I1458" s="4">
        <v>-0.33389221884068793</v>
      </c>
      <c r="J1458" s="4">
        <v>-1.2068636087603789E-2</v>
      </c>
      <c r="K1458" s="5">
        <v>1</v>
      </c>
      <c r="L1458" s="5">
        <v>0</v>
      </c>
      <c r="M1458" s="5">
        <v>0</v>
      </c>
    </row>
    <row r="1459" spans="1:13" hidden="1" x14ac:dyDescent="0.25">
      <c r="A1459" t="s">
        <v>1470</v>
      </c>
      <c r="B1459" s="1">
        <v>3.5732557107675082E-2</v>
      </c>
      <c r="C1459" s="2">
        <v>1.018146636648229E-5</v>
      </c>
      <c r="D1459" s="2"/>
      <c r="E1459" s="2">
        <v>0.28157103474691247</v>
      </c>
      <c r="F1459" s="3">
        <v>115.4525251763779</v>
      </c>
      <c r="G1459" s="3">
        <v>1</v>
      </c>
      <c r="H1459" s="2">
        <v>5.4188793757450959E-5</v>
      </c>
      <c r="I1459" s="4">
        <v>-2.2204460492503131E-16</v>
      </c>
      <c r="J1459" s="4">
        <v>0.2815710347469127</v>
      </c>
      <c r="K1459" s="5">
        <v>1</v>
      </c>
      <c r="L1459" s="5">
        <v>0</v>
      </c>
      <c r="M1459" s="5">
        <v>0</v>
      </c>
    </row>
    <row r="1460" spans="1:13" hidden="1" x14ac:dyDescent="0.25">
      <c r="A1460" t="s">
        <v>1471</v>
      </c>
      <c r="B1460" s="1">
        <v>3.5698658665978093E-2</v>
      </c>
      <c r="C1460" s="2">
        <v>1.0171807504314259E-5</v>
      </c>
      <c r="D1460" s="2"/>
      <c r="E1460" s="2">
        <v>-0.17570047772692929</v>
      </c>
      <c r="F1460" s="3">
        <v>74.258436534422628</v>
      </c>
      <c r="G1460" s="3">
        <v>1</v>
      </c>
      <c r="H1460" s="2">
        <v>5.4188793757450959E-5</v>
      </c>
      <c r="I1460" s="4">
        <v>3.6082248300317588E-16</v>
      </c>
      <c r="J1460" s="4">
        <v>-0.1757004777269297</v>
      </c>
      <c r="K1460" s="5">
        <v>1</v>
      </c>
      <c r="L1460" s="5">
        <v>0</v>
      </c>
      <c r="M1460" s="5">
        <v>0</v>
      </c>
    </row>
    <row r="1461" spans="1:13" hidden="1" x14ac:dyDescent="0.25">
      <c r="A1461" t="s">
        <v>1472</v>
      </c>
      <c r="B1461" s="1">
        <v>3.5623922257303792E-2</v>
      </c>
      <c r="C1461" s="2">
        <v>1.0150512464360191E-5</v>
      </c>
      <c r="D1461" s="2"/>
      <c r="E1461" s="2">
        <v>-0.13090468171234881</v>
      </c>
      <c r="F1461" s="3">
        <v>78.293942664748499</v>
      </c>
      <c r="G1461" s="3">
        <v>1</v>
      </c>
      <c r="H1461" s="2">
        <v>5.4188793757450959E-5</v>
      </c>
      <c r="I1461" s="4">
        <v>2.775557561562891E-17</v>
      </c>
      <c r="J1461" s="4">
        <v>-0.13090468171234881</v>
      </c>
      <c r="K1461" s="5">
        <v>1</v>
      </c>
      <c r="L1461" s="5">
        <v>0</v>
      </c>
      <c r="M1461" s="5">
        <v>0</v>
      </c>
    </row>
    <row r="1462" spans="1:13" hidden="1" x14ac:dyDescent="0.25">
      <c r="A1462" t="s">
        <v>1473</v>
      </c>
      <c r="B1462" s="1">
        <v>3.5616388319388931E-2</v>
      </c>
      <c r="C1462" s="2">
        <v>1.0148365779608351E-5</v>
      </c>
      <c r="D1462" s="2"/>
      <c r="E1462" s="2">
        <v>0.58221025325113374</v>
      </c>
      <c r="F1462" s="3">
        <v>142.5361249163015</v>
      </c>
      <c r="G1462" s="3">
        <v>1</v>
      </c>
      <c r="H1462" s="2">
        <v>5.4188793757450959E-5</v>
      </c>
      <c r="I1462" s="4">
        <v>-1.110223024625157E-16</v>
      </c>
      <c r="J1462" s="4">
        <v>0.58221025325113385</v>
      </c>
      <c r="K1462" s="5">
        <v>1</v>
      </c>
      <c r="L1462" s="5">
        <v>0</v>
      </c>
      <c r="M1462" s="5">
        <v>0</v>
      </c>
    </row>
    <row r="1463" spans="1:13" hidden="1" x14ac:dyDescent="0.25">
      <c r="A1463" t="s">
        <v>1474</v>
      </c>
      <c r="B1463" s="1">
        <v>3.5608523547479759E-2</v>
      </c>
      <c r="C1463" s="2">
        <v>1.0146124828577841E-5</v>
      </c>
      <c r="D1463" s="2"/>
      <c r="E1463" s="2">
        <v>-0.49247164722426001</v>
      </c>
      <c r="F1463" s="3">
        <v>45.721562315223743</v>
      </c>
      <c r="G1463" s="3">
        <v>1</v>
      </c>
      <c r="H1463" s="2">
        <v>5.4188793757450959E-5</v>
      </c>
      <c r="I1463" s="4">
        <v>5.5511151231257827E-17</v>
      </c>
      <c r="J1463" s="4">
        <v>-0.49247164722426001</v>
      </c>
      <c r="K1463" s="5">
        <v>1</v>
      </c>
      <c r="L1463" s="5">
        <v>0</v>
      </c>
      <c r="M1463" s="5">
        <v>0</v>
      </c>
    </row>
    <row r="1464" spans="1:13" hidden="1" x14ac:dyDescent="0.25">
      <c r="A1464" t="s">
        <v>1475</v>
      </c>
      <c r="B1464" s="1">
        <v>3.5583402469614313E-2</v>
      </c>
      <c r="C1464" s="2">
        <v>1.0138966947080411E-5</v>
      </c>
      <c r="D1464" s="2"/>
      <c r="E1464" s="2">
        <v>0.55406048572132849</v>
      </c>
      <c r="F1464" s="3">
        <v>140.00020481797799</v>
      </c>
      <c r="G1464" s="3">
        <v>1</v>
      </c>
      <c r="H1464" s="2">
        <v>5.4188793757450959E-5</v>
      </c>
      <c r="I1464" s="4">
        <v>0.55406048572132849</v>
      </c>
      <c r="J1464" s="4">
        <v>0</v>
      </c>
      <c r="K1464" s="5">
        <v>1</v>
      </c>
      <c r="L1464" s="5">
        <v>0</v>
      </c>
      <c r="M1464" s="5">
        <v>1</v>
      </c>
    </row>
    <row r="1465" spans="1:13" hidden="1" x14ac:dyDescent="0.25">
      <c r="A1465" t="s">
        <v>1476</v>
      </c>
      <c r="B1465" s="1">
        <v>3.5566879991108649E-2</v>
      </c>
      <c r="C1465" s="2">
        <v>1.013425910994775E-5</v>
      </c>
      <c r="D1465" s="2"/>
      <c r="E1465" s="2">
        <v>0.16070624968787131</v>
      </c>
      <c r="F1465" s="3">
        <v>104.56421367305011</v>
      </c>
      <c r="G1465" s="3">
        <v>1</v>
      </c>
      <c r="H1465" s="2">
        <v>5.4188793757450959E-5</v>
      </c>
      <c r="I1465" s="4">
        <v>-2.775557561562891E-17</v>
      </c>
      <c r="J1465" s="4">
        <v>0.16070624968787131</v>
      </c>
      <c r="K1465" s="5">
        <v>1</v>
      </c>
      <c r="L1465" s="5">
        <v>0</v>
      </c>
      <c r="M1465" s="5">
        <v>0</v>
      </c>
    </row>
    <row r="1466" spans="1:13" hidden="1" x14ac:dyDescent="0.25">
      <c r="A1466" t="s">
        <v>1477</v>
      </c>
      <c r="B1466" s="1">
        <v>3.5540822032044887E-2</v>
      </c>
      <c r="C1466" s="2">
        <v>1.012683427793846E-5</v>
      </c>
      <c r="D1466" s="2"/>
      <c r="E1466" s="2">
        <v>-0.23814587806693821</v>
      </c>
      <c r="F1466" s="3">
        <v>68.632935520873573</v>
      </c>
      <c r="G1466" s="3">
        <v>5</v>
      </c>
      <c r="H1466" s="2">
        <v>2.7094396878725479E-4</v>
      </c>
      <c r="I1466" s="4">
        <v>-2.775557561562891E-17</v>
      </c>
      <c r="J1466" s="4">
        <v>-0.23814587806693821</v>
      </c>
      <c r="K1466" s="5">
        <v>5</v>
      </c>
      <c r="L1466" s="5">
        <v>0</v>
      </c>
      <c r="M1466" s="5">
        <v>0</v>
      </c>
    </row>
    <row r="1467" spans="1:13" hidden="1" x14ac:dyDescent="0.25">
      <c r="A1467" t="s">
        <v>1478</v>
      </c>
      <c r="B1467" s="1">
        <v>3.5508891218709093E-2</v>
      </c>
      <c r="C1467" s="2">
        <v>1.011773606251959E-5</v>
      </c>
      <c r="D1467" s="2"/>
      <c r="E1467" s="2">
        <v>-2.4006580978430558E-2</v>
      </c>
      <c r="F1467" s="3">
        <v>87.924041451061143</v>
      </c>
      <c r="G1467" s="3">
        <v>1</v>
      </c>
      <c r="H1467" s="2">
        <v>5.4188793757450959E-5</v>
      </c>
      <c r="I1467" s="4">
        <v>-3.4694469519536142E-18</v>
      </c>
      <c r="J1467" s="4">
        <v>-2.4006580978430551E-2</v>
      </c>
      <c r="K1467" s="5">
        <v>1</v>
      </c>
      <c r="L1467" s="5">
        <v>0</v>
      </c>
      <c r="M1467" s="5">
        <v>0</v>
      </c>
    </row>
    <row r="1468" spans="1:13" hidden="1" x14ac:dyDescent="0.25">
      <c r="A1468" t="s">
        <v>1479</v>
      </c>
      <c r="B1468" s="1">
        <v>3.5473602493399731E-2</v>
      </c>
      <c r="C1468" s="2">
        <v>1.0107681059493341E-5</v>
      </c>
      <c r="D1468" s="2"/>
      <c r="E1468" s="2">
        <v>-0.58424581123191655</v>
      </c>
      <c r="F1468" s="3">
        <v>37.453929313727677</v>
      </c>
      <c r="G1468" s="3">
        <v>1</v>
      </c>
      <c r="H1468" s="2">
        <v>5.4188793757450959E-5</v>
      </c>
      <c r="I1468" s="4">
        <v>0</v>
      </c>
      <c r="J1468" s="4">
        <v>-0.58424581123191655</v>
      </c>
      <c r="K1468" s="5">
        <v>1</v>
      </c>
      <c r="L1468" s="5">
        <v>0</v>
      </c>
      <c r="M1468" s="5">
        <v>0</v>
      </c>
    </row>
    <row r="1469" spans="1:13" hidden="1" x14ac:dyDescent="0.25">
      <c r="A1469" t="s">
        <v>1480</v>
      </c>
      <c r="B1469" s="1">
        <v>3.5444503645212247E-2</v>
      </c>
      <c r="C1469" s="2">
        <v>1.0099389770872951E-5</v>
      </c>
      <c r="D1469" s="2"/>
      <c r="E1469" s="2">
        <v>2.6171975089919179</v>
      </c>
      <c r="F1469" s="3">
        <v>325.8614428323844</v>
      </c>
      <c r="G1469" s="3">
        <v>1</v>
      </c>
      <c r="H1469" s="2">
        <v>5.4188793757450959E-5</v>
      </c>
      <c r="I1469" s="4">
        <v>0</v>
      </c>
      <c r="J1469" s="4">
        <v>2.6171975089919179</v>
      </c>
      <c r="K1469" s="5">
        <v>1</v>
      </c>
      <c r="L1469" s="5">
        <v>0</v>
      </c>
      <c r="M1469" s="5">
        <v>0</v>
      </c>
    </row>
    <row r="1470" spans="1:13" hidden="1" x14ac:dyDescent="0.25">
      <c r="A1470" t="s">
        <v>1481</v>
      </c>
      <c r="B1470" s="1">
        <v>3.5397416840107512E-2</v>
      </c>
      <c r="C1470" s="2">
        <v>1.0085973078610079E-5</v>
      </c>
      <c r="D1470" s="2"/>
      <c r="E1470" s="2">
        <v>-0.60395245485178584</v>
      </c>
      <c r="F1470" s="3">
        <v>35.678622516852272</v>
      </c>
      <c r="G1470" s="3">
        <v>2</v>
      </c>
      <c r="H1470" s="2">
        <v>1.083775875149019E-4</v>
      </c>
      <c r="I1470" s="4">
        <v>0</v>
      </c>
      <c r="J1470" s="4">
        <v>-0.60395245485178584</v>
      </c>
      <c r="K1470" s="5">
        <v>2</v>
      </c>
      <c r="L1470" s="5">
        <v>0</v>
      </c>
      <c r="M1470" s="5">
        <v>0</v>
      </c>
    </row>
    <row r="1471" spans="1:13" hidden="1" x14ac:dyDescent="0.25">
      <c r="A1471" t="s">
        <v>1482</v>
      </c>
      <c r="B1471" s="1">
        <v>3.5370461998770017E-2</v>
      </c>
      <c r="C1471" s="2">
        <v>1.007829269319394E-5</v>
      </c>
      <c r="D1471" s="2"/>
      <c r="E1471" s="2">
        <v>-0.63715043978714747</v>
      </c>
      <c r="F1471" s="3">
        <v>32.687925093426358</v>
      </c>
      <c r="G1471" s="3">
        <v>1</v>
      </c>
      <c r="H1471" s="2">
        <v>5.4188793757450959E-5</v>
      </c>
      <c r="I1471" s="4">
        <v>0</v>
      </c>
      <c r="J1471" s="4">
        <v>-0.63715043978714747</v>
      </c>
      <c r="K1471" s="5">
        <v>1</v>
      </c>
      <c r="L1471" s="5">
        <v>0</v>
      </c>
      <c r="M1471" s="5">
        <v>0</v>
      </c>
    </row>
    <row r="1472" spans="1:13" hidden="1" x14ac:dyDescent="0.25">
      <c r="A1472" t="s">
        <v>1483</v>
      </c>
      <c r="B1472" s="1">
        <v>3.5341166485978251E-2</v>
      </c>
      <c r="C1472" s="2">
        <v>1.006994536788835E-5</v>
      </c>
      <c r="D1472" s="2"/>
      <c r="E1472" s="2">
        <v>0.15527349759615469</v>
      </c>
      <c r="F1472" s="3">
        <v>104.07479488108289</v>
      </c>
      <c r="G1472" s="3">
        <v>2</v>
      </c>
      <c r="H1472" s="2">
        <v>1.083775875149019E-4</v>
      </c>
      <c r="I1472" s="4">
        <v>-1.110223024625157E-16</v>
      </c>
      <c r="J1472" s="4">
        <v>0.1552734975961548</v>
      </c>
      <c r="K1472" s="5">
        <v>2</v>
      </c>
      <c r="L1472" s="5">
        <v>0</v>
      </c>
      <c r="M1472" s="5">
        <v>0</v>
      </c>
    </row>
    <row r="1473" spans="1:13" hidden="1" x14ac:dyDescent="0.25">
      <c r="A1473" t="s">
        <v>1484</v>
      </c>
      <c r="B1473" s="1">
        <v>3.5307210769558249E-2</v>
      </c>
      <c r="C1473" s="2">
        <v>1.0060270186130761E-5</v>
      </c>
      <c r="D1473" s="2"/>
      <c r="E1473" s="2">
        <v>-0.48409548425032811</v>
      </c>
      <c r="F1473" s="3">
        <v>46.476143325881708</v>
      </c>
      <c r="G1473" s="3">
        <v>1</v>
      </c>
      <c r="H1473" s="2">
        <v>5.4188793757450959E-5</v>
      </c>
      <c r="I1473" s="4">
        <v>-5.5511151231257827E-17</v>
      </c>
      <c r="J1473" s="4">
        <v>-0.48409548425032811</v>
      </c>
      <c r="K1473" s="5">
        <v>1</v>
      </c>
      <c r="L1473" s="5">
        <v>0</v>
      </c>
      <c r="M1473" s="5">
        <v>1</v>
      </c>
    </row>
    <row r="1474" spans="1:13" hidden="1" x14ac:dyDescent="0.25">
      <c r="A1474" t="s">
        <v>1485</v>
      </c>
      <c r="B1474" s="1">
        <v>3.5306394503714721E-2</v>
      </c>
      <c r="C1474" s="2">
        <v>1.006003760318947E-5</v>
      </c>
      <c r="D1474" s="2"/>
      <c r="E1474" s="2">
        <v>-0.29870765110598602</v>
      </c>
      <c r="F1474" s="3">
        <v>63.177124304059099</v>
      </c>
      <c r="G1474" s="3">
        <v>1</v>
      </c>
      <c r="H1474" s="2">
        <v>5.4188793757450959E-5</v>
      </c>
      <c r="I1474" s="4">
        <v>1.110223024625157E-16</v>
      </c>
      <c r="J1474" s="4">
        <v>-0.29870765110598613</v>
      </c>
      <c r="K1474" s="5">
        <v>1</v>
      </c>
      <c r="L1474" s="5">
        <v>0</v>
      </c>
      <c r="M1474" s="5">
        <v>0</v>
      </c>
    </row>
    <row r="1475" spans="1:13" hidden="1" x14ac:dyDescent="0.25">
      <c r="A1475" t="s">
        <v>1486</v>
      </c>
      <c r="B1475" s="1">
        <v>3.5294908208525787E-2</v>
      </c>
      <c r="C1475" s="2">
        <v>1.005676475238875E-5</v>
      </c>
      <c r="D1475" s="2"/>
      <c r="E1475" s="2">
        <v>-0.62753636304773541</v>
      </c>
      <c r="F1475" s="3">
        <v>33.554025689265593</v>
      </c>
      <c r="G1475" s="3">
        <v>1</v>
      </c>
      <c r="H1475" s="2">
        <v>5.4188793757450959E-5</v>
      </c>
      <c r="I1475" s="4">
        <v>-2.2204460492503131E-16</v>
      </c>
      <c r="J1475" s="4">
        <v>-0.62753636304773519</v>
      </c>
      <c r="K1475" s="5">
        <v>1</v>
      </c>
      <c r="L1475" s="5">
        <v>0</v>
      </c>
      <c r="M1475" s="5">
        <v>1</v>
      </c>
    </row>
    <row r="1476" spans="1:13" hidden="1" x14ac:dyDescent="0.25">
      <c r="A1476" t="s">
        <v>1487</v>
      </c>
      <c r="B1476" s="1">
        <v>3.5130166698223032E-2</v>
      </c>
      <c r="C1476" s="2">
        <v>1.000982408309221E-5</v>
      </c>
      <c r="D1476" s="2"/>
      <c r="E1476" s="2">
        <v>-3.7711701049570223E-2</v>
      </c>
      <c r="F1476" s="3">
        <v>86.689392198574708</v>
      </c>
      <c r="G1476" s="3">
        <v>1</v>
      </c>
      <c r="H1476" s="2">
        <v>5.4188793757450959E-5</v>
      </c>
      <c r="I1476" s="4">
        <v>-6.9388939039072284E-18</v>
      </c>
      <c r="J1476" s="4">
        <v>-3.7711701049570223E-2</v>
      </c>
      <c r="K1476" s="5">
        <v>1</v>
      </c>
      <c r="L1476" s="5">
        <v>0</v>
      </c>
      <c r="M1476" s="5">
        <v>0</v>
      </c>
    </row>
    <row r="1477" spans="1:13" hidden="1" x14ac:dyDescent="0.25">
      <c r="A1477" t="s">
        <v>1488</v>
      </c>
      <c r="B1477" s="1">
        <v>3.5081002697403052E-2</v>
      </c>
      <c r="C1477" s="2">
        <v>9.9958155244748721E-6</v>
      </c>
      <c r="D1477" s="2"/>
      <c r="E1477" s="2">
        <v>0.18960201778979241</v>
      </c>
      <c r="F1477" s="3">
        <v>107.16733851266279</v>
      </c>
      <c r="G1477" s="3">
        <v>2</v>
      </c>
      <c r="H1477" s="2">
        <v>1.083775875149019E-4</v>
      </c>
      <c r="I1477" s="4">
        <v>-2.4980018054066022E-16</v>
      </c>
      <c r="J1477" s="4">
        <v>0.1896020177897926</v>
      </c>
      <c r="K1477" s="5">
        <v>2</v>
      </c>
      <c r="L1477" s="5">
        <v>0</v>
      </c>
      <c r="M1477" s="5">
        <v>0</v>
      </c>
    </row>
    <row r="1478" spans="1:13" hidden="1" x14ac:dyDescent="0.25">
      <c r="A1478" t="s">
        <v>1489</v>
      </c>
      <c r="B1478" s="1">
        <v>3.5035636401502201E-2</v>
      </c>
      <c r="C1478" s="2">
        <v>9.9828890659934809E-6</v>
      </c>
      <c r="D1478" s="2"/>
      <c r="E1478" s="2" t="s">
        <v>303</v>
      </c>
      <c r="F1478" s="3" t="s">
        <v>303</v>
      </c>
      <c r="G1478" s="3">
        <v>1</v>
      </c>
      <c r="H1478" s="2">
        <v>5.4188793757450959E-5</v>
      </c>
      <c r="I1478" s="4" t="s">
        <v>303</v>
      </c>
      <c r="J1478" s="4">
        <v>0</v>
      </c>
      <c r="K1478" s="5">
        <v>1</v>
      </c>
      <c r="L1478" s="5">
        <v>0</v>
      </c>
      <c r="M1478" s="5">
        <v>1</v>
      </c>
    </row>
    <row r="1479" spans="1:13" hidden="1" x14ac:dyDescent="0.25">
      <c r="A1479" t="s">
        <v>1490</v>
      </c>
      <c r="B1479" s="1">
        <v>3.5009051755250292E-2</v>
      </c>
      <c r="C1479" s="2">
        <v>9.9753141622197851E-6</v>
      </c>
      <c r="D1479" s="2"/>
      <c r="E1479" s="2">
        <v>0.53486436517214409</v>
      </c>
      <c r="F1479" s="3">
        <v>138.27088936771801</v>
      </c>
      <c r="G1479" s="3">
        <v>1</v>
      </c>
      <c r="H1479" s="2">
        <v>5.4188793757450959E-5</v>
      </c>
      <c r="I1479" s="4">
        <v>0</v>
      </c>
      <c r="J1479" s="4">
        <v>0.53486436517214409</v>
      </c>
      <c r="K1479" s="5">
        <v>1</v>
      </c>
      <c r="L1479" s="5">
        <v>0</v>
      </c>
      <c r="M1479" s="5">
        <v>0</v>
      </c>
    </row>
    <row r="1480" spans="1:13" hidden="1" x14ac:dyDescent="0.25">
      <c r="A1480" t="s">
        <v>1491</v>
      </c>
      <c r="B1480" s="1">
        <v>3.4788719820632981E-2</v>
      </c>
      <c r="C1480" s="2">
        <v>9.912533819491775E-6</v>
      </c>
      <c r="D1480" s="2"/>
      <c r="E1480" s="2">
        <v>-0.1190346077808333</v>
      </c>
      <c r="F1480" s="3">
        <v>79.363278637759478</v>
      </c>
      <c r="G1480" s="3">
        <v>1</v>
      </c>
      <c r="H1480" s="2">
        <v>5.4188793757450959E-5</v>
      </c>
      <c r="I1480" s="4">
        <v>-4.163336342344337E-17</v>
      </c>
      <c r="J1480" s="4">
        <v>-0.1190346077808333</v>
      </c>
      <c r="K1480" s="5">
        <v>1</v>
      </c>
      <c r="L1480" s="5">
        <v>1</v>
      </c>
      <c r="M1480" s="5">
        <v>0</v>
      </c>
    </row>
    <row r="1481" spans="1:13" hidden="1" x14ac:dyDescent="0.25">
      <c r="A1481" t="s">
        <v>1492</v>
      </c>
      <c r="B1481" s="1">
        <v>3.4720877564516257E-2</v>
      </c>
      <c r="C1481" s="2">
        <v>9.8932031668660127E-6</v>
      </c>
      <c r="D1481" s="2"/>
      <c r="E1481" s="2">
        <v>11.18448265412531</v>
      </c>
      <c r="F1481" s="3">
        <v>1097.660022149568</v>
      </c>
      <c r="G1481" s="3">
        <v>2</v>
      </c>
      <c r="H1481" s="2">
        <v>1.083775875149019E-4</v>
      </c>
      <c r="I1481" s="4">
        <v>0</v>
      </c>
      <c r="J1481" s="4">
        <v>11.18448265412531</v>
      </c>
      <c r="K1481" s="5">
        <v>2</v>
      </c>
      <c r="L1481" s="5">
        <v>0</v>
      </c>
      <c r="M1481" s="5">
        <v>0</v>
      </c>
    </row>
    <row r="1482" spans="1:13" hidden="1" x14ac:dyDescent="0.25">
      <c r="A1482" t="s">
        <v>1493</v>
      </c>
      <c r="B1482" s="1">
        <v>3.4705913162127823E-2</v>
      </c>
      <c r="C1482" s="2">
        <v>9.8889392805968784E-6</v>
      </c>
      <c r="D1482" s="2"/>
      <c r="E1482" s="2">
        <v>-0.16972218020289209</v>
      </c>
      <c r="F1482" s="3">
        <v>74.797001722533395</v>
      </c>
      <c r="G1482" s="3">
        <v>2</v>
      </c>
      <c r="H1482" s="2">
        <v>1.083775875149019E-4</v>
      </c>
      <c r="I1482" s="4">
        <v>-2.775557561562891E-17</v>
      </c>
      <c r="J1482" s="4">
        <v>-0.16972218020289209</v>
      </c>
      <c r="K1482" s="5">
        <v>2</v>
      </c>
      <c r="L1482" s="5">
        <v>0</v>
      </c>
      <c r="M1482" s="5">
        <v>0</v>
      </c>
    </row>
    <row r="1483" spans="1:13" hidden="1" x14ac:dyDescent="0.25">
      <c r="A1483" t="s">
        <v>1494</v>
      </c>
      <c r="B1483" s="1">
        <v>3.4630058460673727E-2</v>
      </c>
      <c r="C1483" s="2">
        <v>9.8673255995701605E-6</v>
      </c>
      <c r="D1483" s="2"/>
      <c r="E1483" s="2">
        <v>0.37683197980830219</v>
      </c>
      <c r="F1483" s="3">
        <v>124.0342708306073</v>
      </c>
      <c r="G1483" s="3">
        <v>1</v>
      </c>
      <c r="H1483" s="2">
        <v>5.4188793757450959E-5</v>
      </c>
      <c r="I1483" s="4">
        <v>-1.110223024625157E-16</v>
      </c>
      <c r="J1483" s="4">
        <v>0.3768319798083023</v>
      </c>
      <c r="K1483" s="5">
        <v>1</v>
      </c>
      <c r="L1483" s="5">
        <v>0</v>
      </c>
      <c r="M1483" s="5">
        <v>1</v>
      </c>
    </row>
    <row r="1484" spans="1:13" hidden="1" x14ac:dyDescent="0.25">
      <c r="A1484" t="s">
        <v>1495</v>
      </c>
      <c r="B1484" s="1">
        <v>3.4587266203806227E-2</v>
      </c>
      <c r="C1484" s="2">
        <v>9.8551325756360057E-6</v>
      </c>
      <c r="D1484" s="2"/>
      <c r="E1484" s="2">
        <v>0.58557111374270998</v>
      </c>
      <c r="F1484" s="3">
        <v>142.83889379917861</v>
      </c>
      <c r="G1484" s="3">
        <v>1</v>
      </c>
      <c r="H1484" s="2">
        <v>5.4188793757450959E-5</v>
      </c>
      <c r="I1484" s="4">
        <v>0</v>
      </c>
      <c r="J1484" s="4">
        <v>0.58557111374270998</v>
      </c>
      <c r="K1484" s="5">
        <v>1</v>
      </c>
      <c r="L1484" s="5">
        <v>0</v>
      </c>
      <c r="M1484" s="5">
        <v>0</v>
      </c>
    </row>
    <row r="1485" spans="1:13" hidden="1" x14ac:dyDescent="0.25">
      <c r="A1485" t="s">
        <v>1496</v>
      </c>
      <c r="B1485" s="1">
        <v>3.4537937786215472E-2</v>
      </c>
      <c r="C1485" s="2">
        <v>9.8410771688791201E-6</v>
      </c>
      <c r="D1485" s="2"/>
      <c r="E1485" s="2">
        <v>-9.026660053638913E-2</v>
      </c>
      <c r="F1485" s="3">
        <v>81.954893921354994</v>
      </c>
      <c r="G1485" s="3">
        <v>1</v>
      </c>
      <c r="H1485" s="2">
        <v>5.4188793757450959E-5</v>
      </c>
      <c r="I1485" s="4">
        <v>1.387778780781446E-17</v>
      </c>
      <c r="J1485" s="4">
        <v>-9.0266600536389144E-2</v>
      </c>
      <c r="K1485" s="5">
        <v>1</v>
      </c>
      <c r="L1485" s="5">
        <v>0</v>
      </c>
      <c r="M1485" s="5">
        <v>0</v>
      </c>
    </row>
    <row r="1486" spans="1:13" hidden="1" x14ac:dyDescent="0.25">
      <c r="A1486" t="s">
        <v>1497</v>
      </c>
      <c r="B1486" s="1">
        <v>3.4510128176617937E-2</v>
      </c>
      <c r="C1486" s="2">
        <v>9.8331532298246304E-6</v>
      </c>
      <c r="D1486" s="2"/>
      <c r="E1486" s="2">
        <v>1.1688181024932049</v>
      </c>
      <c r="F1486" s="3">
        <v>195.38169933009561</v>
      </c>
      <c r="G1486" s="3">
        <v>1</v>
      </c>
      <c r="H1486" s="2">
        <v>5.4188793757450959E-5</v>
      </c>
      <c r="I1486" s="4">
        <v>2.2204460492503131E-16</v>
      </c>
      <c r="J1486" s="4">
        <v>1.1688181024932049</v>
      </c>
      <c r="K1486" s="5">
        <v>1</v>
      </c>
      <c r="L1486" s="5">
        <v>1</v>
      </c>
      <c r="M1486" s="5">
        <v>0</v>
      </c>
    </row>
    <row r="1487" spans="1:13" hidden="1" x14ac:dyDescent="0.25">
      <c r="A1487" t="s">
        <v>1498</v>
      </c>
      <c r="B1487" s="1">
        <v>3.4482965303239771E-2</v>
      </c>
      <c r="C1487" s="2">
        <v>9.8254135687395454E-6</v>
      </c>
      <c r="D1487" s="2"/>
      <c r="E1487" s="2">
        <v>0.1108214960948701</v>
      </c>
      <c r="F1487" s="3">
        <v>100.0702600692604</v>
      </c>
      <c r="G1487" s="3">
        <v>1</v>
      </c>
      <c r="H1487" s="2">
        <v>5.4188793757450959E-5</v>
      </c>
      <c r="I1487" s="4">
        <v>6.9388939039072284E-17</v>
      </c>
      <c r="J1487" s="4">
        <v>0.1108214960948701</v>
      </c>
      <c r="K1487" s="5">
        <v>1</v>
      </c>
      <c r="L1487" s="5">
        <v>0</v>
      </c>
      <c r="M1487" s="5">
        <v>0</v>
      </c>
    </row>
    <row r="1488" spans="1:13" hidden="1" x14ac:dyDescent="0.25">
      <c r="A1488" t="s">
        <v>1499</v>
      </c>
      <c r="B1488" s="1">
        <v>3.44478316618715E-2</v>
      </c>
      <c r="C1488" s="2">
        <v>9.8154027546003512E-6</v>
      </c>
      <c r="D1488" s="2"/>
      <c r="E1488" s="2">
        <v>-0.19929962663181741</v>
      </c>
      <c r="F1488" s="3">
        <v>72.132466721426098</v>
      </c>
      <c r="G1488" s="3">
        <v>1</v>
      </c>
      <c r="H1488" s="2">
        <v>5.4188793757450959E-5</v>
      </c>
      <c r="I1488" s="4">
        <v>-1.6653345369377351E-16</v>
      </c>
      <c r="J1488" s="4">
        <v>-0.1992996266318173</v>
      </c>
      <c r="K1488" s="5">
        <v>1</v>
      </c>
      <c r="L1488" s="5">
        <v>0</v>
      </c>
      <c r="M1488" s="5">
        <v>0</v>
      </c>
    </row>
    <row r="1489" spans="1:13" hidden="1" x14ac:dyDescent="0.25">
      <c r="A1489" t="s">
        <v>1500</v>
      </c>
      <c r="B1489" s="1">
        <v>3.4443611451825631E-2</v>
      </c>
      <c r="C1489" s="2">
        <v>9.814200267845428E-6</v>
      </c>
      <c r="D1489" s="2"/>
      <c r="E1489" s="2">
        <v>2.43752331230578</v>
      </c>
      <c r="F1489" s="3">
        <v>309.67518459618111</v>
      </c>
      <c r="G1489" s="3">
        <v>1</v>
      </c>
      <c r="H1489" s="2">
        <v>5.4188793757450959E-5</v>
      </c>
      <c r="I1489" s="4">
        <v>0</v>
      </c>
      <c r="J1489" s="4">
        <v>2.43752331230578</v>
      </c>
      <c r="K1489" s="5">
        <v>1</v>
      </c>
      <c r="L1489" s="5">
        <v>0</v>
      </c>
      <c r="M1489" s="5">
        <v>0</v>
      </c>
    </row>
    <row r="1490" spans="1:13" hidden="1" x14ac:dyDescent="0.25">
      <c r="A1490" t="s">
        <v>1501</v>
      </c>
      <c r="B1490" s="1">
        <v>3.4395012011556508E-2</v>
      </c>
      <c r="C1490" s="2">
        <v>9.8003525724499131E-6</v>
      </c>
      <c r="D1490" s="2"/>
      <c r="E1490" s="2">
        <v>1.082533727686676</v>
      </c>
      <c r="F1490" s="3">
        <v>187.60862340641421</v>
      </c>
      <c r="G1490" s="3">
        <v>1</v>
      </c>
      <c r="H1490" s="2">
        <v>5.4188793757450959E-5</v>
      </c>
      <c r="I1490" s="4">
        <v>0</v>
      </c>
      <c r="J1490" s="4">
        <v>1.082533727686676</v>
      </c>
      <c r="K1490" s="5">
        <v>1</v>
      </c>
      <c r="L1490" s="5">
        <v>0</v>
      </c>
      <c r="M1490" s="5">
        <v>0</v>
      </c>
    </row>
    <row r="1491" spans="1:13" hidden="1" x14ac:dyDescent="0.25">
      <c r="A1491" t="s">
        <v>1502</v>
      </c>
      <c r="B1491" s="1">
        <v>3.438180527558448E-2</v>
      </c>
      <c r="C1491" s="2">
        <v>9.7965895073632184E-6</v>
      </c>
      <c r="D1491" s="2"/>
      <c r="E1491" s="2">
        <v>0.1957956188008976</v>
      </c>
      <c r="F1491" s="3">
        <v>107.7252996847552</v>
      </c>
      <c r="G1491" s="3">
        <v>1</v>
      </c>
      <c r="H1491" s="2">
        <v>5.4188793757450959E-5</v>
      </c>
      <c r="I1491" s="4">
        <v>8.3266726846886741E-17</v>
      </c>
      <c r="J1491" s="4">
        <v>0.19579561880089749</v>
      </c>
      <c r="K1491" s="5">
        <v>1</v>
      </c>
      <c r="L1491" s="5">
        <v>0</v>
      </c>
      <c r="M1491" s="5">
        <v>0</v>
      </c>
    </row>
    <row r="1492" spans="1:13" hidden="1" x14ac:dyDescent="0.25">
      <c r="A1492" t="s">
        <v>1503</v>
      </c>
      <c r="B1492" s="1">
        <v>3.4306526987779508E-2</v>
      </c>
      <c r="C1492" s="2">
        <v>9.775140066924263E-6</v>
      </c>
      <c r="D1492" s="2"/>
      <c r="E1492" s="2">
        <v>0.26050240664385238</v>
      </c>
      <c r="F1492" s="3">
        <v>113.5545216708752</v>
      </c>
      <c r="G1492" s="3">
        <v>1</v>
      </c>
      <c r="H1492" s="2">
        <v>5.4188793757450959E-5</v>
      </c>
      <c r="I1492" s="4">
        <v>0</v>
      </c>
      <c r="J1492" s="4">
        <v>0.26050240664385238</v>
      </c>
      <c r="K1492" s="5">
        <v>1</v>
      </c>
      <c r="L1492" s="5">
        <v>0</v>
      </c>
      <c r="M1492" s="5">
        <v>0</v>
      </c>
    </row>
    <row r="1493" spans="1:13" hidden="1" x14ac:dyDescent="0.25">
      <c r="A1493" t="s">
        <v>1504</v>
      </c>
      <c r="B1493" s="1">
        <v>3.430513533690821E-2</v>
      </c>
      <c r="C1493" s="2">
        <v>9.7747435364857227E-6</v>
      </c>
      <c r="D1493" s="2"/>
      <c r="E1493" s="2">
        <v>0.34981444837911663</v>
      </c>
      <c r="F1493" s="3">
        <v>121.600350163738</v>
      </c>
      <c r="G1493" s="3">
        <v>2</v>
      </c>
      <c r="H1493" s="2">
        <v>1.083775875149019E-4</v>
      </c>
      <c r="I1493" s="4">
        <v>5.5511151231257827E-17</v>
      </c>
      <c r="J1493" s="4">
        <v>0.34981444837911663</v>
      </c>
      <c r="K1493" s="5">
        <v>2</v>
      </c>
      <c r="L1493" s="5">
        <v>0</v>
      </c>
      <c r="M1493" s="5">
        <v>0</v>
      </c>
    </row>
    <row r="1494" spans="1:13" hidden="1" x14ac:dyDescent="0.25">
      <c r="A1494" t="s">
        <v>1505</v>
      </c>
      <c r="B1494" s="1">
        <v>3.4299012928159511E-2</v>
      </c>
      <c r="C1494" s="2">
        <v>9.772999046200045E-6</v>
      </c>
      <c r="D1494" s="2"/>
      <c r="E1494" s="2">
        <v>-0.19381514626433791</v>
      </c>
      <c r="F1494" s="3">
        <v>72.626545543854235</v>
      </c>
      <c r="G1494" s="3">
        <v>2</v>
      </c>
      <c r="H1494" s="2">
        <v>1.083775875149019E-4</v>
      </c>
      <c r="I1494" s="4">
        <v>-2.775557561562891E-17</v>
      </c>
      <c r="J1494" s="4">
        <v>-0.19381514626433791</v>
      </c>
      <c r="K1494" s="5">
        <v>2</v>
      </c>
      <c r="L1494" s="5">
        <v>0</v>
      </c>
      <c r="M1494" s="5">
        <v>0</v>
      </c>
    </row>
    <row r="1495" spans="1:13" hidden="1" x14ac:dyDescent="0.25">
      <c r="A1495" t="s">
        <v>1506</v>
      </c>
      <c r="B1495" s="1">
        <v>3.4279590287331789E-2</v>
      </c>
      <c r="C1495" s="2">
        <v>9.7674648504877193E-6</v>
      </c>
      <c r="D1495" s="2"/>
      <c r="E1495" s="2">
        <v>-4.0062761642341238E-2</v>
      </c>
      <c r="F1495" s="3">
        <v>86.477592871874336</v>
      </c>
      <c r="G1495" s="3">
        <v>1</v>
      </c>
      <c r="H1495" s="2">
        <v>5.4188793757450959E-5</v>
      </c>
      <c r="I1495" s="4">
        <v>0</v>
      </c>
      <c r="J1495" s="4">
        <v>-4.0062761642341238E-2</v>
      </c>
      <c r="K1495" s="5">
        <v>1</v>
      </c>
      <c r="L1495" s="5">
        <v>0</v>
      </c>
      <c r="M1495" s="5">
        <v>0</v>
      </c>
    </row>
    <row r="1496" spans="1:13" hidden="1" x14ac:dyDescent="0.25">
      <c r="A1496" t="s">
        <v>1507</v>
      </c>
      <c r="B1496" s="1">
        <v>3.4227341312846972E-2</v>
      </c>
      <c r="C1496" s="2">
        <v>9.7525772740179647E-6</v>
      </c>
      <c r="D1496" s="2"/>
      <c r="E1496" s="2">
        <v>-0.54076846457393857</v>
      </c>
      <c r="F1496" s="3">
        <v>41.370660671988773</v>
      </c>
      <c r="G1496" s="3">
        <v>1</v>
      </c>
      <c r="H1496" s="2">
        <v>5.4188793757450959E-5</v>
      </c>
      <c r="I1496" s="4">
        <v>-1.110223024625157E-16</v>
      </c>
      <c r="J1496" s="4">
        <v>-0.54076846457393846</v>
      </c>
      <c r="K1496" s="5">
        <v>1</v>
      </c>
      <c r="L1496" s="5">
        <v>0</v>
      </c>
      <c r="M1496" s="5">
        <v>0</v>
      </c>
    </row>
    <row r="1497" spans="1:13" hidden="1" x14ac:dyDescent="0.25">
      <c r="A1497" t="s">
        <v>1508</v>
      </c>
      <c r="B1497" s="1">
        <v>3.4227164422457247E-2</v>
      </c>
      <c r="C1497" s="2">
        <v>9.7525268717042435E-6</v>
      </c>
      <c r="D1497" s="2"/>
      <c r="E1497" s="2">
        <v>-0.19565580403978661</v>
      </c>
      <c r="F1497" s="3">
        <v>72.460726730538866</v>
      </c>
      <c r="G1497" s="3">
        <v>1</v>
      </c>
      <c r="H1497" s="2">
        <v>5.4188793757450959E-5</v>
      </c>
      <c r="I1497" s="4">
        <v>-2.775557561562891E-17</v>
      </c>
      <c r="J1497" s="4">
        <v>-0.1956558040397865</v>
      </c>
      <c r="K1497" s="5">
        <v>1</v>
      </c>
      <c r="L1497" s="5">
        <v>0</v>
      </c>
      <c r="M1497" s="5">
        <v>0</v>
      </c>
    </row>
    <row r="1498" spans="1:13" hidden="1" x14ac:dyDescent="0.25">
      <c r="A1498" t="s">
        <v>1509</v>
      </c>
      <c r="B1498" s="1">
        <v>3.4190387072992177E-2</v>
      </c>
      <c r="C1498" s="2">
        <v>9.7420477071289604E-6</v>
      </c>
      <c r="D1498" s="2"/>
      <c r="E1498" s="2">
        <v>0.2259962082686966</v>
      </c>
      <c r="F1498" s="3">
        <v>110.4459715955097</v>
      </c>
      <c r="G1498" s="3">
        <v>1</v>
      </c>
      <c r="H1498" s="2">
        <v>5.4188793757450959E-5</v>
      </c>
      <c r="I1498" s="4">
        <v>2.775557561562891E-17</v>
      </c>
      <c r="J1498" s="4">
        <v>0.2259962082686966</v>
      </c>
      <c r="K1498" s="5">
        <v>1</v>
      </c>
      <c r="L1498" s="5">
        <v>0</v>
      </c>
      <c r="M1498" s="5">
        <v>0</v>
      </c>
    </row>
    <row r="1499" spans="1:13" hidden="1" x14ac:dyDescent="0.25">
      <c r="A1499" t="s">
        <v>1510</v>
      </c>
      <c r="B1499" s="1">
        <v>3.4176164483518623E-2</v>
      </c>
      <c r="C1499" s="2">
        <v>9.7379951895346269E-6</v>
      </c>
      <c r="D1499" s="2"/>
      <c r="E1499" s="2">
        <v>-0.74534491296658478</v>
      </c>
      <c r="F1499" s="3">
        <v>22.941040371456399</v>
      </c>
      <c r="G1499" s="3">
        <v>3</v>
      </c>
      <c r="H1499" s="2">
        <v>1.6256638127235291E-4</v>
      </c>
      <c r="I1499" s="4">
        <v>-1.110223024625157E-16</v>
      </c>
      <c r="J1499" s="4">
        <v>-0.74534491296658467</v>
      </c>
      <c r="K1499" s="5">
        <v>3</v>
      </c>
      <c r="L1499" s="5">
        <v>0</v>
      </c>
      <c r="M1499" s="5">
        <v>0</v>
      </c>
    </row>
    <row r="1500" spans="1:13" hidden="1" x14ac:dyDescent="0.25">
      <c r="A1500" t="s">
        <v>1511</v>
      </c>
      <c r="B1500" s="1">
        <v>3.4165537738878961E-2</v>
      </c>
      <c r="C1500" s="2">
        <v>9.7349672550151969E-6</v>
      </c>
      <c r="D1500" s="2"/>
      <c r="E1500" s="2">
        <v>-0.6323267000202667</v>
      </c>
      <c r="F1500" s="3">
        <v>33.1224799653614</v>
      </c>
      <c r="G1500" s="3">
        <v>1</v>
      </c>
      <c r="H1500" s="2">
        <v>5.4188793757450959E-5</v>
      </c>
      <c r="I1500" s="4">
        <v>-1.110223024625157E-16</v>
      </c>
      <c r="J1500" s="4">
        <v>-0.6323267000202667</v>
      </c>
      <c r="K1500" s="5">
        <v>1</v>
      </c>
      <c r="L1500" s="5">
        <v>0</v>
      </c>
      <c r="M1500" s="5">
        <v>0</v>
      </c>
    </row>
    <row r="1501" spans="1:13" hidden="1" x14ac:dyDescent="0.25">
      <c r="A1501" t="s">
        <v>1512</v>
      </c>
      <c r="B1501" s="1">
        <v>3.4139117971522158E-2</v>
      </c>
      <c r="C1501" s="2">
        <v>9.7274393310565808E-6</v>
      </c>
      <c r="D1501" s="2"/>
      <c r="E1501" s="2">
        <v>0.34215268056668802</v>
      </c>
      <c r="F1501" s="3">
        <v>120.91012666673559</v>
      </c>
      <c r="G1501" s="3">
        <v>1</v>
      </c>
      <c r="H1501" s="2">
        <v>5.4188793757450959E-5</v>
      </c>
      <c r="I1501" s="4">
        <v>0</v>
      </c>
      <c r="J1501" s="4">
        <v>0.34215268056668802</v>
      </c>
      <c r="K1501" s="5">
        <v>1</v>
      </c>
      <c r="L1501" s="5">
        <v>0</v>
      </c>
      <c r="M1501" s="5">
        <v>0</v>
      </c>
    </row>
    <row r="1502" spans="1:13" hidden="1" x14ac:dyDescent="0.25">
      <c r="A1502" t="s">
        <v>1513</v>
      </c>
      <c r="B1502" s="1">
        <v>3.4108057528899977E-2</v>
      </c>
      <c r="C1502" s="2">
        <v>9.7185891149656105E-6</v>
      </c>
      <c r="D1502" s="2"/>
      <c r="E1502" s="2">
        <v>-7.2687685538214142E-3</v>
      </c>
      <c r="F1502" s="3">
        <v>89.431895996737026</v>
      </c>
      <c r="G1502" s="3">
        <v>1</v>
      </c>
      <c r="H1502" s="2">
        <v>5.4188793757450959E-5</v>
      </c>
      <c r="I1502" s="4">
        <v>-1.6913553890773869E-16</v>
      </c>
      <c r="J1502" s="4">
        <v>-7.268768553821245E-3</v>
      </c>
      <c r="K1502" s="5">
        <v>1</v>
      </c>
      <c r="L1502" s="5">
        <v>0</v>
      </c>
      <c r="M1502" s="5">
        <v>0</v>
      </c>
    </row>
    <row r="1503" spans="1:13" hidden="1" x14ac:dyDescent="0.25">
      <c r="A1503" t="s">
        <v>1514</v>
      </c>
      <c r="B1503" s="1">
        <v>3.4096340758862739E-2</v>
      </c>
      <c r="C1503" s="2">
        <v>9.7152505937481543E-6</v>
      </c>
      <c r="D1503" s="2"/>
      <c r="E1503" s="2">
        <v>-0.32979751974241373</v>
      </c>
      <c r="F1503" s="3">
        <v>60.376340153856837</v>
      </c>
      <c r="G1503" s="3">
        <v>1</v>
      </c>
      <c r="H1503" s="2">
        <v>5.4188793757450959E-5</v>
      </c>
      <c r="I1503" s="4">
        <v>0</v>
      </c>
      <c r="J1503" s="4">
        <v>-0.32979751974241373</v>
      </c>
      <c r="K1503" s="5">
        <v>1</v>
      </c>
      <c r="L1503" s="5">
        <v>0</v>
      </c>
      <c r="M1503" s="5">
        <v>0</v>
      </c>
    </row>
    <row r="1504" spans="1:13" hidden="1" x14ac:dyDescent="0.25">
      <c r="A1504" t="s">
        <v>1515</v>
      </c>
      <c r="B1504" s="1">
        <v>3.4084177555279087E-2</v>
      </c>
      <c r="C1504" s="2">
        <v>9.7117848678606272E-6</v>
      </c>
      <c r="D1504" s="2"/>
      <c r="E1504" s="2">
        <v>-0.52879677024114269</v>
      </c>
      <c r="F1504" s="3">
        <v>42.449151293176968</v>
      </c>
      <c r="G1504" s="3">
        <v>1</v>
      </c>
      <c r="H1504" s="2">
        <v>5.4188793757450959E-5</v>
      </c>
      <c r="I1504" s="4">
        <v>0</v>
      </c>
      <c r="J1504" s="4">
        <v>-0.52879677024114269</v>
      </c>
      <c r="K1504" s="5">
        <v>1</v>
      </c>
      <c r="L1504" s="5">
        <v>0</v>
      </c>
      <c r="M1504" s="5">
        <v>1</v>
      </c>
    </row>
    <row r="1505" spans="1:13" hidden="1" x14ac:dyDescent="0.25">
      <c r="A1505" t="s">
        <v>1516</v>
      </c>
      <c r="B1505" s="1">
        <v>3.4015036000181201E-2</v>
      </c>
      <c r="C1505" s="2">
        <v>9.692083999108521E-6</v>
      </c>
      <c r="D1505" s="2"/>
      <c r="E1505" s="2">
        <v>-0.35374847531203663</v>
      </c>
      <c r="F1505" s="3">
        <v>58.21867723394989</v>
      </c>
      <c r="G1505" s="3">
        <v>1</v>
      </c>
      <c r="H1505" s="2">
        <v>5.4188793757450959E-5</v>
      </c>
      <c r="I1505" s="4">
        <v>5.5511151231257827E-17</v>
      </c>
      <c r="J1505" s="4">
        <v>-0.35374847531203663</v>
      </c>
      <c r="K1505" s="5">
        <v>1</v>
      </c>
      <c r="L1505" s="5">
        <v>0</v>
      </c>
      <c r="M1505" s="5">
        <v>0</v>
      </c>
    </row>
    <row r="1506" spans="1:13" hidden="1" x14ac:dyDescent="0.25">
      <c r="A1506" t="s">
        <v>1517</v>
      </c>
      <c r="B1506" s="1">
        <v>3.4005388055826598E-2</v>
      </c>
      <c r="C1506" s="2">
        <v>9.6893349593279068E-6</v>
      </c>
      <c r="D1506" s="2"/>
      <c r="E1506" s="2">
        <v>-0.84131515726211381</v>
      </c>
      <c r="F1506" s="3">
        <v>14.29539627892991</v>
      </c>
      <c r="G1506" s="3">
        <v>2</v>
      </c>
      <c r="H1506" s="2">
        <v>1.083775875149019E-4</v>
      </c>
      <c r="I1506" s="4">
        <v>0</v>
      </c>
      <c r="J1506" s="4">
        <v>-0.84131515726211381</v>
      </c>
      <c r="K1506" s="5">
        <v>2</v>
      </c>
      <c r="L1506" s="5">
        <v>0</v>
      </c>
      <c r="M1506" s="5">
        <v>0</v>
      </c>
    </row>
    <row r="1507" spans="1:13" hidden="1" x14ac:dyDescent="0.25">
      <c r="A1507" t="s">
        <v>1518</v>
      </c>
      <c r="B1507" s="1">
        <v>3.4003698974505343E-2</v>
      </c>
      <c r="C1507" s="2">
        <v>9.6888536804591454E-6</v>
      </c>
      <c r="D1507" s="2"/>
      <c r="E1507" s="2">
        <v>2.1259827904724249E-2</v>
      </c>
      <c r="F1507" s="3">
        <v>92.001943548980137</v>
      </c>
      <c r="G1507" s="3">
        <v>1</v>
      </c>
      <c r="H1507" s="2">
        <v>5.4188793757450959E-5</v>
      </c>
      <c r="I1507" s="4">
        <v>-7.2858385991025898E-17</v>
      </c>
      <c r="J1507" s="4">
        <v>2.1259827904724318E-2</v>
      </c>
      <c r="K1507" s="5">
        <v>1</v>
      </c>
      <c r="L1507" s="5">
        <v>0</v>
      </c>
      <c r="M1507" s="5">
        <v>0</v>
      </c>
    </row>
    <row r="1508" spans="1:13" hidden="1" x14ac:dyDescent="0.25">
      <c r="A1508" t="s">
        <v>1519</v>
      </c>
      <c r="B1508" s="1">
        <v>3.3924416142242488E-2</v>
      </c>
      <c r="C1508" s="2">
        <v>9.6662632040011867E-6</v>
      </c>
      <c r="D1508" s="2"/>
      <c r="E1508" s="2">
        <v>-0.3565342111240718</v>
      </c>
      <c r="F1508" s="3">
        <v>57.967719444444889</v>
      </c>
      <c r="G1508" s="3">
        <v>1</v>
      </c>
      <c r="H1508" s="2">
        <v>5.4188793757450959E-5</v>
      </c>
      <c r="I1508" s="4">
        <v>-1.110223024625157E-16</v>
      </c>
      <c r="J1508" s="4">
        <v>-0.35653421112407169</v>
      </c>
      <c r="K1508" s="5">
        <v>1</v>
      </c>
      <c r="L1508" s="5">
        <v>0</v>
      </c>
      <c r="M1508" s="5">
        <v>0</v>
      </c>
    </row>
    <row r="1509" spans="1:13" hidden="1" x14ac:dyDescent="0.25">
      <c r="A1509" t="s">
        <v>1520</v>
      </c>
      <c r="B1509" s="1">
        <v>3.3918056874031058E-2</v>
      </c>
      <c r="C1509" s="2">
        <v>9.6644512240968367E-6</v>
      </c>
      <c r="D1509" s="2"/>
      <c r="E1509" s="2">
        <v>0.39169355518187321</v>
      </c>
      <c r="F1509" s="3">
        <v>125.37310134289081</v>
      </c>
      <c r="G1509" s="3">
        <v>2</v>
      </c>
      <c r="H1509" s="2">
        <v>1.083775875149019E-4</v>
      </c>
      <c r="I1509" s="4">
        <v>0.82180866824331811</v>
      </c>
      <c r="J1509" s="4">
        <v>-0.43011511306144501</v>
      </c>
      <c r="K1509" s="5">
        <v>2</v>
      </c>
      <c r="L1509" s="5">
        <v>0</v>
      </c>
      <c r="M1509" s="5">
        <v>2</v>
      </c>
    </row>
    <row r="1510" spans="1:13" hidden="1" x14ac:dyDescent="0.25">
      <c r="A1510" t="s">
        <v>1521</v>
      </c>
      <c r="B1510" s="1">
        <v>3.3896520689565252E-2</v>
      </c>
      <c r="C1510" s="2">
        <v>9.6583148052242602E-6</v>
      </c>
      <c r="D1510" s="2"/>
      <c r="E1510" s="2">
        <v>-7.3658035412064615E-2</v>
      </c>
      <c r="F1510" s="3">
        <v>83.45110500226339</v>
      </c>
      <c r="G1510" s="3">
        <v>2</v>
      </c>
      <c r="H1510" s="2">
        <v>1.083775875149019E-4</v>
      </c>
      <c r="I1510" s="4">
        <v>2.775557561562891E-17</v>
      </c>
      <c r="J1510" s="4">
        <v>-7.3658035412064643E-2</v>
      </c>
      <c r="K1510" s="5">
        <v>2</v>
      </c>
      <c r="L1510" s="5">
        <v>0</v>
      </c>
      <c r="M1510" s="5">
        <v>0</v>
      </c>
    </row>
    <row r="1511" spans="1:13" hidden="1" x14ac:dyDescent="0.25">
      <c r="A1511" t="s">
        <v>1522</v>
      </c>
      <c r="B1511" s="1">
        <v>3.3892352329354877E-2</v>
      </c>
      <c r="C1511" s="2">
        <v>9.6571270923170265E-6</v>
      </c>
      <c r="D1511" s="2"/>
      <c r="E1511" s="2">
        <v>-0.5509596543033779</v>
      </c>
      <c r="F1511" s="3">
        <v>40.45256986241634</v>
      </c>
      <c r="G1511" s="3">
        <v>1</v>
      </c>
      <c r="H1511" s="2">
        <v>5.4188793757450959E-5</v>
      </c>
      <c r="I1511" s="4">
        <v>0</v>
      </c>
      <c r="J1511" s="4">
        <v>-0.5509596543033779</v>
      </c>
      <c r="K1511" s="5">
        <v>1</v>
      </c>
      <c r="L1511" s="5">
        <v>0</v>
      </c>
      <c r="M1511" s="5">
        <v>0</v>
      </c>
    </row>
    <row r="1512" spans="1:13" hidden="1" x14ac:dyDescent="0.25">
      <c r="A1512" t="s">
        <v>1523</v>
      </c>
      <c r="B1512" s="1">
        <v>3.3868046231048318E-2</v>
      </c>
      <c r="C1512" s="2">
        <v>9.6502014272530076E-6</v>
      </c>
      <c r="D1512" s="2"/>
      <c r="E1512" s="2">
        <v>-0.2440568769401098</v>
      </c>
      <c r="F1512" s="3">
        <v>68.100433047175613</v>
      </c>
      <c r="G1512" s="3">
        <v>2</v>
      </c>
      <c r="H1512" s="2">
        <v>1.083775875149019E-4</v>
      </c>
      <c r="I1512" s="4">
        <v>1.9428902930940239E-16</v>
      </c>
      <c r="J1512" s="4">
        <v>-0.24405687694011</v>
      </c>
      <c r="K1512" s="5">
        <v>2</v>
      </c>
      <c r="L1512" s="5">
        <v>0</v>
      </c>
      <c r="M1512" s="5">
        <v>0</v>
      </c>
    </row>
    <row r="1513" spans="1:13" hidden="1" x14ac:dyDescent="0.25">
      <c r="A1513" t="s">
        <v>1524</v>
      </c>
      <c r="B1513" s="1">
        <v>3.3743172503162527E-2</v>
      </c>
      <c r="C1513" s="2">
        <v>9.6146204959276829E-6</v>
      </c>
      <c r="D1513" s="2"/>
      <c r="E1513" s="2">
        <v>9.3157178117360795E-2</v>
      </c>
      <c r="F1513" s="3">
        <v>98.478939681448537</v>
      </c>
      <c r="G1513" s="3">
        <v>1</v>
      </c>
      <c r="H1513" s="2">
        <v>5.4188793757450959E-5</v>
      </c>
      <c r="I1513" s="4">
        <v>9.7144514654701197E-17</v>
      </c>
      <c r="J1513" s="4">
        <v>9.3157178117360698E-2</v>
      </c>
      <c r="K1513" s="5">
        <v>1</v>
      </c>
      <c r="L1513" s="5">
        <v>0</v>
      </c>
      <c r="M1513" s="5">
        <v>0</v>
      </c>
    </row>
    <row r="1514" spans="1:13" hidden="1" x14ac:dyDescent="0.25">
      <c r="A1514" t="s">
        <v>1525</v>
      </c>
      <c r="B1514" s="1">
        <v>3.3739447677778173E-2</v>
      </c>
      <c r="C1514" s="2">
        <v>9.6135591617427947E-6</v>
      </c>
      <c r="D1514" s="2"/>
      <c r="E1514" s="2">
        <v>0.44513587566424961</v>
      </c>
      <c r="F1514" s="3">
        <v>130.18754446284939</v>
      </c>
      <c r="G1514" s="3">
        <v>2</v>
      </c>
      <c r="H1514" s="2">
        <v>1.083775875149019E-4</v>
      </c>
      <c r="I1514" s="4">
        <v>-5.5511151231257827E-17</v>
      </c>
      <c r="J1514" s="4">
        <v>0.44513587566424972</v>
      </c>
      <c r="K1514" s="5">
        <v>2</v>
      </c>
      <c r="L1514" s="5">
        <v>0</v>
      </c>
      <c r="M1514" s="5">
        <v>0</v>
      </c>
    </row>
    <row r="1515" spans="1:13" hidden="1" x14ac:dyDescent="0.25">
      <c r="A1515" t="s">
        <v>1526</v>
      </c>
      <c r="B1515" s="1">
        <v>3.372880931995216E-2</v>
      </c>
      <c r="C1515" s="2">
        <v>9.6105279182167926E-6</v>
      </c>
      <c r="D1515" s="2"/>
      <c r="E1515" s="2">
        <v>-0.61856419659676565</v>
      </c>
      <c r="F1515" s="3">
        <v>34.362298695585373</v>
      </c>
      <c r="G1515" s="3">
        <v>1</v>
      </c>
      <c r="H1515" s="2">
        <v>5.4188793757450959E-5</v>
      </c>
      <c r="I1515" s="4">
        <v>0</v>
      </c>
      <c r="J1515" s="4">
        <v>-0.61856419659676565</v>
      </c>
      <c r="K1515" s="5">
        <v>1</v>
      </c>
      <c r="L1515" s="5">
        <v>1</v>
      </c>
      <c r="M1515" s="5">
        <v>0</v>
      </c>
    </row>
    <row r="1516" spans="1:13" hidden="1" x14ac:dyDescent="0.25">
      <c r="A1516" t="s">
        <v>1527</v>
      </c>
      <c r="B1516" s="1">
        <v>3.3691011054212322E-2</v>
      </c>
      <c r="C1516" s="2">
        <v>9.599757858571135E-6</v>
      </c>
      <c r="D1516" s="2"/>
      <c r="E1516" s="2">
        <v>-0.54862497720528314</v>
      </c>
      <c r="F1516" s="3">
        <v>40.662893253893223</v>
      </c>
      <c r="G1516" s="3">
        <v>1</v>
      </c>
      <c r="H1516" s="2">
        <v>5.4188793757450959E-5</v>
      </c>
      <c r="I1516" s="4">
        <v>1.110223024625157E-16</v>
      </c>
      <c r="J1516" s="4">
        <v>-0.54862497720528325</v>
      </c>
      <c r="K1516" s="5">
        <v>1</v>
      </c>
      <c r="L1516" s="5">
        <v>0</v>
      </c>
      <c r="M1516" s="5">
        <v>0</v>
      </c>
    </row>
    <row r="1517" spans="1:13" hidden="1" x14ac:dyDescent="0.25">
      <c r="A1517" t="s">
        <v>1528</v>
      </c>
      <c r="B1517" s="1">
        <v>3.3633250101499618E-2</v>
      </c>
      <c r="C1517" s="2">
        <v>9.5832997250105218E-6</v>
      </c>
      <c r="D1517" s="2"/>
      <c r="E1517" s="2">
        <v>-8.590704563116458E-2</v>
      </c>
      <c r="F1517" s="3">
        <v>82.347631903727262</v>
      </c>
      <c r="G1517" s="3">
        <v>1</v>
      </c>
      <c r="H1517" s="2">
        <v>5.4188793757450959E-5</v>
      </c>
      <c r="I1517" s="4">
        <v>2.775557561562891E-17</v>
      </c>
      <c r="J1517" s="4">
        <v>-8.5907045631164608E-2</v>
      </c>
      <c r="K1517" s="5">
        <v>1</v>
      </c>
      <c r="L1517" s="5">
        <v>0</v>
      </c>
      <c r="M1517" s="5">
        <v>0</v>
      </c>
    </row>
    <row r="1518" spans="1:13" hidden="1" x14ac:dyDescent="0.25">
      <c r="A1518" t="s">
        <v>1529</v>
      </c>
      <c r="B1518" s="1">
        <v>3.3462502486492199E-2</v>
      </c>
      <c r="C1518" s="2">
        <v>9.5346477045543166E-6</v>
      </c>
      <c r="D1518" s="2"/>
      <c r="E1518" s="2">
        <v>0.92314750100023457</v>
      </c>
      <c r="F1518" s="3">
        <v>173.25004175126759</v>
      </c>
      <c r="G1518" s="3">
        <v>1</v>
      </c>
      <c r="H1518" s="2">
        <v>5.4188793757450959E-5</v>
      </c>
      <c r="I1518" s="4">
        <v>-1.110223024625157E-16</v>
      </c>
      <c r="J1518" s="4">
        <v>0.92314750100023457</v>
      </c>
      <c r="K1518" s="5">
        <v>1</v>
      </c>
      <c r="L1518" s="5">
        <v>0</v>
      </c>
      <c r="M1518" s="5">
        <v>0</v>
      </c>
    </row>
    <row r="1519" spans="1:13" hidden="1" x14ac:dyDescent="0.25">
      <c r="A1519" t="s">
        <v>1530</v>
      </c>
      <c r="B1519" s="1">
        <v>3.3452596661532441E-2</v>
      </c>
      <c r="C1519" s="2">
        <v>9.531825185489808E-6</v>
      </c>
      <c r="D1519" s="2"/>
      <c r="E1519" s="2">
        <v>-3.3536010635646603E-2</v>
      </c>
      <c r="F1519" s="3">
        <v>87.065566432832028</v>
      </c>
      <c r="G1519" s="3">
        <v>1</v>
      </c>
      <c r="H1519" s="2">
        <v>5.4188793757450959E-5</v>
      </c>
      <c r="I1519" s="4">
        <v>-1.387778780781446E-17</v>
      </c>
      <c r="J1519" s="4">
        <v>-3.3536010635646582E-2</v>
      </c>
      <c r="K1519" s="5">
        <v>1</v>
      </c>
      <c r="L1519" s="5">
        <v>0</v>
      </c>
      <c r="M1519" s="5">
        <v>0</v>
      </c>
    </row>
    <row r="1520" spans="1:13" hidden="1" x14ac:dyDescent="0.25">
      <c r="A1520" t="s">
        <v>1531</v>
      </c>
      <c r="B1520" s="1">
        <v>3.3429727969822763E-2</v>
      </c>
      <c r="C1520" s="2">
        <v>9.5253090882850664E-6</v>
      </c>
      <c r="D1520" s="2"/>
      <c r="E1520" s="2">
        <v>0.61701614051536757</v>
      </c>
      <c r="F1520" s="3">
        <v>145.67167297935029</v>
      </c>
      <c r="G1520" s="3">
        <v>1</v>
      </c>
      <c r="H1520" s="2">
        <v>5.4188793757450959E-5</v>
      </c>
      <c r="I1520" s="4">
        <v>0</v>
      </c>
      <c r="J1520" s="4">
        <v>0.61701614051536757</v>
      </c>
      <c r="K1520" s="5">
        <v>1</v>
      </c>
      <c r="L1520" s="5">
        <v>0</v>
      </c>
      <c r="M1520" s="5">
        <v>0</v>
      </c>
    </row>
    <row r="1521" spans="1:13" hidden="1" x14ac:dyDescent="0.25">
      <c r="A1521" t="s">
        <v>1532</v>
      </c>
      <c r="B1521" s="1">
        <v>3.3419306393699007E-2</v>
      </c>
      <c r="C1521" s="2">
        <v>9.522339613515322E-6</v>
      </c>
      <c r="D1521" s="2"/>
      <c r="E1521" s="2">
        <v>1.3525985396528919</v>
      </c>
      <c r="F1521" s="3">
        <v>211.93787528353749</v>
      </c>
      <c r="G1521" s="3">
        <v>1</v>
      </c>
      <c r="H1521" s="2">
        <v>5.4188793757450959E-5</v>
      </c>
      <c r="I1521" s="4">
        <v>-2.2204460492503131E-16</v>
      </c>
      <c r="J1521" s="4">
        <v>1.3525985396528919</v>
      </c>
      <c r="K1521" s="5">
        <v>1</v>
      </c>
      <c r="L1521" s="5">
        <v>0</v>
      </c>
      <c r="M1521" s="5">
        <v>0</v>
      </c>
    </row>
    <row r="1522" spans="1:13" hidden="1" x14ac:dyDescent="0.25">
      <c r="A1522" t="s">
        <v>1533</v>
      </c>
      <c r="B1522" s="1">
        <v>3.3385758469180397E-2</v>
      </c>
      <c r="C1522" s="2">
        <v>9.5127806260596477E-6</v>
      </c>
      <c r="D1522" s="2"/>
      <c r="E1522" s="2">
        <v>-0.66535381615135791</v>
      </c>
      <c r="F1522" s="3">
        <v>30.147175551290459</v>
      </c>
      <c r="G1522" s="3">
        <v>2</v>
      </c>
      <c r="H1522" s="2">
        <v>1.083775875149019E-4</v>
      </c>
      <c r="I1522" s="4">
        <v>0</v>
      </c>
      <c r="J1522" s="4">
        <v>-0.66535381615135791</v>
      </c>
      <c r="K1522" s="5">
        <v>2</v>
      </c>
      <c r="L1522" s="5">
        <v>0</v>
      </c>
      <c r="M1522" s="5">
        <v>0</v>
      </c>
    </row>
    <row r="1523" spans="1:13" hidden="1" x14ac:dyDescent="0.25">
      <c r="A1523" t="s">
        <v>1534</v>
      </c>
      <c r="B1523" s="1">
        <v>3.3334648512208832E-2</v>
      </c>
      <c r="C1523" s="2">
        <v>9.4982175958703902E-6</v>
      </c>
      <c r="D1523" s="2"/>
      <c r="E1523" s="2">
        <v>0.50695002803637634</v>
      </c>
      <c r="F1523" s="3">
        <v>135.7561784203177</v>
      </c>
      <c r="G1523" s="3">
        <v>1</v>
      </c>
      <c r="H1523" s="2">
        <v>5.4188793757450959E-5</v>
      </c>
      <c r="I1523" s="4">
        <v>-3.3306690738754701E-16</v>
      </c>
      <c r="J1523" s="4">
        <v>0.50695002803637668</v>
      </c>
      <c r="K1523" s="5">
        <v>1</v>
      </c>
      <c r="L1523" s="5">
        <v>0</v>
      </c>
      <c r="M1523" s="5">
        <v>0</v>
      </c>
    </row>
    <row r="1524" spans="1:13" hidden="1" x14ac:dyDescent="0.25">
      <c r="A1524" t="s">
        <v>1535</v>
      </c>
      <c r="B1524" s="1">
        <v>3.3315311884582019E-2</v>
      </c>
      <c r="C1524" s="2">
        <v>9.4927079083540353E-6</v>
      </c>
      <c r="D1524" s="2"/>
      <c r="E1524" s="2">
        <v>0.9125253889138758</v>
      </c>
      <c r="F1524" s="3">
        <v>172.2931305619328</v>
      </c>
      <c r="G1524" s="3">
        <v>1</v>
      </c>
      <c r="H1524" s="2">
        <v>5.4188793757450959E-5</v>
      </c>
      <c r="I1524" s="4">
        <v>0</v>
      </c>
      <c r="J1524" s="4">
        <v>0.9125253889138758</v>
      </c>
      <c r="K1524" s="5">
        <v>1</v>
      </c>
      <c r="L1524" s="5">
        <v>0</v>
      </c>
      <c r="M1524" s="5">
        <v>0</v>
      </c>
    </row>
    <row r="1525" spans="1:13" hidden="1" x14ac:dyDescent="0.25">
      <c r="A1525" t="s">
        <v>1536</v>
      </c>
      <c r="B1525" s="1">
        <v>3.3260129892272922E-2</v>
      </c>
      <c r="C1525" s="2">
        <v>9.4769846116127049E-6</v>
      </c>
      <c r="D1525" s="2"/>
      <c r="E1525" s="2">
        <v>-0.36373458531600311</v>
      </c>
      <c r="F1525" s="3">
        <v>57.31906138325715</v>
      </c>
      <c r="G1525" s="3">
        <v>1</v>
      </c>
      <c r="H1525" s="2">
        <v>5.4188793757450959E-5</v>
      </c>
      <c r="I1525" s="4">
        <v>0</v>
      </c>
      <c r="J1525" s="4">
        <v>-0.36373458531600311</v>
      </c>
      <c r="K1525" s="5">
        <v>1</v>
      </c>
      <c r="L1525" s="5">
        <v>0</v>
      </c>
      <c r="M1525" s="5">
        <v>0</v>
      </c>
    </row>
    <row r="1526" spans="1:13" hidden="1" x14ac:dyDescent="0.25">
      <c r="A1526" t="s">
        <v>1537</v>
      </c>
      <c r="B1526" s="1">
        <v>3.3249804588166933E-2</v>
      </c>
      <c r="C1526" s="2">
        <v>9.4740425681378399E-6</v>
      </c>
      <c r="D1526" s="2"/>
      <c r="E1526" s="2" t="s">
        <v>303</v>
      </c>
      <c r="F1526" s="3" t="s">
        <v>303</v>
      </c>
      <c r="G1526" s="3">
        <v>1</v>
      </c>
      <c r="H1526" s="2">
        <v>5.4188793757450959E-5</v>
      </c>
      <c r="I1526" s="4" t="s">
        <v>303</v>
      </c>
      <c r="J1526" s="4">
        <v>0</v>
      </c>
      <c r="K1526" s="5">
        <v>1</v>
      </c>
      <c r="L1526" s="5">
        <v>0</v>
      </c>
      <c r="M1526" s="5">
        <v>0</v>
      </c>
    </row>
    <row r="1527" spans="1:13" hidden="1" x14ac:dyDescent="0.25">
      <c r="A1527" t="s">
        <v>1538</v>
      </c>
      <c r="B1527" s="1">
        <v>3.3176186200898412E-2</v>
      </c>
      <c r="C1527" s="2">
        <v>9.4530660919323886E-6</v>
      </c>
      <c r="D1527" s="2"/>
      <c r="E1527" s="2">
        <v>1.322125942407399</v>
      </c>
      <c r="F1527" s="3">
        <v>209.19269908550521</v>
      </c>
      <c r="G1527" s="3">
        <v>2</v>
      </c>
      <c r="H1527" s="2">
        <v>1.083775875149019E-4</v>
      </c>
      <c r="I1527" s="4">
        <v>-6.6613381477509392E-16</v>
      </c>
      <c r="J1527" s="4">
        <v>1.322125942407399</v>
      </c>
      <c r="K1527" s="5">
        <v>2</v>
      </c>
      <c r="L1527" s="5">
        <v>0</v>
      </c>
      <c r="M1527" s="5">
        <v>0</v>
      </c>
    </row>
    <row r="1528" spans="1:13" hidden="1" x14ac:dyDescent="0.25">
      <c r="A1528" t="s">
        <v>1539</v>
      </c>
      <c r="B1528" s="1">
        <v>3.3156873293385243E-2</v>
      </c>
      <c r="C1528" s="2">
        <v>9.4475631631133884E-6</v>
      </c>
      <c r="D1528" s="2"/>
      <c r="E1528" s="2">
        <v>-2.202534104963105E-2</v>
      </c>
      <c r="F1528" s="3">
        <v>88.102524848827187</v>
      </c>
      <c r="G1528" s="3">
        <v>1</v>
      </c>
      <c r="H1528" s="2">
        <v>5.4188793757450959E-5</v>
      </c>
      <c r="I1528" s="4">
        <v>-2.1163626406917049E-16</v>
      </c>
      <c r="J1528" s="4">
        <v>-2.2025341049630841E-2</v>
      </c>
      <c r="K1528" s="5">
        <v>1</v>
      </c>
      <c r="L1528" s="5">
        <v>0</v>
      </c>
      <c r="M1528" s="5">
        <v>0</v>
      </c>
    </row>
    <row r="1529" spans="1:13" hidden="1" x14ac:dyDescent="0.25">
      <c r="A1529" t="s">
        <v>1540</v>
      </c>
      <c r="B1529" s="1">
        <v>3.3126034637206377E-2</v>
      </c>
      <c r="C1529" s="2">
        <v>9.4387761418060017E-6</v>
      </c>
      <c r="D1529" s="2"/>
      <c r="E1529" s="2">
        <v>0.4338289437908891</v>
      </c>
      <c r="F1529" s="3">
        <v>129.1689401082071</v>
      </c>
      <c r="G1529" s="3">
        <v>1</v>
      </c>
      <c r="H1529" s="2">
        <v>5.4188793757450959E-5</v>
      </c>
      <c r="I1529" s="4">
        <v>-5.5511151231257827E-17</v>
      </c>
      <c r="J1529" s="4">
        <v>0.43382894379088921</v>
      </c>
      <c r="K1529" s="5">
        <v>1</v>
      </c>
      <c r="L1529" s="5">
        <v>0</v>
      </c>
      <c r="M1529" s="5">
        <v>0</v>
      </c>
    </row>
    <row r="1530" spans="1:13" hidden="1" x14ac:dyDescent="0.25">
      <c r="A1530" t="s">
        <v>1541</v>
      </c>
      <c r="B1530" s="1">
        <v>3.3018580444419167E-2</v>
      </c>
      <c r="C1530" s="2">
        <v>9.4081586506898809E-6</v>
      </c>
      <c r="D1530" s="2"/>
      <c r="E1530" s="2">
        <v>1.21130279008834</v>
      </c>
      <c r="F1530" s="3">
        <v>199.2090052937923</v>
      </c>
      <c r="G1530" s="3">
        <v>1</v>
      </c>
      <c r="H1530" s="2">
        <v>5.4188793757450959E-5</v>
      </c>
      <c r="I1530" s="4">
        <v>2.2204460492503131E-16</v>
      </c>
      <c r="J1530" s="4">
        <v>1.2113027900883391</v>
      </c>
      <c r="K1530" s="5">
        <v>1</v>
      </c>
      <c r="L1530" s="5">
        <v>0</v>
      </c>
      <c r="M1530" s="5">
        <v>0</v>
      </c>
    </row>
    <row r="1531" spans="1:13" hidden="1" x14ac:dyDescent="0.25">
      <c r="A1531" t="s">
        <v>1542</v>
      </c>
      <c r="B1531" s="1">
        <v>3.2905203474452659E-2</v>
      </c>
      <c r="C1531" s="2">
        <v>9.3758535513663367E-6</v>
      </c>
      <c r="D1531" s="2"/>
      <c r="E1531" s="2">
        <v>-0.36794108473999509</v>
      </c>
      <c r="F1531" s="3">
        <v>56.940111666475538</v>
      </c>
      <c r="G1531" s="3">
        <v>1</v>
      </c>
      <c r="H1531" s="2">
        <v>5.4188793757450959E-5</v>
      </c>
      <c r="I1531" s="4">
        <v>-5.5511151231257827E-17</v>
      </c>
      <c r="J1531" s="4">
        <v>-0.36794108473999498</v>
      </c>
      <c r="K1531" s="5">
        <v>1</v>
      </c>
      <c r="L1531" s="5">
        <v>0</v>
      </c>
      <c r="M1531" s="5">
        <v>0</v>
      </c>
    </row>
    <row r="1532" spans="1:13" hidden="1" x14ac:dyDescent="0.25">
      <c r="A1532" t="s">
        <v>1543</v>
      </c>
      <c r="B1532" s="1">
        <v>3.2800251157753472E-2</v>
      </c>
      <c r="C1532" s="2">
        <v>9.3459489330280174E-6</v>
      </c>
      <c r="D1532" s="2"/>
      <c r="E1532" s="2">
        <v>0.1485893354173822</v>
      </c>
      <c r="F1532" s="3">
        <v>103.4726406646527</v>
      </c>
      <c r="G1532" s="3">
        <v>1</v>
      </c>
      <c r="H1532" s="2">
        <v>5.4188793757450959E-5</v>
      </c>
      <c r="I1532" s="4">
        <v>2.775557561562891E-17</v>
      </c>
      <c r="J1532" s="4">
        <v>0.14858933541738209</v>
      </c>
      <c r="K1532" s="5">
        <v>1</v>
      </c>
      <c r="L1532" s="5">
        <v>0</v>
      </c>
      <c r="M1532" s="5">
        <v>0</v>
      </c>
    </row>
    <row r="1533" spans="1:13" hidden="1" x14ac:dyDescent="0.25">
      <c r="A1533" t="s">
        <v>1544</v>
      </c>
      <c r="B1533" s="1">
        <v>3.2732691993660162E-2</v>
      </c>
      <c r="C1533" s="2">
        <v>9.3266989433088139E-6</v>
      </c>
      <c r="D1533" s="2"/>
      <c r="E1533" s="2">
        <v>-0.75469695714352825</v>
      </c>
      <c r="F1533" s="3">
        <v>22.09854542851912</v>
      </c>
      <c r="G1533" s="3">
        <v>1</v>
      </c>
      <c r="H1533" s="2">
        <v>5.4188793757450959E-5</v>
      </c>
      <c r="I1533" s="4">
        <v>0</v>
      </c>
      <c r="J1533" s="4">
        <v>-0.75469695714352825</v>
      </c>
      <c r="K1533" s="5">
        <v>1</v>
      </c>
      <c r="L1533" s="5">
        <v>0</v>
      </c>
      <c r="M1533" s="5">
        <v>0</v>
      </c>
    </row>
    <row r="1534" spans="1:13" hidden="1" x14ac:dyDescent="0.25">
      <c r="A1534" t="s">
        <v>1545</v>
      </c>
      <c r="B1534" s="1">
        <v>3.2716976015477142E-2</v>
      </c>
      <c r="C1534" s="2">
        <v>9.3222209065759635E-6</v>
      </c>
      <c r="D1534" s="2"/>
      <c r="E1534" s="2">
        <v>0.37362311762339478</v>
      </c>
      <c r="F1534" s="3">
        <v>123.7451949759367</v>
      </c>
      <c r="G1534" s="3">
        <v>1</v>
      </c>
      <c r="H1534" s="2">
        <v>5.4188793757450959E-5</v>
      </c>
      <c r="I1534" s="4">
        <v>-5.5511151231257827E-17</v>
      </c>
      <c r="J1534" s="4">
        <v>0.3736231176233949</v>
      </c>
      <c r="K1534" s="5">
        <v>1</v>
      </c>
      <c r="L1534" s="5">
        <v>0</v>
      </c>
      <c r="M1534" s="5">
        <v>1</v>
      </c>
    </row>
    <row r="1535" spans="1:13" hidden="1" x14ac:dyDescent="0.25">
      <c r="A1535" t="s">
        <v>1546</v>
      </c>
      <c r="B1535" s="1">
        <v>3.2692924228344182E-2</v>
      </c>
      <c r="C1535" s="2">
        <v>9.3153677037388406E-6</v>
      </c>
      <c r="D1535" s="2"/>
      <c r="E1535" s="2">
        <v>-0.47388598621188799</v>
      </c>
      <c r="F1535" s="3">
        <v>47.395883470878012</v>
      </c>
      <c r="G1535" s="3">
        <v>2</v>
      </c>
      <c r="H1535" s="2">
        <v>1.083775875149019E-4</v>
      </c>
      <c r="I1535" s="4">
        <v>-1.110223024625157E-16</v>
      </c>
      <c r="J1535" s="4">
        <v>-0.47388598621188788</v>
      </c>
      <c r="K1535" s="5">
        <v>2</v>
      </c>
      <c r="L1535" s="5">
        <v>0</v>
      </c>
      <c r="M1535" s="5">
        <v>0</v>
      </c>
    </row>
    <row r="1536" spans="1:13" hidden="1" x14ac:dyDescent="0.25">
      <c r="A1536" t="s">
        <v>1547</v>
      </c>
      <c r="B1536" s="1">
        <v>3.2642697297603628E-2</v>
      </c>
      <c r="C1536" s="2">
        <v>9.3010562788809572E-6</v>
      </c>
      <c r="D1536" s="2"/>
      <c r="E1536" s="2">
        <v>0.36306247683275711</v>
      </c>
      <c r="F1536" s="3">
        <v>122.7938215337299</v>
      </c>
      <c r="G1536" s="3">
        <v>1</v>
      </c>
      <c r="H1536" s="2">
        <v>5.4188793757450959E-5</v>
      </c>
      <c r="I1536" s="4">
        <v>-1.110223024625157E-16</v>
      </c>
      <c r="J1536" s="4">
        <v>0.36306247683275722</v>
      </c>
      <c r="K1536" s="5">
        <v>1</v>
      </c>
      <c r="L1536" s="5">
        <v>0</v>
      </c>
      <c r="M1536" s="5">
        <v>0</v>
      </c>
    </row>
    <row r="1537" spans="1:13" hidden="1" x14ac:dyDescent="0.25">
      <c r="A1537" t="s">
        <v>1548</v>
      </c>
      <c r="B1537" s="1">
        <v>3.260818608172928E-2</v>
      </c>
      <c r="C1537" s="2">
        <v>9.2912228157276669E-6</v>
      </c>
      <c r="D1537" s="2"/>
      <c r="E1537" s="2">
        <v>-1.5776631173546329E-3</v>
      </c>
      <c r="F1537" s="3">
        <v>89.944588992966345</v>
      </c>
      <c r="G1537" s="3">
        <v>1</v>
      </c>
      <c r="H1537" s="2">
        <v>5.4188793757450959E-5</v>
      </c>
      <c r="I1537" s="4">
        <v>5.4860629927766518E-17</v>
      </c>
      <c r="J1537" s="4">
        <v>-1.577663117354688E-3</v>
      </c>
      <c r="K1537" s="5">
        <v>1</v>
      </c>
      <c r="L1537" s="5">
        <v>0</v>
      </c>
      <c r="M1537" s="5">
        <v>0</v>
      </c>
    </row>
    <row r="1538" spans="1:13" hidden="1" x14ac:dyDescent="0.25">
      <c r="A1538" t="s">
        <v>1549</v>
      </c>
      <c r="B1538" s="1">
        <v>3.2510642432086727E-2</v>
      </c>
      <c r="C1538" s="2">
        <v>9.2634291880534161E-6</v>
      </c>
      <c r="D1538" s="2"/>
      <c r="E1538" s="2">
        <v>-0.1096670531568161</v>
      </c>
      <c r="F1538" s="3">
        <v>80.207170865929257</v>
      </c>
      <c r="G1538" s="3">
        <v>1</v>
      </c>
      <c r="H1538" s="2">
        <v>5.4188793757450959E-5</v>
      </c>
      <c r="I1538" s="4">
        <v>0</v>
      </c>
      <c r="J1538" s="4">
        <v>-0.1096670531568161</v>
      </c>
      <c r="K1538" s="5">
        <v>1</v>
      </c>
      <c r="L1538" s="5">
        <v>0</v>
      </c>
      <c r="M1538" s="5">
        <v>0</v>
      </c>
    </row>
    <row r="1539" spans="1:13" hidden="1" x14ac:dyDescent="0.25">
      <c r="A1539" t="s">
        <v>1550</v>
      </c>
      <c r="B1539" s="1">
        <v>3.2426301053152501E-2</v>
      </c>
      <c r="C1539" s="2">
        <v>9.2393973531546733E-6</v>
      </c>
      <c r="D1539" s="2"/>
      <c r="E1539" s="2">
        <v>-0.56278270827408727</v>
      </c>
      <c r="F1539" s="3">
        <v>39.387469763236467</v>
      </c>
      <c r="G1539" s="3">
        <v>1</v>
      </c>
      <c r="H1539" s="2">
        <v>5.4188793757450959E-5</v>
      </c>
      <c r="I1539" s="4">
        <v>-1.110223024625157E-16</v>
      </c>
      <c r="J1539" s="4">
        <v>-0.56278270827408716</v>
      </c>
      <c r="K1539" s="5">
        <v>1</v>
      </c>
      <c r="L1539" s="5">
        <v>0</v>
      </c>
      <c r="M1539" s="5">
        <v>0</v>
      </c>
    </row>
    <row r="1540" spans="1:13" hidden="1" x14ac:dyDescent="0.25">
      <c r="A1540" t="s">
        <v>1551</v>
      </c>
      <c r="B1540" s="1">
        <v>3.238720236084381E-2</v>
      </c>
      <c r="C1540" s="2">
        <v>9.2282567560931529E-6</v>
      </c>
      <c r="D1540" s="2"/>
      <c r="E1540" s="2">
        <v>-0.1673750182701863</v>
      </c>
      <c r="F1540" s="3">
        <v>75.008449831753708</v>
      </c>
      <c r="G1540" s="3">
        <v>2</v>
      </c>
      <c r="H1540" s="2">
        <v>1.083775875149019E-4</v>
      </c>
      <c r="I1540" s="4">
        <v>2.775557561562891E-17</v>
      </c>
      <c r="J1540" s="4">
        <v>-0.1673750182701863</v>
      </c>
      <c r="K1540" s="5">
        <v>2</v>
      </c>
      <c r="L1540" s="5">
        <v>2</v>
      </c>
      <c r="M1540" s="5">
        <v>0</v>
      </c>
    </row>
    <row r="1541" spans="1:13" hidden="1" x14ac:dyDescent="0.25">
      <c r="A1541" t="s">
        <v>1552</v>
      </c>
      <c r="B1541" s="1">
        <v>3.2310395644889731E-2</v>
      </c>
      <c r="C1541" s="2">
        <v>9.2063718125429357E-6</v>
      </c>
      <c r="D1541" s="2"/>
      <c r="E1541" s="2">
        <v>0.44923475500069238</v>
      </c>
      <c r="F1541" s="3">
        <v>130.55679903942399</v>
      </c>
      <c r="G1541" s="3">
        <v>1</v>
      </c>
      <c r="H1541" s="2">
        <v>5.4188793757450959E-5</v>
      </c>
      <c r="I1541" s="4">
        <v>5.5511151231257827E-17</v>
      </c>
      <c r="J1541" s="4">
        <v>0.44923475500069232</v>
      </c>
      <c r="K1541" s="5">
        <v>1</v>
      </c>
      <c r="L1541" s="5">
        <v>0</v>
      </c>
      <c r="M1541" s="5">
        <v>0</v>
      </c>
    </row>
    <row r="1542" spans="1:13" hidden="1" x14ac:dyDescent="0.25">
      <c r="A1542" t="s">
        <v>1553</v>
      </c>
      <c r="B1542" s="1">
        <v>3.2299083704639832E-2</v>
      </c>
      <c r="C1542" s="2">
        <v>9.2031486416165745E-6</v>
      </c>
      <c r="D1542" s="2"/>
      <c r="E1542" s="2">
        <v>1.874131008560719</v>
      </c>
      <c r="F1542" s="3">
        <v>258.92102242432043</v>
      </c>
      <c r="G1542" s="3">
        <v>1</v>
      </c>
      <c r="H1542" s="2">
        <v>5.4188793757450959E-5</v>
      </c>
      <c r="I1542" s="4">
        <v>2.2204460492503131E-16</v>
      </c>
      <c r="J1542" s="4">
        <v>1.874131008560719</v>
      </c>
      <c r="K1542" s="5">
        <v>1</v>
      </c>
      <c r="L1542" s="5">
        <v>0</v>
      </c>
      <c r="M1542" s="5">
        <v>0</v>
      </c>
    </row>
    <row r="1543" spans="1:13" hidden="1" x14ac:dyDescent="0.25">
      <c r="A1543" t="s">
        <v>1554</v>
      </c>
      <c r="B1543" s="1">
        <v>3.2296554196713179E-2</v>
      </c>
      <c r="C1543" s="2">
        <v>9.2024278955529383E-6</v>
      </c>
      <c r="D1543" s="2"/>
      <c r="E1543" s="2">
        <v>-7.0843445722395315E-2</v>
      </c>
      <c r="F1543" s="3">
        <v>83.704662142833357</v>
      </c>
      <c r="G1543" s="3">
        <v>1</v>
      </c>
      <c r="H1543" s="2">
        <v>5.4188793757450959E-5</v>
      </c>
      <c r="I1543" s="4">
        <v>2.2204460492503131E-16</v>
      </c>
      <c r="J1543" s="4">
        <v>-7.0843445722395537E-2</v>
      </c>
      <c r="K1543" s="5">
        <v>1</v>
      </c>
      <c r="L1543" s="5">
        <v>0</v>
      </c>
      <c r="M1543" s="5">
        <v>0</v>
      </c>
    </row>
    <row r="1544" spans="1:13" hidden="1" x14ac:dyDescent="0.25">
      <c r="A1544" t="s">
        <v>1555</v>
      </c>
      <c r="B1544" s="1">
        <v>3.2285867284162897E-2</v>
      </c>
      <c r="C1544" s="2">
        <v>9.1993828170727087E-6</v>
      </c>
      <c r="D1544" s="2"/>
      <c r="E1544" s="2">
        <v>0.37246047483395173</v>
      </c>
      <c r="F1544" s="3">
        <v>123.6404563057577</v>
      </c>
      <c r="G1544" s="3">
        <v>1</v>
      </c>
      <c r="H1544" s="2">
        <v>5.4188793757450959E-5</v>
      </c>
      <c r="I1544" s="4">
        <v>0</v>
      </c>
      <c r="J1544" s="4">
        <v>0.37246047483395173</v>
      </c>
      <c r="K1544" s="5">
        <v>1</v>
      </c>
      <c r="L1544" s="5">
        <v>0</v>
      </c>
      <c r="M1544" s="5">
        <v>0</v>
      </c>
    </row>
    <row r="1545" spans="1:13" hidden="1" x14ac:dyDescent="0.25">
      <c r="A1545" t="s">
        <v>1556</v>
      </c>
      <c r="B1545" s="1">
        <v>3.2267072518420557E-2</v>
      </c>
      <c r="C1545" s="2">
        <v>9.1940275251271873E-6</v>
      </c>
      <c r="D1545" s="2"/>
      <c r="E1545" s="2">
        <v>-0.44551424195658512</v>
      </c>
      <c r="F1545" s="3">
        <v>49.951800723314967</v>
      </c>
      <c r="G1545" s="3">
        <v>1</v>
      </c>
      <c r="H1545" s="2">
        <v>5.4188793757450959E-5</v>
      </c>
      <c r="I1545" s="4">
        <v>-8.3707442671369148E-2</v>
      </c>
      <c r="J1545" s="4">
        <v>-0.36180679928521592</v>
      </c>
      <c r="K1545" s="5">
        <v>1</v>
      </c>
      <c r="L1545" s="5">
        <v>0</v>
      </c>
      <c r="M1545" s="5">
        <v>0</v>
      </c>
    </row>
    <row r="1546" spans="1:13" hidden="1" x14ac:dyDescent="0.25">
      <c r="A1546" t="s">
        <v>1557</v>
      </c>
      <c r="B1546" s="1">
        <v>3.211398123237115E-2</v>
      </c>
      <c r="C1546" s="2">
        <v>9.1504064158061659E-6</v>
      </c>
      <c r="D1546" s="2"/>
      <c r="E1546" s="2">
        <v>-0.53451905069503303</v>
      </c>
      <c r="F1546" s="3">
        <v>41.933649842022888</v>
      </c>
      <c r="G1546" s="3">
        <v>1</v>
      </c>
      <c r="H1546" s="2">
        <v>5.4188793757450959E-5</v>
      </c>
      <c r="I1546" s="4">
        <v>-1.110223024625157E-16</v>
      </c>
      <c r="J1546" s="4">
        <v>-0.53451905069503292</v>
      </c>
      <c r="K1546" s="5">
        <v>1</v>
      </c>
      <c r="L1546" s="5">
        <v>0</v>
      </c>
      <c r="M1546" s="5">
        <v>0</v>
      </c>
    </row>
    <row r="1547" spans="1:13" hidden="1" x14ac:dyDescent="0.25">
      <c r="A1547" t="s">
        <v>1558</v>
      </c>
      <c r="B1547" s="1">
        <v>3.2095448183519587E-2</v>
      </c>
      <c r="C1547" s="2">
        <v>9.1451256962376808E-6</v>
      </c>
      <c r="D1547" s="2"/>
      <c r="E1547" s="2" t="s">
        <v>303</v>
      </c>
      <c r="F1547" s="3" t="s">
        <v>303</v>
      </c>
      <c r="G1547" s="3">
        <v>1</v>
      </c>
      <c r="H1547" s="2">
        <v>5.4188793757450959E-5</v>
      </c>
      <c r="I1547" s="4" t="s">
        <v>303</v>
      </c>
      <c r="J1547" s="4">
        <v>0</v>
      </c>
      <c r="K1547" s="5">
        <v>1</v>
      </c>
      <c r="L1547" s="5">
        <v>0</v>
      </c>
      <c r="M1547" s="5">
        <v>1</v>
      </c>
    </row>
    <row r="1548" spans="1:13" hidden="1" x14ac:dyDescent="0.25">
      <c r="A1548" t="s">
        <v>1559</v>
      </c>
      <c r="B1548" s="1">
        <v>3.2059797454412141E-2</v>
      </c>
      <c r="C1548" s="2">
        <v>9.1349675455558164E-6</v>
      </c>
      <c r="D1548" s="2"/>
      <c r="E1548" s="2">
        <v>0.24790252563015411</v>
      </c>
      <c r="F1548" s="3">
        <v>112.41943977489539</v>
      </c>
      <c r="G1548" s="3">
        <v>1</v>
      </c>
      <c r="H1548" s="2">
        <v>5.4188793757450959E-5</v>
      </c>
      <c r="I1548" s="4">
        <v>0</v>
      </c>
      <c r="J1548" s="4">
        <v>0.24790252563015411</v>
      </c>
      <c r="K1548" s="5">
        <v>1</v>
      </c>
      <c r="L1548" s="5">
        <v>0</v>
      </c>
      <c r="M1548" s="5">
        <v>0</v>
      </c>
    </row>
    <row r="1549" spans="1:13" hidden="1" x14ac:dyDescent="0.25">
      <c r="A1549" t="s">
        <v>1560</v>
      </c>
      <c r="B1549" s="1">
        <v>3.2031480788279242E-2</v>
      </c>
      <c r="C1549" s="2">
        <v>9.1268991282025815E-6</v>
      </c>
      <c r="D1549" s="2"/>
      <c r="E1549" s="2">
        <v>-0.2354121010286909</v>
      </c>
      <c r="F1549" s="3">
        <v>68.879212515107596</v>
      </c>
      <c r="G1549" s="3">
        <v>3</v>
      </c>
      <c r="H1549" s="2">
        <v>1.6256638127235291E-4</v>
      </c>
      <c r="I1549" s="4">
        <v>0.4832934806823177</v>
      </c>
      <c r="J1549" s="4">
        <v>-0.71870558171100862</v>
      </c>
      <c r="K1549" s="5">
        <v>3</v>
      </c>
      <c r="L1549" s="5">
        <v>0</v>
      </c>
      <c r="M1549" s="5">
        <v>1</v>
      </c>
    </row>
    <row r="1550" spans="1:13" hidden="1" x14ac:dyDescent="0.25">
      <c r="A1550" t="s">
        <v>1561</v>
      </c>
      <c r="B1550" s="1">
        <v>3.2013711639586898E-2</v>
      </c>
      <c r="C1550" s="2">
        <v>9.1218360707441695E-6</v>
      </c>
      <c r="D1550" s="2"/>
      <c r="E1550" s="2">
        <v>-0.52463695481885764</v>
      </c>
      <c r="F1550" s="3">
        <v>42.823895401579257</v>
      </c>
      <c r="G1550" s="3">
        <v>1</v>
      </c>
      <c r="H1550" s="2">
        <v>5.4188793757450959E-5</v>
      </c>
      <c r="I1550" s="4">
        <v>0</v>
      </c>
      <c r="J1550" s="4">
        <v>-0.52463695481885764</v>
      </c>
      <c r="K1550" s="5">
        <v>1</v>
      </c>
      <c r="L1550" s="5">
        <v>0</v>
      </c>
      <c r="M1550" s="5">
        <v>0</v>
      </c>
    </row>
    <row r="1551" spans="1:13" hidden="1" x14ac:dyDescent="0.25">
      <c r="A1551" t="s">
        <v>1562</v>
      </c>
      <c r="B1551" s="1">
        <v>3.2000128677828171E-2</v>
      </c>
      <c r="C1551" s="2">
        <v>9.1179658056554732E-6</v>
      </c>
      <c r="D1551" s="2"/>
      <c r="E1551" s="2">
        <v>0.21479846870541699</v>
      </c>
      <c r="F1551" s="3">
        <v>109.4372040174383</v>
      </c>
      <c r="G1551" s="3">
        <v>1</v>
      </c>
      <c r="H1551" s="2">
        <v>5.4188793757450959E-5</v>
      </c>
      <c r="I1551" s="4">
        <v>2.775557561562891E-17</v>
      </c>
      <c r="J1551" s="4">
        <v>0.21479846870541691</v>
      </c>
      <c r="K1551" s="5">
        <v>1</v>
      </c>
      <c r="L1551" s="5">
        <v>0</v>
      </c>
      <c r="M1551" s="5">
        <v>0</v>
      </c>
    </row>
    <row r="1552" spans="1:13" hidden="1" x14ac:dyDescent="0.25">
      <c r="A1552" t="s">
        <v>1563</v>
      </c>
      <c r="B1552" s="1">
        <v>3.1988356269335577E-2</v>
      </c>
      <c r="C1552" s="2">
        <v>9.1146114310788473E-6</v>
      </c>
      <c r="D1552" s="2"/>
      <c r="E1552" s="2">
        <v>-6.4467818841449365E-2</v>
      </c>
      <c r="F1552" s="3">
        <v>84.279021427672347</v>
      </c>
      <c r="G1552" s="3">
        <v>2</v>
      </c>
      <c r="H1552" s="2">
        <v>1.083775875149019E-4</v>
      </c>
      <c r="I1552" s="4">
        <v>-1.52655665885959E-16</v>
      </c>
      <c r="J1552" s="4">
        <v>-6.4467818841449212E-2</v>
      </c>
      <c r="K1552" s="5">
        <v>2</v>
      </c>
      <c r="L1552" s="5">
        <v>0</v>
      </c>
      <c r="M1552" s="5">
        <v>0</v>
      </c>
    </row>
    <row r="1553" spans="1:13" hidden="1" x14ac:dyDescent="0.25">
      <c r="A1553" t="s">
        <v>1564</v>
      </c>
      <c r="B1553" s="1">
        <v>3.1963203512553981E-2</v>
      </c>
      <c r="C1553" s="2">
        <v>9.1074445231403966E-6</v>
      </c>
      <c r="D1553" s="2"/>
      <c r="E1553" s="2">
        <v>0.33446836585012368</v>
      </c>
      <c r="F1553" s="3">
        <v>120.2178719931954</v>
      </c>
      <c r="G1553" s="3">
        <v>1</v>
      </c>
      <c r="H1553" s="2">
        <v>5.4188793757450959E-5</v>
      </c>
      <c r="I1553" s="4">
        <v>-5.5511151231257827E-17</v>
      </c>
      <c r="J1553" s="4">
        <v>0.33446836585012379</v>
      </c>
      <c r="K1553" s="5">
        <v>1</v>
      </c>
      <c r="L1553" s="5">
        <v>0</v>
      </c>
      <c r="M1553" s="5">
        <v>0</v>
      </c>
    </row>
    <row r="1554" spans="1:13" hidden="1" x14ac:dyDescent="0.25">
      <c r="A1554" t="s">
        <v>1565</v>
      </c>
      <c r="B1554" s="1">
        <v>3.1957221812739862E-2</v>
      </c>
      <c r="C1554" s="2">
        <v>9.1057401257951866E-6</v>
      </c>
      <c r="D1554" s="2"/>
      <c r="E1554" s="2">
        <v>-0.1904678829145029</v>
      </c>
      <c r="F1554" s="3">
        <v>72.928089504891958</v>
      </c>
      <c r="G1554" s="3">
        <v>2</v>
      </c>
      <c r="H1554" s="2">
        <v>1.083775875149019E-4</v>
      </c>
      <c r="I1554" s="4">
        <v>5.5511151231257827E-17</v>
      </c>
      <c r="J1554" s="4">
        <v>-0.19046788291450301</v>
      </c>
      <c r="K1554" s="5">
        <v>2</v>
      </c>
      <c r="L1554" s="5">
        <v>0</v>
      </c>
      <c r="M1554" s="5">
        <v>0</v>
      </c>
    </row>
    <row r="1555" spans="1:13" hidden="1" x14ac:dyDescent="0.25">
      <c r="A1555" t="s">
        <v>1566</v>
      </c>
      <c r="B1555" s="1">
        <v>3.1929838314257233E-2</v>
      </c>
      <c r="C1555" s="2">
        <v>9.0979376008329406E-6</v>
      </c>
      <c r="D1555" s="2"/>
      <c r="E1555" s="2">
        <v>-0.42671841279981287</v>
      </c>
      <c r="F1555" s="3">
        <v>51.645055236797063</v>
      </c>
      <c r="G1555" s="3">
        <v>3</v>
      </c>
      <c r="H1555" s="2">
        <v>1.6256638127235291E-4</v>
      </c>
      <c r="I1555" s="4">
        <v>0</v>
      </c>
      <c r="J1555" s="4">
        <v>-0.42671841279981287</v>
      </c>
      <c r="K1555" s="5">
        <v>3</v>
      </c>
      <c r="L1555" s="5">
        <v>0</v>
      </c>
      <c r="M1555" s="5">
        <v>2</v>
      </c>
    </row>
    <row r="1556" spans="1:13" hidden="1" x14ac:dyDescent="0.25">
      <c r="A1556" t="s">
        <v>1567</v>
      </c>
      <c r="B1556" s="1">
        <v>3.1873567704716541E-2</v>
      </c>
      <c r="C1556" s="2">
        <v>9.0819041186297624E-6</v>
      </c>
      <c r="D1556" s="2"/>
      <c r="E1556" s="2">
        <v>7.5877388233509313E-2</v>
      </c>
      <c r="F1556" s="3">
        <v>96.922260166604573</v>
      </c>
      <c r="G1556" s="3">
        <v>2</v>
      </c>
      <c r="H1556" s="2">
        <v>1.083775875149019E-4</v>
      </c>
      <c r="I1556" s="4">
        <v>4.4408920985006262E-16</v>
      </c>
      <c r="J1556" s="4">
        <v>7.5877388233508869E-2</v>
      </c>
      <c r="K1556" s="5">
        <v>2</v>
      </c>
      <c r="L1556" s="5">
        <v>0</v>
      </c>
      <c r="M1556" s="5">
        <v>0</v>
      </c>
    </row>
    <row r="1557" spans="1:13" hidden="1" x14ac:dyDescent="0.25">
      <c r="A1557" t="s">
        <v>1568</v>
      </c>
      <c r="B1557" s="1">
        <v>3.1865212488806249E-2</v>
      </c>
      <c r="C1557" s="2">
        <v>9.0795234227976964E-6</v>
      </c>
      <c r="D1557" s="2"/>
      <c r="E1557" s="2">
        <v>-0.56608387205323063</v>
      </c>
      <c r="F1557" s="3">
        <v>39.090078761107463</v>
      </c>
      <c r="G1557" s="3">
        <v>2</v>
      </c>
      <c r="H1557" s="2">
        <v>1.083775875149019E-4</v>
      </c>
      <c r="I1557" s="4">
        <v>0</v>
      </c>
      <c r="J1557" s="4">
        <v>-0.56608387205323063</v>
      </c>
      <c r="K1557" s="5">
        <v>2</v>
      </c>
      <c r="L1557" s="5">
        <v>0</v>
      </c>
      <c r="M1557" s="5">
        <v>0</v>
      </c>
    </row>
    <row r="1558" spans="1:13" hidden="1" x14ac:dyDescent="0.25">
      <c r="A1558" t="s">
        <v>1569</v>
      </c>
      <c r="B1558" s="1">
        <v>3.1720347249129408E-2</v>
      </c>
      <c r="C1558" s="2">
        <v>9.0382462043496108E-6</v>
      </c>
      <c r="D1558" s="2"/>
      <c r="E1558" s="2">
        <v>-0.1437087577485229</v>
      </c>
      <c r="F1558" s="3">
        <v>77.140465509876194</v>
      </c>
      <c r="G1558" s="3">
        <v>3</v>
      </c>
      <c r="H1558" s="2">
        <v>1.6256638127235291E-4</v>
      </c>
      <c r="I1558" s="4">
        <v>-2.2204460492503131E-16</v>
      </c>
      <c r="J1558" s="4">
        <v>-0.14370875774852271</v>
      </c>
      <c r="K1558" s="5">
        <v>3</v>
      </c>
      <c r="L1558" s="5">
        <v>0</v>
      </c>
      <c r="M1558" s="5">
        <v>0</v>
      </c>
    </row>
    <row r="1559" spans="1:13" hidden="1" x14ac:dyDescent="0.25">
      <c r="A1559" t="s">
        <v>1570</v>
      </c>
      <c r="B1559" s="1">
        <v>3.1651251908094112E-2</v>
      </c>
      <c r="C1559" s="2">
        <v>9.0185585036146286E-6</v>
      </c>
      <c r="D1559" s="2"/>
      <c r="E1559" s="2">
        <v>0.1154044970984596</v>
      </c>
      <c r="F1559" s="3">
        <v>100.4831275767215</v>
      </c>
      <c r="G1559" s="3">
        <v>1</v>
      </c>
      <c r="H1559" s="2">
        <v>5.4188793757450959E-5</v>
      </c>
      <c r="I1559" s="4">
        <v>-2.775557561562891E-17</v>
      </c>
      <c r="J1559" s="4">
        <v>0.1154044970984596</v>
      </c>
      <c r="K1559" s="5">
        <v>1</v>
      </c>
      <c r="L1559" s="5">
        <v>0</v>
      </c>
      <c r="M1559" s="5">
        <v>0</v>
      </c>
    </row>
    <row r="1560" spans="1:13" hidden="1" x14ac:dyDescent="0.25">
      <c r="A1560" t="s">
        <v>1571</v>
      </c>
      <c r="B1560" s="1">
        <v>3.1651224862533293E-2</v>
      </c>
      <c r="C1560" s="2">
        <v>9.018550797380032E-6</v>
      </c>
      <c r="D1560" s="2"/>
      <c r="E1560" s="2">
        <v>0.41666050144379208</v>
      </c>
      <c r="F1560" s="3">
        <v>127.6222915272263</v>
      </c>
      <c r="G1560" s="3">
        <v>1</v>
      </c>
      <c r="H1560" s="2">
        <v>5.4188793757450959E-5</v>
      </c>
      <c r="I1560" s="4">
        <v>5.5511151231257827E-17</v>
      </c>
      <c r="J1560" s="4">
        <v>0.41666050144379202</v>
      </c>
      <c r="K1560" s="5">
        <v>1</v>
      </c>
      <c r="L1560" s="5">
        <v>0</v>
      </c>
      <c r="M1560" s="5">
        <v>0</v>
      </c>
    </row>
    <row r="1561" spans="1:13" hidden="1" x14ac:dyDescent="0.25">
      <c r="A1561" t="s">
        <v>1572</v>
      </c>
      <c r="B1561" s="1">
        <v>3.1644486746046738E-2</v>
      </c>
      <c r="C1561" s="2">
        <v>9.0166308702341959E-6</v>
      </c>
      <c r="D1561" s="2"/>
      <c r="E1561" s="2">
        <v>-0.64584680928287808</v>
      </c>
      <c r="F1561" s="3">
        <v>31.904497728943841</v>
      </c>
      <c r="G1561" s="3">
        <v>1</v>
      </c>
      <c r="H1561" s="2">
        <v>5.4188793757450959E-5</v>
      </c>
      <c r="I1561" s="4">
        <v>1.110223024625157E-16</v>
      </c>
      <c r="J1561" s="4">
        <v>-0.64584680928287819</v>
      </c>
      <c r="K1561" s="5">
        <v>1</v>
      </c>
      <c r="L1561" s="5">
        <v>0</v>
      </c>
      <c r="M1561" s="5">
        <v>0</v>
      </c>
    </row>
    <row r="1562" spans="1:13" hidden="1" x14ac:dyDescent="0.25">
      <c r="A1562" t="s">
        <v>1573</v>
      </c>
      <c r="B1562" s="1">
        <v>3.1626612371484057E-2</v>
      </c>
      <c r="C1562" s="2">
        <v>9.0115378302123616E-6</v>
      </c>
      <c r="D1562" s="2"/>
      <c r="E1562" s="2">
        <v>-0.4557409041991396</v>
      </c>
      <c r="F1562" s="3">
        <v>49.030514311546128</v>
      </c>
      <c r="G1562" s="3">
        <v>1</v>
      </c>
      <c r="H1562" s="2">
        <v>5.4188793757450959E-5</v>
      </c>
      <c r="I1562" s="4">
        <v>1.6653345369377351E-16</v>
      </c>
      <c r="J1562" s="4">
        <v>-0.45574090419913982</v>
      </c>
      <c r="K1562" s="5">
        <v>1</v>
      </c>
      <c r="L1562" s="5">
        <v>0</v>
      </c>
      <c r="M1562" s="5">
        <v>0</v>
      </c>
    </row>
    <row r="1563" spans="1:13" hidden="1" x14ac:dyDescent="0.25">
      <c r="A1563" t="s">
        <v>1574</v>
      </c>
      <c r="B1563" s="1">
        <v>3.1525244288441133E-2</v>
      </c>
      <c r="C1563" s="2">
        <v>8.9826544865147257E-6</v>
      </c>
      <c r="D1563" s="2"/>
      <c r="E1563" s="2">
        <v>-0.2025355339534437</v>
      </c>
      <c r="F1563" s="3">
        <v>71.840954459218736</v>
      </c>
      <c r="G1563" s="3">
        <v>3</v>
      </c>
      <c r="H1563" s="2">
        <v>1.6256638127235291E-4</v>
      </c>
      <c r="I1563" s="4">
        <v>1.6653345369377351E-16</v>
      </c>
      <c r="J1563" s="4">
        <v>-0.2025355339534439</v>
      </c>
      <c r="K1563" s="5">
        <v>3</v>
      </c>
      <c r="L1563" s="5">
        <v>0</v>
      </c>
      <c r="M1563" s="5">
        <v>0</v>
      </c>
    </row>
    <row r="1564" spans="1:13" hidden="1" x14ac:dyDescent="0.25">
      <c r="A1564" t="s">
        <v>1575</v>
      </c>
      <c r="B1564" s="1">
        <v>3.151098814298036E-2</v>
      </c>
      <c r="C1564" s="2">
        <v>8.9785924076355923E-6</v>
      </c>
      <c r="D1564" s="2"/>
      <c r="E1564" s="2">
        <v>0.321461965205182</v>
      </c>
      <c r="F1564" s="3">
        <v>119.0461680788581</v>
      </c>
      <c r="G1564" s="3">
        <v>1</v>
      </c>
      <c r="H1564" s="2">
        <v>5.4188793757450959E-5</v>
      </c>
      <c r="I1564" s="4">
        <v>-5.5511151231257827E-17</v>
      </c>
      <c r="J1564" s="4">
        <v>0.32146196520518211</v>
      </c>
      <c r="K1564" s="5">
        <v>1</v>
      </c>
      <c r="L1564" s="5">
        <v>0</v>
      </c>
      <c r="M1564" s="5">
        <v>0</v>
      </c>
    </row>
    <row r="1565" spans="1:13" hidden="1" x14ac:dyDescent="0.25">
      <c r="A1565" t="s">
        <v>1576</v>
      </c>
      <c r="B1565" s="1">
        <v>3.1388808602692012E-2</v>
      </c>
      <c r="C1565" s="2">
        <v>8.9437791454229395E-6</v>
      </c>
      <c r="D1565" s="2"/>
      <c r="E1565" s="2">
        <v>-0.13489829464619241</v>
      </c>
      <c r="F1565" s="3">
        <v>77.934171192634736</v>
      </c>
      <c r="G1565" s="3">
        <v>1</v>
      </c>
      <c r="H1565" s="2">
        <v>5.4188793757450959E-5</v>
      </c>
      <c r="I1565" s="4">
        <v>-2.775557561562891E-17</v>
      </c>
      <c r="J1565" s="4">
        <v>-0.13489829464619241</v>
      </c>
      <c r="K1565" s="5">
        <v>1</v>
      </c>
      <c r="L1565" s="5">
        <v>0</v>
      </c>
      <c r="M1565" s="5">
        <v>0</v>
      </c>
    </row>
    <row r="1566" spans="1:13" hidden="1" x14ac:dyDescent="0.25">
      <c r="A1566" t="s">
        <v>1577</v>
      </c>
      <c r="B1566" s="1">
        <v>3.1333569518059483E-2</v>
      </c>
      <c r="C1566" s="2">
        <v>8.9280395810641206E-6</v>
      </c>
      <c r="D1566" s="2"/>
      <c r="E1566" s="2">
        <v>-0.49295138377930209</v>
      </c>
      <c r="F1566" s="3">
        <v>45.678344424683651</v>
      </c>
      <c r="G1566" s="3">
        <v>1</v>
      </c>
      <c r="H1566" s="2">
        <v>5.4188793757450959E-5</v>
      </c>
      <c r="I1566" s="4">
        <v>5.5511151231257827E-17</v>
      </c>
      <c r="J1566" s="4">
        <v>-0.4929513837793022</v>
      </c>
      <c r="K1566" s="5">
        <v>1</v>
      </c>
      <c r="L1566" s="5">
        <v>0</v>
      </c>
      <c r="M1566" s="5">
        <v>0</v>
      </c>
    </row>
    <row r="1567" spans="1:13" hidden="1" x14ac:dyDescent="0.25">
      <c r="A1567" t="s">
        <v>1578</v>
      </c>
      <c r="B1567" s="1">
        <v>3.1291660611878373E-2</v>
      </c>
      <c r="C1567" s="2">
        <v>8.9160982549101241E-6</v>
      </c>
      <c r="D1567" s="2"/>
      <c r="E1567" s="2">
        <v>-8.6937807419418811E-2</v>
      </c>
      <c r="F1567" s="3">
        <v>82.254773959779754</v>
      </c>
      <c r="G1567" s="3">
        <v>1</v>
      </c>
      <c r="H1567" s="2">
        <v>5.4188793757450959E-5</v>
      </c>
      <c r="I1567" s="4">
        <v>0</v>
      </c>
      <c r="J1567" s="4">
        <v>-8.6937807419418811E-2</v>
      </c>
      <c r="K1567" s="5">
        <v>1</v>
      </c>
      <c r="L1567" s="5">
        <v>0</v>
      </c>
      <c r="M1567" s="5">
        <v>0</v>
      </c>
    </row>
    <row r="1568" spans="1:13" hidden="1" x14ac:dyDescent="0.25">
      <c r="A1568" t="s">
        <v>1579</v>
      </c>
      <c r="B1568" s="1">
        <v>3.123265124588178E-2</v>
      </c>
      <c r="C1568" s="2">
        <v>8.8992844043538567E-6</v>
      </c>
      <c r="D1568" s="2"/>
      <c r="E1568" s="2">
        <v>-0.20572880699941201</v>
      </c>
      <c r="F1568" s="3">
        <v>71.553282978872346</v>
      </c>
      <c r="G1568" s="3">
        <v>1</v>
      </c>
      <c r="H1568" s="2">
        <v>5.4188793757450959E-5</v>
      </c>
      <c r="I1568" s="4">
        <v>0</v>
      </c>
      <c r="J1568" s="4">
        <v>-0.20572880699941201</v>
      </c>
      <c r="K1568" s="5">
        <v>1</v>
      </c>
      <c r="L1568" s="5">
        <v>0</v>
      </c>
      <c r="M1568" s="5">
        <v>0</v>
      </c>
    </row>
    <row r="1569" spans="1:13" hidden="1" x14ac:dyDescent="0.25">
      <c r="A1569" t="s">
        <v>1580</v>
      </c>
      <c r="B1569" s="1">
        <v>3.109328220675937E-2</v>
      </c>
      <c r="C1569" s="2">
        <v>8.8595732473807412E-6</v>
      </c>
      <c r="D1569" s="2"/>
      <c r="E1569" s="2">
        <v>-0.22173056344567391</v>
      </c>
      <c r="F1569" s="3">
        <v>70.11173729869617</v>
      </c>
      <c r="G1569" s="3">
        <v>1</v>
      </c>
      <c r="H1569" s="2">
        <v>5.4188793757450959E-5</v>
      </c>
      <c r="I1569" s="4">
        <v>2.775557561562891E-17</v>
      </c>
      <c r="J1569" s="4">
        <v>-0.22173056344567391</v>
      </c>
      <c r="K1569" s="5">
        <v>1</v>
      </c>
      <c r="L1569" s="5">
        <v>0</v>
      </c>
      <c r="M1569" s="5">
        <v>1</v>
      </c>
    </row>
    <row r="1570" spans="1:13" hidden="1" x14ac:dyDescent="0.25">
      <c r="A1570" t="s">
        <v>1581</v>
      </c>
      <c r="B1570" s="1">
        <v>3.1092172423565909E-2</v>
      </c>
      <c r="C1570" s="2">
        <v>8.8592570309895041E-6</v>
      </c>
      <c r="D1570" s="2"/>
      <c r="E1570" s="2">
        <v>-6.1429400738319373E-2</v>
      </c>
      <c r="F1570" s="3">
        <v>84.552742534842409</v>
      </c>
      <c r="G1570" s="3">
        <v>1</v>
      </c>
      <c r="H1570" s="2">
        <v>5.4188793757450959E-5</v>
      </c>
      <c r="I1570" s="4">
        <v>-4.8572257327350599E-17</v>
      </c>
      <c r="J1570" s="4">
        <v>-6.1429400738319317E-2</v>
      </c>
      <c r="K1570" s="5">
        <v>1</v>
      </c>
      <c r="L1570" s="5">
        <v>0</v>
      </c>
      <c r="M1570" s="5">
        <v>0</v>
      </c>
    </row>
    <row r="1571" spans="1:13" hidden="1" x14ac:dyDescent="0.25">
      <c r="A1571" t="s">
        <v>1582</v>
      </c>
      <c r="B1571" s="1">
        <v>3.108221327801395E-2</v>
      </c>
      <c r="C1571" s="2">
        <v>8.8564193190068219E-6</v>
      </c>
      <c r="D1571" s="2"/>
      <c r="E1571" s="2">
        <v>-0.39409778199689049</v>
      </c>
      <c r="F1571" s="3">
        <v>54.583740722761917</v>
      </c>
      <c r="G1571" s="3">
        <v>1</v>
      </c>
      <c r="H1571" s="2">
        <v>5.4188793757450959E-5</v>
      </c>
      <c r="I1571" s="4">
        <v>5.5511151231257827E-17</v>
      </c>
      <c r="J1571" s="4">
        <v>-0.39409778199689061</v>
      </c>
      <c r="K1571" s="5">
        <v>1</v>
      </c>
      <c r="L1571" s="5">
        <v>0</v>
      </c>
      <c r="M1571" s="5">
        <v>0</v>
      </c>
    </row>
    <row r="1572" spans="1:13" x14ac:dyDescent="0.25">
      <c r="A1572" t="s">
        <v>1583</v>
      </c>
      <c r="B1572" s="1">
        <v>3.1056611510997659E-2</v>
      </c>
      <c r="C1572" s="2">
        <v>8.8491244722088914E-6</v>
      </c>
      <c r="D1572" s="2"/>
      <c r="E1572" s="2">
        <v>-0.2290552728522556</v>
      </c>
      <c r="F1572" s="3">
        <v>69.451878286401922</v>
      </c>
      <c r="G1572" s="3">
        <v>2</v>
      </c>
      <c r="H1572" s="2">
        <v>1.083775875149019E-4</v>
      </c>
      <c r="I1572" s="4">
        <v>0</v>
      </c>
      <c r="J1572" s="4">
        <v>-0.2290552728522556</v>
      </c>
      <c r="K1572" s="5">
        <v>2</v>
      </c>
      <c r="L1572" s="5">
        <v>0</v>
      </c>
      <c r="M1572" s="5">
        <v>0</v>
      </c>
    </row>
    <row r="1573" spans="1:13" hidden="1" x14ac:dyDescent="0.25">
      <c r="A1573" t="s">
        <v>1584</v>
      </c>
      <c r="B1573" s="1">
        <v>3.1039734284065059E-2</v>
      </c>
      <c r="C1573" s="2">
        <v>8.8443155547318708E-6</v>
      </c>
      <c r="D1573" s="2"/>
      <c r="E1573" s="2">
        <v>-0.76768104309818763</v>
      </c>
      <c r="F1573" s="3">
        <v>20.92885177133639</v>
      </c>
      <c r="G1573" s="3">
        <v>5</v>
      </c>
      <c r="H1573" s="2">
        <v>2.7094396878725479E-4</v>
      </c>
      <c r="I1573" s="4">
        <v>-0.18030385976450039</v>
      </c>
      <c r="J1573" s="4">
        <v>-0.58737718333368727</v>
      </c>
      <c r="K1573" s="5">
        <v>5</v>
      </c>
      <c r="L1573" s="5">
        <v>0</v>
      </c>
      <c r="M1573" s="5">
        <v>0</v>
      </c>
    </row>
    <row r="1574" spans="1:13" hidden="1" x14ac:dyDescent="0.25">
      <c r="A1574" t="s">
        <v>1585</v>
      </c>
      <c r="B1574" s="1">
        <v>3.1039368274469691E-2</v>
      </c>
      <c r="C1574" s="2">
        <v>8.8442112656832621E-6</v>
      </c>
      <c r="D1574" s="2"/>
      <c r="E1574" s="2">
        <v>-0.59739303484821815</v>
      </c>
      <c r="F1574" s="3">
        <v>36.269539120436313</v>
      </c>
      <c r="G1574" s="3">
        <v>1</v>
      </c>
      <c r="H1574" s="2">
        <v>5.4188793757450959E-5</v>
      </c>
      <c r="I1574" s="4">
        <v>0</v>
      </c>
      <c r="J1574" s="4">
        <v>-0.59739303484821815</v>
      </c>
      <c r="K1574" s="5">
        <v>1</v>
      </c>
      <c r="L1574" s="5">
        <v>0</v>
      </c>
      <c r="M1574" s="5">
        <v>0</v>
      </c>
    </row>
    <row r="1575" spans="1:13" hidden="1" x14ac:dyDescent="0.25">
      <c r="A1575" t="s">
        <v>1586</v>
      </c>
      <c r="B1575" s="1">
        <v>3.1020173001230208E-2</v>
      </c>
      <c r="C1575" s="2">
        <v>8.8387418550196406E-6</v>
      </c>
      <c r="D1575" s="2"/>
      <c r="E1575" s="2" t="s">
        <v>303</v>
      </c>
      <c r="F1575" s="3" t="s">
        <v>303</v>
      </c>
      <c r="G1575" s="3">
        <v>1</v>
      </c>
      <c r="H1575" s="2">
        <v>5.4188793757450959E-5</v>
      </c>
      <c r="I1575" s="4" t="s">
        <v>303</v>
      </c>
      <c r="J1575" s="4">
        <v>0</v>
      </c>
      <c r="K1575" s="5">
        <v>1</v>
      </c>
      <c r="L1575" s="5">
        <v>0</v>
      </c>
      <c r="M1575" s="5">
        <v>1</v>
      </c>
    </row>
    <row r="1576" spans="1:13" hidden="1" x14ac:dyDescent="0.25">
      <c r="A1576" t="s">
        <v>1587</v>
      </c>
      <c r="B1576" s="1">
        <v>3.09967124440584E-2</v>
      </c>
      <c r="C1576" s="2">
        <v>8.8320571144603808E-6</v>
      </c>
      <c r="D1576" s="2"/>
      <c r="E1576" s="2">
        <v>4.9772060817501131</v>
      </c>
      <c r="F1576" s="3">
        <v>538.46686365998664</v>
      </c>
      <c r="G1576" s="3">
        <v>2</v>
      </c>
      <c r="H1576" s="2">
        <v>1.083775875149019E-4</v>
      </c>
      <c r="I1576" s="4">
        <v>5.1512415992667293</v>
      </c>
      <c r="J1576" s="4">
        <v>-0.174035517516616</v>
      </c>
      <c r="K1576" s="5">
        <v>2</v>
      </c>
      <c r="L1576" s="5">
        <v>0</v>
      </c>
      <c r="M1576" s="5">
        <v>1</v>
      </c>
    </row>
    <row r="1577" spans="1:13" hidden="1" x14ac:dyDescent="0.25">
      <c r="A1577" t="s">
        <v>1588</v>
      </c>
      <c r="B1577" s="1">
        <v>3.0939619344920271E-2</v>
      </c>
      <c r="C1577" s="2">
        <v>8.8157892759488138E-6</v>
      </c>
      <c r="D1577" s="2"/>
      <c r="E1577" s="2">
        <v>0.10942583759404249</v>
      </c>
      <c r="F1577" s="3">
        <v>99.94452977898726</v>
      </c>
      <c r="G1577" s="3">
        <v>1</v>
      </c>
      <c r="H1577" s="2">
        <v>5.4188793757450959E-5</v>
      </c>
      <c r="I1577" s="4">
        <v>-1.387778780781446E-17</v>
      </c>
      <c r="J1577" s="4">
        <v>0.10942583759404249</v>
      </c>
      <c r="K1577" s="5">
        <v>1</v>
      </c>
      <c r="L1577" s="5">
        <v>0</v>
      </c>
      <c r="M1577" s="5">
        <v>0</v>
      </c>
    </row>
    <row r="1578" spans="1:13" hidden="1" x14ac:dyDescent="0.25">
      <c r="A1578" t="s">
        <v>1589</v>
      </c>
      <c r="B1578" s="1">
        <v>3.0914550902794762E-2</v>
      </c>
      <c r="C1578" s="2">
        <v>8.8086463922309778E-6</v>
      </c>
      <c r="D1578" s="2"/>
      <c r="E1578" s="2">
        <v>-0.54251755073063512</v>
      </c>
      <c r="F1578" s="3">
        <v>41.213091245038072</v>
      </c>
      <c r="G1578" s="3">
        <v>2</v>
      </c>
      <c r="H1578" s="2">
        <v>1.083775875149019E-4</v>
      </c>
      <c r="I1578" s="4">
        <v>2.2204460492503131E-16</v>
      </c>
      <c r="J1578" s="4">
        <v>-0.54251755073063535</v>
      </c>
      <c r="K1578" s="5">
        <v>1</v>
      </c>
      <c r="L1578" s="5">
        <v>0</v>
      </c>
      <c r="M1578" s="5">
        <v>0</v>
      </c>
    </row>
    <row r="1579" spans="1:13" hidden="1" x14ac:dyDescent="0.25">
      <c r="A1579" t="s">
        <v>1590</v>
      </c>
      <c r="B1579" s="1">
        <v>3.091311373051692E-2</v>
      </c>
      <c r="C1579" s="2">
        <v>8.8082368911374649E-6</v>
      </c>
      <c r="D1579" s="2"/>
      <c r="E1579" s="2">
        <v>0.15522540919160011</v>
      </c>
      <c r="F1579" s="3">
        <v>104.07046275466389</v>
      </c>
      <c r="G1579" s="3">
        <v>1</v>
      </c>
      <c r="H1579" s="2">
        <v>5.4188793757450959E-5</v>
      </c>
      <c r="I1579" s="4">
        <v>2.775557561562891E-17</v>
      </c>
      <c r="J1579" s="4">
        <v>0.15522540919160011</v>
      </c>
      <c r="K1579" s="5">
        <v>1</v>
      </c>
      <c r="L1579" s="5">
        <v>1</v>
      </c>
      <c r="M1579" s="5">
        <v>0</v>
      </c>
    </row>
    <row r="1580" spans="1:13" hidden="1" x14ac:dyDescent="0.25">
      <c r="A1580" t="s">
        <v>1591</v>
      </c>
      <c r="B1580" s="1">
        <v>3.0891302679931069E-2</v>
      </c>
      <c r="C1580" s="2">
        <v>8.8020221532084548E-6</v>
      </c>
      <c r="D1580" s="2"/>
      <c r="E1580" s="2">
        <v>0.84591888321490827</v>
      </c>
      <c r="F1580" s="3">
        <v>166.29276923382329</v>
      </c>
      <c r="G1580" s="3">
        <v>1</v>
      </c>
      <c r="H1580" s="2">
        <v>5.4188793757450959E-5</v>
      </c>
      <c r="I1580" s="4">
        <v>1.110223024625157E-16</v>
      </c>
      <c r="J1580" s="4">
        <v>0.84591888321490816</v>
      </c>
      <c r="K1580" s="5">
        <v>1</v>
      </c>
      <c r="L1580" s="5">
        <v>0</v>
      </c>
      <c r="M1580" s="5">
        <v>0</v>
      </c>
    </row>
    <row r="1581" spans="1:13" hidden="1" x14ac:dyDescent="0.25">
      <c r="A1581" t="s">
        <v>1592</v>
      </c>
      <c r="B1581" s="1">
        <v>3.089048093033317E-2</v>
      </c>
      <c r="C1581" s="2">
        <v>8.8017880077520437E-6</v>
      </c>
      <c r="D1581" s="2"/>
      <c r="E1581" s="2">
        <v>1.161505407100361</v>
      </c>
      <c r="F1581" s="3">
        <v>194.7229226208388</v>
      </c>
      <c r="G1581" s="3">
        <v>1</v>
      </c>
      <c r="H1581" s="2">
        <v>5.4188793757450959E-5</v>
      </c>
      <c r="I1581" s="4">
        <v>0</v>
      </c>
      <c r="J1581" s="4">
        <v>1.161505407100361</v>
      </c>
      <c r="K1581" s="5">
        <v>1</v>
      </c>
      <c r="L1581" s="5">
        <v>0</v>
      </c>
      <c r="M1581" s="5">
        <v>0</v>
      </c>
    </row>
    <row r="1582" spans="1:13" hidden="1" x14ac:dyDescent="0.25">
      <c r="A1582" t="s">
        <v>1593</v>
      </c>
      <c r="B1582" s="1">
        <v>3.0736265117143339E-2</v>
      </c>
      <c r="C1582" s="2">
        <v>8.7578464809690449E-6</v>
      </c>
      <c r="D1582" s="2"/>
      <c r="E1582" s="2">
        <v>1.219881366757708</v>
      </c>
      <c r="F1582" s="3">
        <v>199.98182108944059</v>
      </c>
      <c r="G1582" s="3">
        <v>1</v>
      </c>
      <c r="H1582" s="2">
        <v>5.4188793757450959E-5</v>
      </c>
      <c r="I1582" s="4">
        <v>-2.2204460492503131E-16</v>
      </c>
      <c r="J1582" s="4">
        <v>1.219881366757708</v>
      </c>
      <c r="K1582" s="5">
        <v>1</v>
      </c>
      <c r="L1582" s="5">
        <v>0</v>
      </c>
      <c r="M1582" s="5">
        <v>1</v>
      </c>
    </row>
    <row r="1583" spans="1:13" hidden="1" x14ac:dyDescent="0.25">
      <c r="A1583" t="s">
        <v>1594</v>
      </c>
      <c r="B1583" s="1">
        <v>3.0662018630400401E-2</v>
      </c>
      <c r="C1583" s="2">
        <v>8.7366910370604351E-6</v>
      </c>
      <c r="D1583" s="2"/>
      <c r="E1583" s="2" t="s">
        <v>303</v>
      </c>
      <c r="F1583" s="3" t="s">
        <v>303</v>
      </c>
      <c r="G1583" s="3">
        <v>1</v>
      </c>
      <c r="H1583" s="2">
        <v>5.4188793757450959E-5</v>
      </c>
      <c r="I1583" s="4" t="s">
        <v>303</v>
      </c>
      <c r="J1583" s="4">
        <v>0</v>
      </c>
      <c r="K1583" s="5">
        <v>1</v>
      </c>
      <c r="L1583" s="5">
        <v>0</v>
      </c>
      <c r="M1583" s="5">
        <v>0</v>
      </c>
    </row>
    <row r="1584" spans="1:13" hidden="1" x14ac:dyDescent="0.25">
      <c r="A1584" t="s">
        <v>1595</v>
      </c>
      <c r="B1584" s="1">
        <v>3.062610271654111E-2</v>
      </c>
      <c r="C1584" s="2">
        <v>8.7264573258855546E-6</v>
      </c>
      <c r="D1584" s="2"/>
      <c r="E1584" s="2">
        <v>0.43709888087072318</v>
      </c>
      <c r="F1584" s="3">
        <v>129.46351799956</v>
      </c>
      <c r="G1584" s="3">
        <v>1</v>
      </c>
      <c r="H1584" s="2">
        <v>5.4188793757450959E-5</v>
      </c>
      <c r="I1584" s="4">
        <v>5.5511151231257827E-17</v>
      </c>
      <c r="J1584" s="4">
        <v>0.43709888087072318</v>
      </c>
      <c r="K1584" s="5">
        <v>1</v>
      </c>
      <c r="L1584" s="5">
        <v>0</v>
      </c>
      <c r="M1584" s="5">
        <v>0</v>
      </c>
    </row>
    <row r="1585" spans="1:13" hidden="1" x14ac:dyDescent="0.25">
      <c r="A1585" t="s">
        <v>1596</v>
      </c>
      <c r="B1585" s="1">
        <v>3.052889553240723E-2</v>
      </c>
      <c r="C1585" s="2">
        <v>8.6987595691071292E-6</v>
      </c>
      <c r="D1585" s="2"/>
      <c r="E1585" s="2">
        <v>-9.8162557187113864E-2</v>
      </c>
      <c r="F1585" s="3">
        <v>81.243573121108113</v>
      </c>
      <c r="G1585" s="3">
        <v>1</v>
      </c>
      <c r="H1585" s="2">
        <v>5.4188793757450959E-5</v>
      </c>
      <c r="I1585" s="4">
        <v>1.387778780781446E-17</v>
      </c>
      <c r="J1585" s="4">
        <v>-9.8162557187113877E-2</v>
      </c>
      <c r="K1585" s="5">
        <v>1</v>
      </c>
      <c r="L1585" s="5">
        <v>0</v>
      </c>
      <c r="M1585" s="5">
        <v>0</v>
      </c>
    </row>
    <row r="1586" spans="1:13" hidden="1" x14ac:dyDescent="0.25">
      <c r="A1586" t="s">
        <v>1597</v>
      </c>
      <c r="B1586" s="1">
        <v>3.0479308318040101E-2</v>
      </c>
      <c r="C1586" s="2">
        <v>8.6846304220168427E-6</v>
      </c>
      <c r="D1586" s="2"/>
      <c r="E1586" s="2">
        <v>0.17964713835391491</v>
      </c>
      <c r="F1586" s="3">
        <v>106.2705361212718</v>
      </c>
      <c r="G1586" s="3">
        <v>1</v>
      </c>
      <c r="H1586" s="2">
        <v>5.4188793757450959E-5</v>
      </c>
      <c r="I1586" s="4">
        <v>8.3266726846886741E-17</v>
      </c>
      <c r="J1586" s="4">
        <v>0.1796471383539148</v>
      </c>
      <c r="K1586" s="5">
        <v>1</v>
      </c>
      <c r="L1586" s="5">
        <v>0</v>
      </c>
      <c r="M1586" s="5">
        <v>0</v>
      </c>
    </row>
    <row r="1587" spans="1:13" hidden="1" x14ac:dyDescent="0.25">
      <c r="A1587" t="s">
        <v>1598</v>
      </c>
      <c r="B1587" s="1">
        <v>3.0368149200902202E-2</v>
      </c>
      <c r="C1587" s="2">
        <v>8.6529572672225461E-6</v>
      </c>
      <c r="D1587" s="2"/>
      <c r="E1587" s="2">
        <v>-2.2077525945825349E-2</v>
      </c>
      <c r="F1587" s="3">
        <v>88.097823682931306</v>
      </c>
      <c r="G1587" s="3">
        <v>1</v>
      </c>
      <c r="H1587" s="2">
        <v>5.4188793757450959E-5</v>
      </c>
      <c r="I1587" s="4">
        <v>-2.012279232133096E-16</v>
      </c>
      <c r="J1587" s="4">
        <v>-2.2077525945825151E-2</v>
      </c>
      <c r="K1587" s="5">
        <v>1</v>
      </c>
      <c r="L1587" s="5">
        <v>0</v>
      </c>
      <c r="M1587" s="5">
        <v>0</v>
      </c>
    </row>
    <row r="1588" spans="1:13" hidden="1" x14ac:dyDescent="0.25">
      <c r="A1588" t="s">
        <v>1599</v>
      </c>
      <c r="B1588" s="1">
        <v>3.0366348754563739E-2</v>
      </c>
      <c r="C1588" s="2">
        <v>8.6524442565307999E-6</v>
      </c>
      <c r="D1588" s="2"/>
      <c r="E1588" s="2">
        <v>-0.33450848870049837</v>
      </c>
      <c r="F1588" s="3">
        <v>59.951944433688411</v>
      </c>
      <c r="G1588" s="3">
        <v>1</v>
      </c>
      <c r="H1588" s="2">
        <v>5.4188793757450959E-5</v>
      </c>
      <c r="I1588" s="4">
        <v>1.6653345369377351E-16</v>
      </c>
      <c r="J1588" s="4">
        <v>-0.3345084887004986</v>
      </c>
      <c r="K1588" s="5">
        <v>1</v>
      </c>
      <c r="L1588" s="5">
        <v>0</v>
      </c>
      <c r="M1588" s="5">
        <v>0</v>
      </c>
    </row>
    <row r="1589" spans="1:13" hidden="1" x14ac:dyDescent="0.25">
      <c r="A1589" t="s">
        <v>1600</v>
      </c>
      <c r="B1589" s="1">
        <v>3.032089904905811E-2</v>
      </c>
      <c r="C1589" s="2">
        <v>8.6394940317098417E-6</v>
      </c>
      <c r="D1589" s="2"/>
      <c r="E1589" s="2">
        <v>0.78578612195075981</v>
      </c>
      <c r="F1589" s="3">
        <v>160.87560627871241</v>
      </c>
      <c r="G1589" s="3">
        <v>3</v>
      </c>
      <c r="H1589" s="2">
        <v>1.6256638127235291E-4</v>
      </c>
      <c r="I1589" s="4">
        <v>1.154915935968408</v>
      </c>
      <c r="J1589" s="4">
        <v>-0.36912981401764849</v>
      </c>
      <c r="K1589" s="5">
        <v>3</v>
      </c>
      <c r="L1589" s="5">
        <v>0</v>
      </c>
      <c r="M1589" s="5">
        <v>0</v>
      </c>
    </row>
    <row r="1590" spans="1:13" hidden="1" x14ac:dyDescent="0.25">
      <c r="A1590" t="s">
        <v>1601</v>
      </c>
      <c r="B1590" s="1">
        <v>3.025337007962749E-2</v>
      </c>
      <c r="C1590" s="2">
        <v>8.6202526455154741E-6</v>
      </c>
      <c r="D1590" s="2"/>
      <c r="E1590" s="2">
        <v>0.40193515502389721</v>
      </c>
      <c r="F1590" s="3">
        <v>126.29573343393299</v>
      </c>
      <c r="G1590" s="3">
        <v>1</v>
      </c>
      <c r="H1590" s="2">
        <v>5.4188793757450959E-5</v>
      </c>
      <c r="I1590" s="4">
        <v>0</v>
      </c>
      <c r="J1590" s="4">
        <v>0.40193515502389721</v>
      </c>
      <c r="K1590" s="5">
        <v>1</v>
      </c>
      <c r="L1590" s="5">
        <v>0</v>
      </c>
      <c r="M1590" s="5">
        <v>0</v>
      </c>
    </row>
    <row r="1591" spans="1:13" hidden="1" x14ac:dyDescent="0.25">
      <c r="A1591" t="s">
        <v>1602</v>
      </c>
      <c r="B1591" s="1">
        <v>3.0171572750641772E-2</v>
      </c>
      <c r="C1591" s="2">
        <v>8.5969457002155174E-6</v>
      </c>
      <c r="D1591" s="2"/>
      <c r="E1591" s="2">
        <v>1.075618539821497</v>
      </c>
      <c r="F1591" s="3">
        <v>186.9856568447037</v>
      </c>
      <c r="G1591" s="3">
        <v>1</v>
      </c>
      <c r="H1591" s="2">
        <v>5.4188793757450959E-5</v>
      </c>
      <c r="I1591" s="4">
        <v>-2.2204460492503131E-16</v>
      </c>
      <c r="J1591" s="4">
        <v>1.075618539821497</v>
      </c>
      <c r="K1591" s="5">
        <v>1</v>
      </c>
      <c r="L1591" s="5">
        <v>0</v>
      </c>
      <c r="M1591" s="5">
        <v>0</v>
      </c>
    </row>
    <row r="1592" spans="1:13" hidden="1" x14ac:dyDescent="0.25">
      <c r="A1592" t="s">
        <v>1603</v>
      </c>
      <c r="B1592" s="1">
        <v>3.008002458312611E-2</v>
      </c>
      <c r="C1592" s="2">
        <v>8.5708603969537035E-6</v>
      </c>
      <c r="D1592" s="2"/>
      <c r="E1592" s="2">
        <v>-0.52883373671649725</v>
      </c>
      <c r="F1592" s="3">
        <v>42.445821104829349</v>
      </c>
      <c r="G1592" s="3">
        <v>1</v>
      </c>
      <c r="H1592" s="2">
        <v>5.4188793757450959E-5</v>
      </c>
      <c r="I1592" s="4">
        <v>0</v>
      </c>
      <c r="J1592" s="4">
        <v>-0.52883373671649725</v>
      </c>
      <c r="K1592" s="5">
        <v>1</v>
      </c>
      <c r="L1592" s="5">
        <v>0</v>
      </c>
      <c r="M1592" s="5">
        <v>0</v>
      </c>
    </row>
    <row r="1593" spans="1:13" hidden="1" x14ac:dyDescent="0.25">
      <c r="A1593" t="s">
        <v>1604</v>
      </c>
      <c r="B1593" s="1">
        <v>2.9995209356901611E-2</v>
      </c>
      <c r="C1593" s="2">
        <v>8.546693546241949E-6</v>
      </c>
      <c r="D1593" s="2"/>
      <c r="E1593" s="2">
        <v>-0.74391033695929254</v>
      </c>
      <c r="F1593" s="3">
        <v>23.070276612061701</v>
      </c>
      <c r="G1593" s="3">
        <v>2</v>
      </c>
      <c r="H1593" s="2">
        <v>1.083775875149019E-4</v>
      </c>
      <c r="I1593" s="4">
        <v>-1.110223024625157E-16</v>
      </c>
      <c r="J1593" s="4">
        <v>-0.74391033695929243</v>
      </c>
      <c r="K1593" s="5">
        <v>2</v>
      </c>
      <c r="L1593" s="5">
        <v>0</v>
      </c>
      <c r="M1593" s="5">
        <v>0</v>
      </c>
    </row>
    <row r="1594" spans="1:13" hidden="1" x14ac:dyDescent="0.25">
      <c r="A1594" t="s">
        <v>1605</v>
      </c>
      <c r="B1594" s="1">
        <v>2.9965874119005441E-2</v>
      </c>
      <c r="C1594" s="2">
        <v>8.5383349018523916E-6</v>
      </c>
      <c r="D1594" s="2"/>
      <c r="E1594" s="2">
        <v>0.88545999519270002</v>
      </c>
      <c r="F1594" s="3">
        <v>169.85489813838271</v>
      </c>
      <c r="G1594" s="3">
        <v>1</v>
      </c>
      <c r="H1594" s="2">
        <v>5.4188793757450959E-5</v>
      </c>
      <c r="I1594" s="4">
        <v>1.110223024625157E-16</v>
      </c>
      <c r="J1594" s="4">
        <v>0.88545999519269991</v>
      </c>
      <c r="K1594" s="5">
        <v>1</v>
      </c>
      <c r="L1594" s="5">
        <v>0</v>
      </c>
      <c r="M1594" s="5">
        <v>0</v>
      </c>
    </row>
    <row r="1595" spans="1:13" hidden="1" x14ac:dyDescent="0.25">
      <c r="A1595" t="s">
        <v>1606</v>
      </c>
      <c r="B1595" s="1">
        <v>2.9960106283557331E-2</v>
      </c>
      <c r="C1595" s="2">
        <v>8.5366914420114036E-6</v>
      </c>
      <c r="D1595" s="2"/>
      <c r="E1595" s="2">
        <v>-0.34222385882396861</v>
      </c>
      <c r="F1595" s="3">
        <v>59.256892080542109</v>
      </c>
      <c r="G1595" s="3">
        <v>2</v>
      </c>
      <c r="H1595" s="2">
        <v>1.083775875149019E-4</v>
      </c>
      <c r="I1595" s="4">
        <v>0</v>
      </c>
      <c r="J1595" s="4">
        <v>-0.34222385882396861</v>
      </c>
      <c r="K1595" s="5">
        <v>2</v>
      </c>
      <c r="L1595" s="5">
        <v>0</v>
      </c>
      <c r="M1595" s="5">
        <v>0</v>
      </c>
    </row>
    <row r="1596" spans="1:13" hidden="1" x14ac:dyDescent="0.25">
      <c r="A1596" t="s">
        <v>1607</v>
      </c>
      <c r="B1596" s="1">
        <v>2.9930077594073842E-2</v>
      </c>
      <c r="C1596" s="2">
        <v>8.5281352087957285E-6</v>
      </c>
      <c r="D1596" s="2"/>
      <c r="E1596" s="2">
        <v>0.60829468314553536</v>
      </c>
      <c r="F1596" s="3">
        <v>144.88598553069161</v>
      </c>
      <c r="G1596" s="3">
        <v>1</v>
      </c>
      <c r="H1596" s="2">
        <v>5.4188793757450959E-5</v>
      </c>
      <c r="I1596" s="4">
        <v>0</v>
      </c>
      <c r="J1596" s="4">
        <v>0.60829468314553536</v>
      </c>
      <c r="K1596" s="5">
        <v>1</v>
      </c>
      <c r="L1596" s="5">
        <v>0</v>
      </c>
      <c r="M1596" s="5">
        <v>0</v>
      </c>
    </row>
    <row r="1597" spans="1:13" hidden="1" x14ac:dyDescent="0.25">
      <c r="A1597" t="s">
        <v>1608</v>
      </c>
      <c r="B1597" s="1">
        <v>2.9861303529405359E-2</v>
      </c>
      <c r="C1597" s="2">
        <v>8.5085390510341009E-6</v>
      </c>
      <c r="D1597" s="2"/>
      <c r="E1597" s="2">
        <v>-0.40059550069543948</v>
      </c>
      <c r="F1597" s="3">
        <v>53.998382587087931</v>
      </c>
      <c r="G1597" s="3">
        <v>1</v>
      </c>
      <c r="H1597" s="2">
        <v>5.4188793757450959E-5</v>
      </c>
      <c r="I1597" s="4">
        <v>0</v>
      </c>
      <c r="J1597" s="4">
        <v>-0.40059550069543948</v>
      </c>
      <c r="K1597" s="5">
        <v>1</v>
      </c>
      <c r="L1597" s="5">
        <v>0</v>
      </c>
      <c r="M1597" s="5">
        <v>0</v>
      </c>
    </row>
    <row r="1598" spans="1:13" hidden="1" x14ac:dyDescent="0.25">
      <c r="A1598" t="s">
        <v>1609</v>
      </c>
      <c r="B1598" s="1">
        <v>2.9832042648359959E-2</v>
      </c>
      <c r="C1598" s="2">
        <v>8.5002015935350543E-6</v>
      </c>
      <c r="D1598" s="2"/>
      <c r="E1598" s="2">
        <v>0.63011232318084853</v>
      </c>
      <c r="F1598" s="3">
        <v>146.8514650610272</v>
      </c>
      <c r="G1598" s="3">
        <v>1</v>
      </c>
      <c r="H1598" s="2">
        <v>5.4188793757450959E-5</v>
      </c>
      <c r="I1598" s="4">
        <v>0</v>
      </c>
      <c r="J1598" s="4">
        <v>0.63011232318084853</v>
      </c>
      <c r="K1598" s="5">
        <v>1</v>
      </c>
      <c r="L1598" s="5">
        <v>0</v>
      </c>
      <c r="M1598" s="5">
        <v>0</v>
      </c>
    </row>
    <row r="1599" spans="1:13" hidden="1" x14ac:dyDescent="0.25">
      <c r="A1599" t="s">
        <v>1610</v>
      </c>
      <c r="B1599" s="1">
        <v>2.9808577676690338E-2</v>
      </c>
      <c r="C1599" s="2">
        <v>8.4935155951296028E-6</v>
      </c>
      <c r="D1599" s="2"/>
      <c r="E1599" s="2">
        <v>0.18831174215300089</v>
      </c>
      <c r="F1599" s="3">
        <v>107.0511018184787</v>
      </c>
      <c r="G1599" s="3">
        <v>1</v>
      </c>
      <c r="H1599" s="2">
        <v>5.4188793757450959E-5</v>
      </c>
      <c r="I1599" s="4">
        <v>5.5511151231257827E-17</v>
      </c>
      <c r="J1599" s="4">
        <v>0.18831174215300089</v>
      </c>
      <c r="K1599" s="5">
        <v>1</v>
      </c>
      <c r="L1599" s="5">
        <v>0</v>
      </c>
      <c r="M1599" s="5">
        <v>0</v>
      </c>
    </row>
    <row r="1600" spans="1:13" hidden="1" x14ac:dyDescent="0.25">
      <c r="A1600" t="s">
        <v>1611</v>
      </c>
      <c r="B1600" s="1">
        <v>2.9800435573319229E-2</v>
      </c>
      <c r="C1600" s="2">
        <v>8.4911956225797624E-6</v>
      </c>
      <c r="D1600" s="2"/>
      <c r="E1600" s="2">
        <v>-0.57646986616347329</v>
      </c>
      <c r="F1600" s="3">
        <v>38.154438664707087</v>
      </c>
      <c r="G1600" s="3">
        <v>1</v>
      </c>
      <c r="H1600" s="2">
        <v>5.4188793757450959E-5</v>
      </c>
      <c r="I1600" s="4">
        <v>1.110223024625157E-16</v>
      </c>
      <c r="J1600" s="4">
        <v>-0.5764698661634734</v>
      </c>
      <c r="K1600" s="5">
        <v>1</v>
      </c>
      <c r="L1600" s="5">
        <v>0</v>
      </c>
      <c r="M1600" s="5">
        <v>0</v>
      </c>
    </row>
    <row r="1601" spans="1:13" hidden="1" x14ac:dyDescent="0.25">
      <c r="A1601" t="s">
        <v>1612</v>
      </c>
      <c r="B1601" s="1">
        <v>2.9797912263919361E-2</v>
      </c>
      <c r="C1601" s="2">
        <v>8.4904766426951295E-6</v>
      </c>
      <c r="D1601" s="2"/>
      <c r="E1601" s="2">
        <v>0.47841633452018889</v>
      </c>
      <c r="F1601" s="3">
        <v>133.18567169089309</v>
      </c>
      <c r="G1601" s="3">
        <v>2</v>
      </c>
      <c r="H1601" s="2">
        <v>1.083775875149019E-4</v>
      </c>
      <c r="I1601" s="4">
        <v>1.6653345369377351E-16</v>
      </c>
      <c r="J1601" s="4">
        <v>0.47841633452018872</v>
      </c>
      <c r="K1601" s="5">
        <v>2</v>
      </c>
      <c r="L1601" s="5">
        <v>0</v>
      </c>
      <c r="M1601" s="5">
        <v>0</v>
      </c>
    </row>
    <row r="1602" spans="1:13" hidden="1" x14ac:dyDescent="0.25">
      <c r="A1602" t="s">
        <v>1613</v>
      </c>
      <c r="B1602" s="1">
        <v>2.978591244418255E-2</v>
      </c>
      <c r="C1602" s="2">
        <v>8.4870574706306716E-6</v>
      </c>
      <c r="D1602" s="2"/>
      <c r="E1602" s="2">
        <v>0.1209106545956746</v>
      </c>
      <c r="F1602" s="3">
        <v>100.9791592205686</v>
      </c>
      <c r="G1602" s="3">
        <v>1</v>
      </c>
      <c r="H1602" s="2">
        <v>5.4188793757450959E-5</v>
      </c>
      <c r="I1602" s="4">
        <v>-4.163336342344337E-17</v>
      </c>
      <c r="J1602" s="4">
        <v>0.1209106545956747</v>
      </c>
      <c r="K1602" s="5">
        <v>1</v>
      </c>
      <c r="L1602" s="5">
        <v>0</v>
      </c>
      <c r="M1602" s="5">
        <v>0</v>
      </c>
    </row>
    <row r="1603" spans="1:13" hidden="1" x14ac:dyDescent="0.25">
      <c r="A1603" t="s">
        <v>1614</v>
      </c>
      <c r="B1603" s="1">
        <v>2.9742343542339941E-2</v>
      </c>
      <c r="C1603" s="2">
        <v>8.4746431531386892E-6</v>
      </c>
      <c r="D1603" s="2"/>
      <c r="E1603" s="2">
        <v>0.81329797759513234</v>
      </c>
      <c r="F1603" s="3">
        <v>163.35405899051079</v>
      </c>
      <c r="G1603" s="3">
        <v>1</v>
      </c>
      <c r="H1603" s="2">
        <v>5.4188793757450959E-5</v>
      </c>
      <c r="I1603" s="4">
        <v>0</v>
      </c>
      <c r="J1603" s="4">
        <v>0.81329797759513234</v>
      </c>
      <c r="K1603" s="5">
        <v>0</v>
      </c>
      <c r="L1603" s="5">
        <v>0</v>
      </c>
      <c r="M1603" s="5">
        <v>0</v>
      </c>
    </row>
    <row r="1604" spans="1:13" hidden="1" x14ac:dyDescent="0.25">
      <c r="A1604" t="s">
        <v>1615</v>
      </c>
      <c r="B1604" s="1">
        <v>2.9725844805620589E-2</v>
      </c>
      <c r="C1604" s="2">
        <v>8.4699420808786935E-6</v>
      </c>
      <c r="D1604" s="2"/>
      <c r="E1604" s="2">
        <v>-0.27018204658288969</v>
      </c>
      <c r="F1604" s="3">
        <v>65.746902322664639</v>
      </c>
      <c r="G1604" s="3">
        <v>1</v>
      </c>
      <c r="H1604" s="2">
        <v>5.4188793757450959E-5</v>
      </c>
      <c r="I1604" s="4">
        <v>-5.5511151231257827E-17</v>
      </c>
      <c r="J1604" s="4">
        <v>-0.27018204658288958</v>
      </c>
      <c r="K1604" s="5">
        <v>1</v>
      </c>
      <c r="L1604" s="5">
        <v>0</v>
      </c>
      <c r="M1604" s="5">
        <v>0</v>
      </c>
    </row>
    <row r="1605" spans="1:13" hidden="1" x14ac:dyDescent="0.25">
      <c r="A1605" t="s">
        <v>1616</v>
      </c>
      <c r="B1605" s="1">
        <v>2.9698001580953339E-2</v>
      </c>
      <c r="C1605" s="2">
        <v>8.4620085637047139E-6</v>
      </c>
      <c r="D1605" s="2"/>
      <c r="E1605" s="2">
        <v>0.89389515762806382</v>
      </c>
      <c r="F1605" s="3">
        <v>170.61479421673619</v>
      </c>
      <c r="G1605" s="3">
        <v>2</v>
      </c>
      <c r="H1605" s="2">
        <v>1.083775875149019E-4</v>
      </c>
      <c r="I1605" s="4">
        <v>2.2204460492503131E-16</v>
      </c>
      <c r="J1605" s="4">
        <v>0.8938951576280636</v>
      </c>
      <c r="K1605" s="5">
        <v>2</v>
      </c>
      <c r="L1605" s="5">
        <v>0</v>
      </c>
      <c r="M1605" s="5">
        <v>0</v>
      </c>
    </row>
    <row r="1606" spans="1:13" hidden="1" x14ac:dyDescent="0.25">
      <c r="A1606" t="s">
        <v>1617</v>
      </c>
      <c r="B1606" s="1">
        <v>2.964427916221871E-2</v>
      </c>
      <c r="C1606" s="2">
        <v>8.4467011509767494E-6</v>
      </c>
      <c r="D1606" s="2"/>
      <c r="E1606" s="2">
        <v>0.35510448625115743</v>
      </c>
      <c r="F1606" s="3">
        <v>122.0769123004021</v>
      </c>
      <c r="G1606" s="3">
        <v>1</v>
      </c>
      <c r="H1606" s="2">
        <v>5.4188793757450959E-5</v>
      </c>
      <c r="I1606" s="4">
        <v>0</v>
      </c>
      <c r="J1606" s="4">
        <v>0.35510448625115743</v>
      </c>
      <c r="K1606" s="5">
        <v>1</v>
      </c>
      <c r="L1606" s="5">
        <v>0</v>
      </c>
      <c r="M1606" s="5">
        <v>0</v>
      </c>
    </row>
    <row r="1607" spans="1:13" hidden="1" x14ac:dyDescent="0.25">
      <c r="A1607" t="s">
        <v>1618</v>
      </c>
      <c r="B1607" s="1">
        <v>2.963678789523318E-2</v>
      </c>
      <c r="C1607" s="2">
        <v>8.4445666246783477E-6</v>
      </c>
      <c r="D1607" s="2"/>
      <c r="E1607" s="2">
        <v>0.65275674280368068</v>
      </c>
      <c r="F1607" s="3">
        <v>148.89142644882949</v>
      </c>
      <c r="G1607" s="3">
        <v>1</v>
      </c>
      <c r="H1607" s="2">
        <v>5.4188793757450959E-5</v>
      </c>
      <c r="I1607" s="4">
        <v>-3.3306690738754701E-16</v>
      </c>
      <c r="J1607" s="4">
        <v>0.65275674280368101</v>
      </c>
      <c r="K1607" s="5">
        <v>1</v>
      </c>
      <c r="L1607" s="5">
        <v>0</v>
      </c>
      <c r="M1607" s="5">
        <v>0</v>
      </c>
    </row>
    <row r="1608" spans="1:13" hidden="1" x14ac:dyDescent="0.25">
      <c r="A1608" t="s">
        <v>1619</v>
      </c>
      <c r="B1608" s="1">
        <v>2.9622150616371589E-2</v>
      </c>
      <c r="C1608" s="2">
        <v>8.440395947444779E-6</v>
      </c>
      <c r="D1608" s="2"/>
      <c r="E1608" s="2">
        <v>8.6618173510654817E-2</v>
      </c>
      <c r="F1608" s="3">
        <v>97.889862233913021</v>
      </c>
      <c r="G1608" s="3">
        <v>1</v>
      </c>
      <c r="H1608" s="2">
        <v>5.4188793757450959E-5</v>
      </c>
      <c r="I1608" s="4">
        <v>-5.5511151231257827E-17</v>
      </c>
      <c r="J1608" s="4">
        <v>8.6618173510654872E-2</v>
      </c>
      <c r="K1608" s="5">
        <v>1</v>
      </c>
      <c r="L1608" s="5">
        <v>0</v>
      </c>
      <c r="M1608" s="5">
        <v>0</v>
      </c>
    </row>
    <row r="1609" spans="1:13" hidden="1" x14ac:dyDescent="0.25">
      <c r="A1609" t="s">
        <v>1620</v>
      </c>
      <c r="B1609" s="1">
        <v>2.9615443049186601E-2</v>
      </c>
      <c r="C1609" s="2">
        <v>8.4384847248729071E-6</v>
      </c>
      <c r="D1609" s="2"/>
      <c r="E1609" s="2">
        <v>-0.2523255198570723</v>
      </c>
      <c r="F1609" s="3">
        <v>67.355538165298384</v>
      </c>
      <c r="G1609" s="3">
        <v>1</v>
      </c>
      <c r="H1609" s="2">
        <v>5.4188793757450959E-5</v>
      </c>
      <c r="I1609" s="4">
        <v>5.5511151231257827E-17</v>
      </c>
      <c r="J1609" s="4">
        <v>-0.25232551985707241</v>
      </c>
      <c r="K1609" s="5">
        <v>1</v>
      </c>
      <c r="L1609" s="5">
        <v>0</v>
      </c>
      <c r="M1609" s="5">
        <v>0</v>
      </c>
    </row>
    <row r="1610" spans="1:13" hidden="1" x14ac:dyDescent="0.25">
      <c r="A1610" t="s">
        <v>1621</v>
      </c>
      <c r="B1610" s="1">
        <v>2.959011571955121E-2</v>
      </c>
      <c r="C1610" s="2">
        <v>8.4312680749684933E-6</v>
      </c>
      <c r="D1610" s="2"/>
      <c r="E1610" s="2" t="s">
        <v>303</v>
      </c>
      <c r="F1610" s="3" t="s">
        <v>303</v>
      </c>
      <c r="G1610" s="3">
        <v>1</v>
      </c>
      <c r="H1610" s="2">
        <v>5.4188793757450959E-5</v>
      </c>
      <c r="I1610" s="4" t="s">
        <v>303</v>
      </c>
      <c r="J1610" s="4">
        <v>0</v>
      </c>
      <c r="K1610" s="5">
        <v>1</v>
      </c>
      <c r="L1610" s="5">
        <v>0</v>
      </c>
      <c r="M1610" s="5">
        <v>0</v>
      </c>
    </row>
    <row r="1611" spans="1:13" hidden="1" x14ac:dyDescent="0.25">
      <c r="A1611" t="s">
        <v>1622</v>
      </c>
      <c r="B1611" s="1">
        <v>2.9482843947467072E-2</v>
      </c>
      <c r="C1611" s="2">
        <v>8.4007025619475133E-6</v>
      </c>
      <c r="D1611" s="2"/>
      <c r="E1611" s="2">
        <v>0.56992559101746565</v>
      </c>
      <c r="F1611" s="3">
        <v>141.42944004487259</v>
      </c>
      <c r="G1611" s="3">
        <v>1</v>
      </c>
      <c r="H1611" s="2">
        <v>5.4188793757450959E-5</v>
      </c>
      <c r="I1611" s="4">
        <v>-2.2204460492503131E-16</v>
      </c>
      <c r="J1611" s="4">
        <v>0.56992559101746587</v>
      </c>
      <c r="K1611" s="5">
        <v>1</v>
      </c>
      <c r="L1611" s="5">
        <v>0</v>
      </c>
      <c r="M1611" s="5">
        <v>1</v>
      </c>
    </row>
    <row r="1612" spans="1:13" hidden="1" x14ac:dyDescent="0.25">
      <c r="A1612" t="s">
        <v>1623</v>
      </c>
      <c r="B1612" s="1">
        <v>2.9479107300126269E-2</v>
      </c>
      <c r="C1612" s="2">
        <v>8.399637859270086E-6</v>
      </c>
      <c r="D1612" s="2"/>
      <c r="E1612" s="2">
        <v>-5.1508963753846393E-2</v>
      </c>
      <c r="F1612" s="3">
        <v>85.446442118913211</v>
      </c>
      <c r="G1612" s="3">
        <v>1</v>
      </c>
      <c r="H1612" s="2">
        <v>5.4188793757450959E-5</v>
      </c>
      <c r="I1612" s="4">
        <v>1.9428902930940239E-16</v>
      </c>
      <c r="J1612" s="4">
        <v>-5.1508963753846587E-2</v>
      </c>
      <c r="K1612" s="5">
        <v>1</v>
      </c>
      <c r="L1612" s="5">
        <v>0</v>
      </c>
      <c r="M1612" s="5">
        <v>0</v>
      </c>
    </row>
    <row r="1613" spans="1:13" hidden="1" x14ac:dyDescent="0.25">
      <c r="A1613" t="s">
        <v>1624</v>
      </c>
      <c r="B1613" s="1">
        <v>2.947821998533301E-2</v>
      </c>
      <c r="C1613" s="2">
        <v>8.399385031976009E-6</v>
      </c>
      <c r="D1613" s="2"/>
      <c r="E1613" s="2">
        <v>0.68763090603817267</v>
      </c>
      <c r="F1613" s="3">
        <v>152.0331252697851</v>
      </c>
      <c r="G1613" s="3">
        <v>2</v>
      </c>
      <c r="H1613" s="2">
        <v>1.083775875149019E-4</v>
      </c>
      <c r="I1613" s="4">
        <v>1.110223024625157E-16</v>
      </c>
      <c r="J1613" s="4">
        <v>0.68763090603817256</v>
      </c>
      <c r="K1613" s="5">
        <v>2</v>
      </c>
      <c r="L1613" s="5">
        <v>0</v>
      </c>
      <c r="M1613" s="5">
        <v>0</v>
      </c>
    </row>
    <row r="1614" spans="1:13" hidden="1" x14ac:dyDescent="0.25">
      <c r="A1614" t="s">
        <v>1625</v>
      </c>
      <c r="B1614" s="1">
        <v>2.938528093960199E-2</v>
      </c>
      <c r="C1614" s="2">
        <v>8.3729034184325978E-6</v>
      </c>
      <c r="D1614" s="2"/>
      <c r="E1614" s="2">
        <v>0.13210994814528229</v>
      </c>
      <c r="F1614" s="3">
        <v>101.9880667921642</v>
      </c>
      <c r="G1614" s="3">
        <v>1</v>
      </c>
      <c r="H1614" s="2">
        <v>5.4188793757450959E-5</v>
      </c>
      <c r="I1614" s="4">
        <v>-2.775557561562891E-17</v>
      </c>
      <c r="J1614" s="4">
        <v>0.13210994814528229</v>
      </c>
      <c r="K1614" s="5">
        <v>1</v>
      </c>
      <c r="L1614" s="5">
        <v>0</v>
      </c>
      <c r="M1614" s="5">
        <v>1</v>
      </c>
    </row>
    <row r="1615" spans="1:13" hidden="1" x14ac:dyDescent="0.25">
      <c r="A1615" t="s">
        <v>1626</v>
      </c>
      <c r="B1615" s="1">
        <v>2.9329404904419501E-2</v>
      </c>
      <c r="C1615" s="2">
        <v>8.3569823643868829E-6</v>
      </c>
      <c r="D1615" s="2"/>
      <c r="E1615" s="2">
        <v>1.820022459471033</v>
      </c>
      <c r="F1615" s="3">
        <v>254.04656095736939</v>
      </c>
      <c r="G1615" s="3">
        <v>1</v>
      </c>
      <c r="H1615" s="2">
        <v>5.4188793757450959E-5</v>
      </c>
      <c r="I1615" s="4">
        <v>0</v>
      </c>
      <c r="J1615" s="4">
        <v>1.820022459471033</v>
      </c>
      <c r="K1615" s="5">
        <v>1</v>
      </c>
      <c r="L1615" s="5">
        <v>0</v>
      </c>
      <c r="M1615" s="5">
        <v>0</v>
      </c>
    </row>
    <row r="1616" spans="1:13" hidden="1" x14ac:dyDescent="0.25">
      <c r="A1616" t="s">
        <v>1627</v>
      </c>
      <c r="B1616" s="1">
        <v>2.9288281711789609E-2</v>
      </c>
      <c r="C1616" s="2">
        <v>8.3452649157480439E-6</v>
      </c>
      <c r="D1616" s="2"/>
      <c r="E1616" s="2">
        <v>0.83202163143217378</v>
      </c>
      <c r="F1616" s="3">
        <v>165.04081146649949</v>
      </c>
      <c r="G1616" s="3">
        <v>1</v>
      </c>
      <c r="H1616" s="2">
        <v>5.4188793757450959E-5</v>
      </c>
      <c r="I1616" s="4">
        <v>0</v>
      </c>
      <c r="J1616" s="4">
        <v>0.83202163143217378</v>
      </c>
      <c r="K1616" s="5">
        <v>1</v>
      </c>
      <c r="L1616" s="5">
        <v>0</v>
      </c>
      <c r="M1616" s="5">
        <v>0</v>
      </c>
    </row>
    <row r="1617" spans="1:13" hidden="1" x14ac:dyDescent="0.25">
      <c r="A1617" t="s">
        <v>1628</v>
      </c>
      <c r="B1617" s="1">
        <v>2.928096923324541E-2</v>
      </c>
      <c r="C1617" s="2">
        <v>8.3431813325852401E-6</v>
      </c>
      <c r="D1617" s="2"/>
      <c r="E1617" s="2">
        <v>2.861158883694273</v>
      </c>
      <c r="F1617" s="3">
        <v>347.83912178363317</v>
      </c>
      <c r="G1617" s="3">
        <v>1</v>
      </c>
      <c r="H1617" s="2">
        <v>5.4188793757450959E-5</v>
      </c>
      <c r="I1617" s="4">
        <v>0</v>
      </c>
      <c r="J1617" s="4">
        <v>2.861158883694273</v>
      </c>
      <c r="K1617" s="5">
        <v>1</v>
      </c>
      <c r="L1617" s="5">
        <v>0</v>
      </c>
      <c r="M1617" s="5">
        <v>0</v>
      </c>
    </row>
    <row r="1618" spans="1:13" hidden="1" x14ac:dyDescent="0.25">
      <c r="A1618" t="s">
        <v>1629</v>
      </c>
      <c r="B1618" s="1">
        <v>2.9214495421739279E-2</v>
      </c>
      <c r="C1618" s="2">
        <v>8.3242405981154954E-6</v>
      </c>
      <c r="D1618" s="2"/>
      <c r="E1618" s="2">
        <v>-0.26303279002681329</v>
      </c>
      <c r="F1618" s="3">
        <v>66.390955363935021</v>
      </c>
      <c r="G1618" s="3">
        <v>2</v>
      </c>
      <c r="H1618" s="2">
        <v>1.083775875149019E-4</v>
      </c>
      <c r="I1618" s="4">
        <v>5.5511151231257827E-17</v>
      </c>
      <c r="J1618" s="4">
        <v>-0.2630327900268134</v>
      </c>
      <c r="K1618" s="5">
        <v>2</v>
      </c>
      <c r="L1618" s="5">
        <v>0</v>
      </c>
      <c r="M1618" s="5">
        <v>0</v>
      </c>
    </row>
    <row r="1619" spans="1:13" hidden="1" x14ac:dyDescent="0.25">
      <c r="A1619" t="s">
        <v>1630</v>
      </c>
      <c r="B1619" s="1">
        <v>2.918676882568751E-2</v>
      </c>
      <c r="C1619" s="2">
        <v>8.3163403125493805E-6</v>
      </c>
      <c r="D1619" s="2"/>
      <c r="E1619" s="2">
        <v>-0.33975083336105222</v>
      </c>
      <c r="F1619" s="3">
        <v>59.479678821797947</v>
      </c>
      <c r="G1619" s="3">
        <v>1</v>
      </c>
      <c r="H1619" s="2">
        <v>5.4188793757450959E-5</v>
      </c>
      <c r="I1619" s="4">
        <v>0</v>
      </c>
      <c r="J1619" s="4">
        <v>-0.33975083336105222</v>
      </c>
      <c r="K1619" s="5">
        <v>1</v>
      </c>
      <c r="L1619" s="5">
        <v>0</v>
      </c>
      <c r="M1619" s="5">
        <v>1</v>
      </c>
    </row>
    <row r="1620" spans="1:13" hidden="1" x14ac:dyDescent="0.25">
      <c r="A1620" t="s">
        <v>1631</v>
      </c>
      <c r="B1620" s="1">
        <v>2.918302845109479E-2</v>
      </c>
      <c r="C1620" s="2">
        <v>8.3152745478463637E-6</v>
      </c>
      <c r="D1620" s="2"/>
      <c r="E1620" s="2">
        <v>0.25218092226858779</v>
      </c>
      <c r="F1620" s="3">
        <v>112.80486647557829</v>
      </c>
      <c r="G1620" s="3">
        <v>1</v>
      </c>
      <c r="H1620" s="2">
        <v>5.4188793757450959E-5</v>
      </c>
      <c r="I1620" s="4">
        <v>1.110223024625157E-16</v>
      </c>
      <c r="J1620" s="4">
        <v>0.25218092226858768</v>
      </c>
      <c r="K1620" s="5">
        <v>1</v>
      </c>
      <c r="L1620" s="5">
        <v>0</v>
      </c>
      <c r="M1620" s="5">
        <v>0</v>
      </c>
    </row>
    <row r="1621" spans="1:13" hidden="1" x14ac:dyDescent="0.25">
      <c r="A1621" t="s">
        <v>1632</v>
      </c>
      <c r="B1621" s="1">
        <v>2.9172284745573668E-2</v>
      </c>
      <c r="C1621" s="2">
        <v>8.3122132870447634E-6</v>
      </c>
      <c r="D1621" s="2"/>
      <c r="E1621" s="2">
        <v>-0.63850272183887991</v>
      </c>
      <c r="F1621" s="3">
        <v>32.566102444981411</v>
      </c>
      <c r="G1621" s="3">
        <v>1</v>
      </c>
      <c r="H1621" s="2">
        <v>5.4188793757450959E-5</v>
      </c>
      <c r="I1621" s="4">
        <v>0</v>
      </c>
      <c r="J1621" s="4">
        <v>-0.63850272183887991</v>
      </c>
      <c r="K1621" s="5">
        <v>1</v>
      </c>
      <c r="L1621" s="5">
        <v>0</v>
      </c>
      <c r="M1621" s="5">
        <v>0</v>
      </c>
    </row>
    <row r="1622" spans="1:13" hidden="1" x14ac:dyDescent="0.25">
      <c r="A1622" t="s">
        <v>1633</v>
      </c>
      <c r="B1622" s="1">
        <v>2.9172254556983478E-2</v>
      </c>
      <c r="C1622" s="2">
        <v>8.3122046852501955E-6</v>
      </c>
      <c r="D1622" s="2"/>
      <c r="E1622" s="2">
        <v>7.4875782959912316</v>
      </c>
      <c r="F1622" s="3">
        <v>764.6180510766003</v>
      </c>
      <c r="G1622" s="3">
        <v>1</v>
      </c>
      <c r="H1622" s="2">
        <v>5.4188793757450959E-5</v>
      </c>
      <c r="I1622" s="4">
        <v>8.8817841970012523E-16</v>
      </c>
      <c r="J1622" s="4">
        <v>7.4875782959912316</v>
      </c>
      <c r="K1622" s="5">
        <v>1</v>
      </c>
      <c r="L1622" s="5">
        <v>0</v>
      </c>
      <c r="M1622" s="5">
        <v>0</v>
      </c>
    </row>
    <row r="1623" spans="1:13" hidden="1" x14ac:dyDescent="0.25">
      <c r="A1623" t="s">
        <v>1634</v>
      </c>
      <c r="B1623" s="1">
        <v>2.9139587462476309E-2</v>
      </c>
      <c r="C1623" s="2">
        <v>8.3028966773454381E-6</v>
      </c>
      <c r="D1623" s="2"/>
      <c r="E1623" s="2">
        <v>3.2117296893681209</v>
      </c>
      <c r="F1623" s="3">
        <v>379.42089421043897</v>
      </c>
      <c r="G1623" s="3">
        <v>1</v>
      </c>
      <c r="H1623" s="2">
        <v>5.4188793757450959E-5</v>
      </c>
      <c r="I1623" s="4">
        <v>0</v>
      </c>
      <c r="J1623" s="4">
        <v>3.2117296893681209</v>
      </c>
      <c r="K1623" s="5">
        <v>1</v>
      </c>
      <c r="L1623" s="5">
        <v>0</v>
      </c>
      <c r="M1623" s="5">
        <v>0</v>
      </c>
    </row>
    <row r="1624" spans="1:13" hidden="1" x14ac:dyDescent="0.25">
      <c r="A1624" t="s">
        <v>1635</v>
      </c>
      <c r="B1624" s="1">
        <v>2.9038735784932171E-2</v>
      </c>
      <c r="C1624" s="2">
        <v>8.2741604757961095E-6</v>
      </c>
      <c r="D1624" s="2"/>
      <c r="E1624" s="2">
        <v>-0.64306440888222904</v>
      </c>
      <c r="F1624" s="3">
        <v>32.155155042192277</v>
      </c>
      <c r="G1624" s="3">
        <v>2</v>
      </c>
      <c r="H1624" s="2">
        <v>1.083775875149019E-4</v>
      </c>
      <c r="I1624" s="4">
        <v>-0.45240303934228387</v>
      </c>
      <c r="J1624" s="4">
        <v>-0.1906613695399452</v>
      </c>
      <c r="K1624" s="5">
        <v>2</v>
      </c>
      <c r="L1624" s="5">
        <v>0</v>
      </c>
      <c r="M1624" s="5">
        <v>0</v>
      </c>
    </row>
    <row r="1625" spans="1:13" hidden="1" x14ac:dyDescent="0.25">
      <c r="A1625" t="s">
        <v>1636</v>
      </c>
      <c r="B1625" s="1">
        <v>2.901850749676917E-2</v>
      </c>
      <c r="C1625" s="2">
        <v>8.2683967227301755E-6</v>
      </c>
      <c r="D1625" s="2"/>
      <c r="E1625" s="2">
        <v>-0.46191822841939062</v>
      </c>
      <c r="F1625" s="3">
        <v>48.474019462080378</v>
      </c>
      <c r="G1625" s="3">
        <v>1</v>
      </c>
      <c r="H1625" s="2">
        <v>5.4188793757450959E-5</v>
      </c>
      <c r="I1625" s="4">
        <v>0</v>
      </c>
      <c r="J1625" s="4">
        <v>-0.46191822841939062</v>
      </c>
      <c r="K1625" s="5">
        <v>1</v>
      </c>
      <c r="L1625" s="5">
        <v>0</v>
      </c>
      <c r="M1625" s="5">
        <v>0</v>
      </c>
    </row>
    <row r="1626" spans="1:13" hidden="1" x14ac:dyDescent="0.25">
      <c r="A1626" t="s">
        <v>1637</v>
      </c>
      <c r="B1626" s="1">
        <v>2.901850749676917E-2</v>
      </c>
      <c r="C1626" s="2">
        <v>8.2683967227301721E-6</v>
      </c>
      <c r="D1626" s="2"/>
      <c r="E1626" s="2">
        <v>-0.40874881279526087</v>
      </c>
      <c r="F1626" s="3">
        <v>53.263877479720698</v>
      </c>
      <c r="G1626" s="3">
        <v>1</v>
      </c>
      <c r="H1626" s="2">
        <v>5.4188793757450959E-5</v>
      </c>
      <c r="I1626" s="4">
        <v>0</v>
      </c>
      <c r="J1626" s="4">
        <v>-0.40874881279526087</v>
      </c>
      <c r="K1626" s="5">
        <v>1</v>
      </c>
      <c r="L1626" s="5">
        <v>0</v>
      </c>
      <c r="M1626" s="5">
        <v>0</v>
      </c>
    </row>
    <row r="1627" spans="1:13" hidden="1" x14ac:dyDescent="0.25">
      <c r="A1627" t="s">
        <v>1638</v>
      </c>
      <c r="B1627" s="1">
        <v>2.9012179282714191E-2</v>
      </c>
      <c r="C1627" s="2">
        <v>8.2665935912507632E-6</v>
      </c>
      <c r="D1627" s="2"/>
      <c r="E1627" s="2">
        <v>-0.4739760236810982</v>
      </c>
      <c r="F1627" s="3">
        <v>47.38777229100662</v>
      </c>
      <c r="G1627" s="3">
        <v>1</v>
      </c>
      <c r="H1627" s="2">
        <v>5.4188793757450959E-5</v>
      </c>
      <c r="I1627" s="4">
        <v>0</v>
      </c>
      <c r="J1627" s="4">
        <v>-0.4739760236810982</v>
      </c>
      <c r="K1627" s="5">
        <v>1</v>
      </c>
      <c r="L1627" s="5">
        <v>0</v>
      </c>
      <c r="M1627" s="5">
        <v>0</v>
      </c>
    </row>
    <row r="1628" spans="1:13" hidden="1" x14ac:dyDescent="0.25">
      <c r="A1628" t="s">
        <v>1639</v>
      </c>
      <c r="B1628" s="1">
        <v>2.8962738530148871E-2</v>
      </c>
      <c r="C1628" s="2">
        <v>8.252506176295809E-6</v>
      </c>
      <c r="D1628" s="2"/>
      <c r="E1628" s="2">
        <v>-0.53628629230765767</v>
      </c>
      <c r="F1628" s="3">
        <v>41.774444849679568</v>
      </c>
      <c r="G1628" s="3">
        <v>3</v>
      </c>
      <c r="H1628" s="2">
        <v>1.6256638127235291E-4</v>
      </c>
      <c r="I1628" s="4">
        <v>-0.24374077621518511</v>
      </c>
      <c r="J1628" s="4">
        <v>-0.29254551609247259</v>
      </c>
      <c r="K1628" s="5">
        <v>2</v>
      </c>
      <c r="L1628" s="5">
        <v>2</v>
      </c>
      <c r="M1628" s="5">
        <v>0</v>
      </c>
    </row>
    <row r="1629" spans="1:13" hidden="1" x14ac:dyDescent="0.25">
      <c r="A1629" t="s">
        <v>1640</v>
      </c>
      <c r="B1629" s="1">
        <v>2.8954628106802681E-2</v>
      </c>
      <c r="C1629" s="2">
        <v>8.2501952305029208E-6</v>
      </c>
      <c r="D1629" s="2"/>
      <c r="E1629" s="2">
        <v>-0.68309605590019851</v>
      </c>
      <c r="F1629" s="3">
        <v>28.54883544703484</v>
      </c>
      <c r="G1629" s="3">
        <v>1</v>
      </c>
      <c r="H1629" s="2">
        <v>5.4188793757450959E-5</v>
      </c>
      <c r="I1629" s="4">
        <v>0</v>
      </c>
      <c r="J1629" s="4">
        <v>-0.68309605590019851</v>
      </c>
      <c r="K1629" s="5">
        <v>1</v>
      </c>
      <c r="L1629" s="5">
        <v>0</v>
      </c>
      <c r="M1629" s="5">
        <v>0</v>
      </c>
    </row>
    <row r="1630" spans="1:13" hidden="1" x14ac:dyDescent="0.25">
      <c r="A1630" t="s">
        <v>1641</v>
      </c>
      <c r="B1630" s="1">
        <v>2.891448049731624E-2</v>
      </c>
      <c r="C1630" s="2">
        <v>8.2387557599257358E-6</v>
      </c>
      <c r="D1630" s="2"/>
      <c r="E1630" s="2">
        <v>0.69574913951199258</v>
      </c>
      <c r="F1630" s="3">
        <v>152.76447025895229</v>
      </c>
      <c r="G1630" s="3">
        <v>1</v>
      </c>
      <c r="H1630" s="2">
        <v>5.4188793757450959E-5</v>
      </c>
      <c r="I1630" s="4">
        <v>0</v>
      </c>
      <c r="J1630" s="4">
        <v>0.69574913951199258</v>
      </c>
      <c r="K1630" s="5">
        <v>1</v>
      </c>
      <c r="L1630" s="5">
        <v>0</v>
      </c>
      <c r="M1630" s="5">
        <v>0</v>
      </c>
    </row>
    <row r="1631" spans="1:13" hidden="1" x14ac:dyDescent="0.25">
      <c r="A1631" t="s">
        <v>1642</v>
      </c>
      <c r="B1631" s="1">
        <v>2.8853629940216351E-2</v>
      </c>
      <c r="C1631" s="2">
        <v>8.2214172890565141E-6</v>
      </c>
      <c r="D1631" s="2"/>
      <c r="E1631" s="2">
        <v>0.18882491324571901</v>
      </c>
      <c r="F1631" s="3">
        <v>107.0973317167016</v>
      </c>
      <c r="G1631" s="3">
        <v>1</v>
      </c>
      <c r="H1631" s="2">
        <v>5.4188793757450959E-5</v>
      </c>
      <c r="I1631" s="4">
        <v>5.5511151231257827E-17</v>
      </c>
      <c r="J1631" s="4">
        <v>0.1888249132457189</v>
      </c>
      <c r="K1631" s="5">
        <v>1</v>
      </c>
      <c r="L1631" s="5">
        <v>0</v>
      </c>
      <c r="M1631" s="5">
        <v>0</v>
      </c>
    </row>
    <row r="1632" spans="1:13" hidden="1" x14ac:dyDescent="0.25">
      <c r="A1632" t="s">
        <v>1643</v>
      </c>
      <c r="B1632" s="1">
        <v>2.8839315750511421E-2</v>
      </c>
      <c r="C1632" s="2">
        <v>8.2173386713240895E-6</v>
      </c>
      <c r="D1632" s="2"/>
      <c r="E1632" s="2">
        <v>1.038768497456205</v>
      </c>
      <c r="F1632" s="3">
        <v>183.66595756266619</v>
      </c>
      <c r="G1632" s="3">
        <v>1</v>
      </c>
      <c r="H1632" s="2">
        <v>5.4188793757450959E-5</v>
      </c>
      <c r="I1632" s="4">
        <v>-2.2204460492503131E-16</v>
      </c>
      <c r="J1632" s="4">
        <v>1.038768497456205</v>
      </c>
      <c r="K1632" s="5">
        <v>1</v>
      </c>
      <c r="L1632" s="5">
        <v>0</v>
      </c>
      <c r="M1632" s="5">
        <v>0</v>
      </c>
    </row>
    <row r="1633" spans="1:13" hidden="1" x14ac:dyDescent="0.25">
      <c r="A1633" t="s">
        <v>1644</v>
      </c>
      <c r="B1633" s="1">
        <v>2.8650579697005931E-2</v>
      </c>
      <c r="C1633" s="2">
        <v>8.1635611100060383E-6</v>
      </c>
      <c r="D1633" s="2"/>
      <c r="E1633" s="2">
        <v>0.76562417964765417</v>
      </c>
      <c r="F1633" s="3">
        <v>159.05928311890119</v>
      </c>
      <c r="G1633" s="3">
        <v>1</v>
      </c>
      <c r="H1633" s="2">
        <v>5.4188793757450959E-5</v>
      </c>
      <c r="I1633" s="4">
        <v>0</v>
      </c>
      <c r="J1633" s="4">
        <v>0.76562417964765417</v>
      </c>
      <c r="K1633" s="5">
        <v>1</v>
      </c>
      <c r="L1633" s="5">
        <v>0</v>
      </c>
      <c r="M1633" s="5">
        <v>0</v>
      </c>
    </row>
    <row r="1634" spans="1:13" hidden="1" x14ac:dyDescent="0.25">
      <c r="A1634" t="s">
        <v>1645</v>
      </c>
      <c r="B1634" s="1">
        <v>2.8638970864486801E-2</v>
      </c>
      <c r="C1634" s="2">
        <v>8.1602533439961381E-6</v>
      </c>
      <c r="D1634" s="2"/>
      <c r="E1634" s="2">
        <v>-8.3265833512299325E-3</v>
      </c>
      <c r="F1634" s="3">
        <v>89.336600936050942</v>
      </c>
      <c r="G1634" s="3">
        <v>1</v>
      </c>
      <c r="H1634" s="2">
        <v>5.4188793757450959E-5</v>
      </c>
      <c r="I1634" s="4">
        <v>-4.163336342344337E-17</v>
      </c>
      <c r="J1634" s="4">
        <v>-8.3265833512298909E-3</v>
      </c>
      <c r="K1634" s="5">
        <v>1</v>
      </c>
      <c r="L1634" s="5">
        <v>0</v>
      </c>
      <c r="M1634" s="5">
        <v>1</v>
      </c>
    </row>
    <row r="1635" spans="1:13" hidden="1" x14ac:dyDescent="0.25">
      <c r="A1635" t="s">
        <v>1646</v>
      </c>
      <c r="B1635" s="1">
        <v>2.855199460694513E-2</v>
      </c>
      <c r="C1635" s="2">
        <v>8.1354707392087277E-6</v>
      </c>
      <c r="D1635" s="2"/>
      <c r="E1635" s="2">
        <v>-0.31881108714199252</v>
      </c>
      <c r="F1635" s="3">
        <v>61.366071781685967</v>
      </c>
      <c r="G1635" s="3">
        <v>1</v>
      </c>
      <c r="H1635" s="2">
        <v>5.4188793757450959E-5</v>
      </c>
      <c r="I1635" s="4">
        <v>5.5511151231257827E-17</v>
      </c>
      <c r="J1635" s="4">
        <v>-0.31881108714199252</v>
      </c>
      <c r="K1635" s="5">
        <v>1</v>
      </c>
      <c r="L1635" s="5">
        <v>0</v>
      </c>
      <c r="M1635" s="5">
        <v>0</v>
      </c>
    </row>
    <row r="1636" spans="1:13" hidden="1" x14ac:dyDescent="0.25">
      <c r="A1636" t="s">
        <v>1647</v>
      </c>
      <c r="B1636" s="1">
        <v>2.8539165925856681E-2</v>
      </c>
      <c r="C1636" s="2">
        <v>8.1318153952982774E-6</v>
      </c>
      <c r="D1636" s="2"/>
      <c r="E1636" s="2">
        <v>-0.76432471808017877</v>
      </c>
      <c r="F1636" s="3">
        <v>21.231212068296671</v>
      </c>
      <c r="G1636" s="3">
        <v>3</v>
      </c>
      <c r="H1636" s="2">
        <v>1.6256638127235291E-4</v>
      </c>
      <c r="I1636" s="4">
        <v>0.16911490843907551</v>
      </c>
      <c r="J1636" s="4">
        <v>-0.93343962651925438</v>
      </c>
      <c r="K1636" s="5">
        <v>2</v>
      </c>
      <c r="L1636" s="5">
        <v>0</v>
      </c>
      <c r="M1636" s="5">
        <v>2</v>
      </c>
    </row>
    <row r="1637" spans="1:13" hidden="1" x14ac:dyDescent="0.25">
      <c r="A1637" t="s">
        <v>1648</v>
      </c>
      <c r="B1637" s="1">
        <v>2.8481740466915921E-2</v>
      </c>
      <c r="C1637" s="2">
        <v>8.1154528557514057E-6</v>
      </c>
      <c r="D1637" s="2"/>
      <c r="E1637" s="2">
        <v>-0.17077300802855669</v>
      </c>
      <c r="F1637" s="3">
        <v>74.702336095182872</v>
      </c>
      <c r="G1637" s="3">
        <v>2</v>
      </c>
      <c r="H1637" s="2">
        <v>1.083775875149019E-4</v>
      </c>
      <c r="I1637" s="4">
        <v>-2.775557561562891E-17</v>
      </c>
      <c r="J1637" s="4">
        <v>-0.17077300802855661</v>
      </c>
      <c r="K1637" s="5">
        <v>2</v>
      </c>
      <c r="L1637" s="5">
        <v>0</v>
      </c>
      <c r="M1637" s="5">
        <v>0</v>
      </c>
    </row>
    <row r="1638" spans="1:13" hidden="1" x14ac:dyDescent="0.25">
      <c r="A1638" t="s">
        <v>1649</v>
      </c>
      <c r="B1638" s="1">
        <v>2.8478423530903959E-2</v>
      </c>
      <c r="C1638" s="2">
        <v>8.1145077436413571E-6</v>
      </c>
      <c r="D1638" s="2"/>
      <c r="E1638" s="2">
        <v>14.19000750617105</v>
      </c>
      <c r="F1638" s="3">
        <v>1368.4178843679249</v>
      </c>
      <c r="G1638" s="3">
        <v>1</v>
      </c>
      <c r="H1638" s="2">
        <v>5.4188793757450959E-5</v>
      </c>
      <c r="I1638" s="4">
        <v>0</v>
      </c>
      <c r="J1638" s="4">
        <v>14.19000750617105</v>
      </c>
      <c r="K1638" s="5">
        <v>1</v>
      </c>
      <c r="L1638" s="5">
        <v>0</v>
      </c>
      <c r="M1638" s="5">
        <v>0</v>
      </c>
    </row>
    <row r="1639" spans="1:13" hidden="1" x14ac:dyDescent="0.25">
      <c r="A1639" t="s">
        <v>1650</v>
      </c>
      <c r="B1639" s="1">
        <v>2.8465118166746829E-2</v>
      </c>
      <c r="C1639" s="2">
        <v>8.1107165759045658E-6</v>
      </c>
      <c r="D1639" s="2"/>
      <c r="E1639" s="2">
        <v>-0.39334170854785111</v>
      </c>
      <c r="F1639" s="3">
        <v>54.651852896448553</v>
      </c>
      <c r="G1639" s="3">
        <v>1</v>
      </c>
      <c r="H1639" s="2">
        <v>5.4188793757450959E-5</v>
      </c>
      <c r="I1639" s="4">
        <v>0</v>
      </c>
      <c r="J1639" s="4">
        <v>-0.39334170854785111</v>
      </c>
      <c r="K1639" s="5">
        <v>1</v>
      </c>
      <c r="L1639" s="5">
        <v>0</v>
      </c>
      <c r="M1639" s="5">
        <v>0</v>
      </c>
    </row>
    <row r="1640" spans="1:13" hidden="1" x14ac:dyDescent="0.25">
      <c r="A1640" t="s">
        <v>1651</v>
      </c>
      <c r="B1640" s="1">
        <v>2.8418733642518661E-2</v>
      </c>
      <c r="C1640" s="2">
        <v>8.0974999882438705E-6</v>
      </c>
      <c r="D1640" s="2"/>
      <c r="E1640" s="2">
        <v>-0.88695641225201016</v>
      </c>
      <c r="F1640" s="3">
        <v>10.18372552644362</v>
      </c>
      <c r="G1640" s="3">
        <v>2</v>
      </c>
      <c r="H1640" s="2">
        <v>1.083775875149019E-4</v>
      </c>
      <c r="I1640" s="4">
        <v>-0.3286663017734161</v>
      </c>
      <c r="J1640" s="4">
        <v>-0.55829011047859389</v>
      </c>
      <c r="K1640" s="5">
        <v>1</v>
      </c>
      <c r="L1640" s="5">
        <v>0</v>
      </c>
      <c r="M1640" s="5">
        <v>0</v>
      </c>
    </row>
    <row r="1641" spans="1:13" hidden="1" x14ac:dyDescent="0.25">
      <c r="A1641" t="s">
        <v>1652</v>
      </c>
      <c r="B1641" s="1">
        <v>2.8405014135586298E-2</v>
      </c>
      <c r="C1641" s="2">
        <v>8.0935908166171216E-6</v>
      </c>
      <c r="D1641" s="2"/>
      <c r="E1641" s="2">
        <v>-7.9350260894978875E-2</v>
      </c>
      <c r="F1641" s="3">
        <v>82.938311104728442</v>
      </c>
      <c r="G1641" s="3">
        <v>1</v>
      </c>
      <c r="H1641" s="2">
        <v>5.4188793757450959E-5</v>
      </c>
      <c r="I1641" s="4">
        <v>4.163336342344337E-17</v>
      </c>
      <c r="J1641" s="4">
        <v>-7.9350260894978916E-2</v>
      </c>
      <c r="K1641" s="5">
        <v>1</v>
      </c>
      <c r="L1641" s="5">
        <v>1</v>
      </c>
      <c r="M1641" s="5">
        <v>0</v>
      </c>
    </row>
    <row r="1642" spans="1:13" hidden="1" x14ac:dyDescent="0.25">
      <c r="A1642" t="s">
        <v>1653</v>
      </c>
      <c r="B1642" s="1">
        <v>2.8401471628541539E-2</v>
      </c>
      <c r="C1642" s="2">
        <v>8.0925814313604044E-6</v>
      </c>
      <c r="D1642" s="2"/>
      <c r="E1642" s="2">
        <v>-0.56649891262175123</v>
      </c>
      <c r="F1642" s="3">
        <v>39.052689119497927</v>
      </c>
      <c r="G1642" s="3">
        <v>1</v>
      </c>
      <c r="H1642" s="2">
        <v>5.4188793757450959E-5</v>
      </c>
      <c r="I1642" s="4">
        <v>0</v>
      </c>
      <c r="J1642" s="4">
        <v>-0.56649891262175123</v>
      </c>
      <c r="K1642" s="5">
        <v>1</v>
      </c>
      <c r="L1642" s="5">
        <v>0</v>
      </c>
      <c r="M1642" s="5">
        <v>0</v>
      </c>
    </row>
    <row r="1643" spans="1:13" hidden="1" x14ac:dyDescent="0.25">
      <c r="A1643" t="s">
        <v>1654</v>
      </c>
      <c r="B1643" s="1">
        <v>2.8398857896690291E-2</v>
      </c>
      <c r="C1643" s="2">
        <v>8.091836686928756E-6</v>
      </c>
      <c r="D1643" s="2"/>
      <c r="E1643" s="2">
        <v>-3.005895310269268E-2</v>
      </c>
      <c r="F1643" s="3">
        <v>87.378803125515532</v>
      </c>
      <c r="G1643" s="3">
        <v>1</v>
      </c>
      <c r="H1643" s="2">
        <v>5.4188793757450959E-5</v>
      </c>
      <c r="I1643" s="4">
        <v>-2.0816681711721691E-17</v>
      </c>
      <c r="J1643" s="4">
        <v>-3.005895310269267E-2</v>
      </c>
      <c r="K1643" s="5">
        <v>1</v>
      </c>
      <c r="L1643" s="5">
        <v>0</v>
      </c>
      <c r="M1643" s="5">
        <v>0</v>
      </c>
    </row>
    <row r="1644" spans="1:13" hidden="1" x14ac:dyDescent="0.25">
      <c r="A1644" t="s">
        <v>1655</v>
      </c>
      <c r="B1644" s="1">
        <v>2.837319282368703E-2</v>
      </c>
      <c r="C1644" s="2">
        <v>8.0845238020213435E-6</v>
      </c>
      <c r="D1644" s="2"/>
      <c r="E1644" s="2">
        <v>0.15492021626956781</v>
      </c>
      <c r="F1644" s="3">
        <v>104.0429689267299</v>
      </c>
      <c r="G1644" s="3">
        <v>1</v>
      </c>
      <c r="H1644" s="2">
        <v>5.4188793757450959E-5</v>
      </c>
      <c r="I1644" s="4">
        <v>-8.3266726846886741E-17</v>
      </c>
      <c r="J1644" s="4">
        <v>0.15492021626956781</v>
      </c>
      <c r="K1644" s="5">
        <v>1</v>
      </c>
      <c r="L1644" s="5">
        <v>0</v>
      </c>
      <c r="M1644" s="5">
        <v>0</v>
      </c>
    </row>
    <row r="1645" spans="1:13" hidden="1" x14ac:dyDescent="0.25">
      <c r="A1645" t="s">
        <v>1656</v>
      </c>
      <c r="B1645" s="1">
        <v>2.835347389366431E-2</v>
      </c>
      <c r="C1645" s="2">
        <v>8.0789051830626056E-6</v>
      </c>
      <c r="D1645" s="2"/>
      <c r="E1645" s="2">
        <v>-0.45251196921734682</v>
      </c>
      <c r="F1645" s="3">
        <v>49.321398458558669</v>
      </c>
      <c r="G1645" s="3">
        <v>3</v>
      </c>
      <c r="H1645" s="2">
        <v>1.6256638127235291E-4</v>
      </c>
      <c r="I1645" s="4">
        <v>2.2204460492503131E-16</v>
      </c>
      <c r="J1645" s="4">
        <v>-0.4525119692173471</v>
      </c>
      <c r="K1645" s="5">
        <v>3</v>
      </c>
      <c r="L1645" s="5">
        <v>0</v>
      </c>
      <c r="M1645" s="5">
        <v>1</v>
      </c>
    </row>
    <row r="1646" spans="1:13" hidden="1" x14ac:dyDescent="0.25">
      <c r="A1646" t="s">
        <v>1657</v>
      </c>
      <c r="B1646" s="1">
        <v>2.8311800749207468E-2</v>
      </c>
      <c r="C1646" s="2">
        <v>8.0670310337428608E-6</v>
      </c>
      <c r="D1646" s="2"/>
      <c r="E1646" s="2">
        <v>-0.28838294971233708</v>
      </c>
      <c r="F1646" s="3">
        <v>64.107242740938588</v>
      </c>
      <c r="G1646" s="3">
        <v>1</v>
      </c>
      <c r="H1646" s="2">
        <v>5.4188793757450959E-5</v>
      </c>
      <c r="I1646" s="4">
        <v>0</v>
      </c>
      <c r="J1646" s="4">
        <v>-0.28838294971233708</v>
      </c>
      <c r="K1646" s="5">
        <v>1</v>
      </c>
      <c r="L1646" s="5">
        <v>0</v>
      </c>
      <c r="M1646" s="5">
        <v>0</v>
      </c>
    </row>
    <row r="1647" spans="1:13" hidden="1" x14ac:dyDescent="0.25">
      <c r="A1647" t="s">
        <v>1658</v>
      </c>
      <c r="B1647" s="1">
        <v>2.828590788424689E-2</v>
      </c>
      <c r="C1647" s="2">
        <v>8.0596532428690182E-6</v>
      </c>
      <c r="D1647" s="2"/>
      <c r="E1647" s="2">
        <v>-0.14189912256710779</v>
      </c>
      <c r="F1647" s="3">
        <v>77.303489599589355</v>
      </c>
      <c r="G1647" s="3">
        <v>1</v>
      </c>
      <c r="H1647" s="2">
        <v>5.4188793757450959E-5</v>
      </c>
      <c r="I1647" s="4">
        <v>2.775557561562891E-17</v>
      </c>
      <c r="J1647" s="4">
        <v>-0.14189912256710779</v>
      </c>
      <c r="K1647" s="5">
        <v>1</v>
      </c>
      <c r="L1647" s="5">
        <v>0</v>
      </c>
      <c r="M1647" s="5">
        <v>0</v>
      </c>
    </row>
    <row r="1648" spans="1:13" hidden="1" x14ac:dyDescent="0.25">
      <c r="A1648" t="s">
        <v>1659</v>
      </c>
      <c r="B1648" s="1">
        <v>2.8261590187547859E-2</v>
      </c>
      <c r="C1648" s="2">
        <v>8.0527242730137307E-6</v>
      </c>
      <c r="D1648" s="2"/>
      <c r="E1648" s="2">
        <v>0.2558252980913891</v>
      </c>
      <c r="F1648" s="3">
        <v>113.1331763234341</v>
      </c>
      <c r="G1648" s="3">
        <v>1</v>
      </c>
      <c r="H1648" s="2">
        <v>5.4188793757450959E-5</v>
      </c>
      <c r="I1648" s="4">
        <v>-5.5511151231257827E-17</v>
      </c>
      <c r="J1648" s="4">
        <v>0.25582529809138921</v>
      </c>
      <c r="K1648" s="5">
        <v>0</v>
      </c>
      <c r="L1648" s="5">
        <v>0</v>
      </c>
      <c r="M1648" s="5">
        <v>0</v>
      </c>
    </row>
    <row r="1649" spans="1:13" hidden="1" x14ac:dyDescent="0.25">
      <c r="A1649" t="s">
        <v>1660</v>
      </c>
      <c r="B1649" s="1">
        <v>2.825709159459323E-2</v>
      </c>
      <c r="C1649" s="2">
        <v>8.0514424651451771E-6</v>
      </c>
      <c r="D1649" s="2"/>
      <c r="E1649" s="2">
        <v>-0.40789242482635751</v>
      </c>
      <c r="F1649" s="3">
        <v>53.341026659016968</v>
      </c>
      <c r="G1649" s="3">
        <v>1</v>
      </c>
      <c r="H1649" s="2">
        <v>5.4188793757450959E-5</v>
      </c>
      <c r="I1649" s="4">
        <v>-5.5511151231257827E-17</v>
      </c>
      <c r="J1649" s="4">
        <v>-0.4078924248263574</v>
      </c>
      <c r="K1649" s="5">
        <v>1</v>
      </c>
      <c r="L1649" s="5">
        <v>0</v>
      </c>
      <c r="M1649" s="5">
        <v>0</v>
      </c>
    </row>
    <row r="1650" spans="1:13" hidden="1" x14ac:dyDescent="0.25">
      <c r="A1650" t="s">
        <v>1661</v>
      </c>
      <c r="B1650" s="1">
        <v>2.809784282024947E-2</v>
      </c>
      <c r="C1650" s="2">
        <v>8.0060668701381187E-6</v>
      </c>
      <c r="D1650" s="2"/>
      <c r="E1650" s="2">
        <v>-0.1108384640356074</v>
      </c>
      <c r="F1650" s="3">
        <v>80.101642307379848</v>
      </c>
      <c r="G1650" s="3">
        <v>1</v>
      </c>
      <c r="H1650" s="2">
        <v>5.4188793757450959E-5</v>
      </c>
      <c r="I1650" s="4">
        <v>5.5511151231257827E-17</v>
      </c>
      <c r="J1650" s="4">
        <v>-0.1108384640356074</v>
      </c>
      <c r="K1650" s="5">
        <v>1</v>
      </c>
      <c r="L1650" s="5">
        <v>0</v>
      </c>
      <c r="M1650" s="5">
        <v>0</v>
      </c>
    </row>
    <row r="1651" spans="1:13" hidden="1" x14ac:dyDescent="0.25">
      <c r="A1651" t="s">
        <v>1662</v>
      </c>
      <c r="B1651" s="1">
        <v>2.8001405318853451E-2</v>
      </c>
      <c r="C1651" s="2">
        <v>7.9785884231304644E-6</v>
      </c>
      <c r="D1651" s="2"/>
      <c r="E1651" s="2">
        <v>0.47628427817272029</v>
      </c>
      <c r="F1651" s="3">
        <v>132.9936017373285</v>
      </c>
      <c r="G1651" s="3">
        <v>4</v>
      </c>
      <c r="H1651" s="2">
        <v>2.1675517502980381E-4</v>
      </c>
      <c r="I1651" s="4">
        <v>0.44447866105178968</v>
      </c>
      <c r="J1651" s="4">
        <v>3.1805617120930538E-2</v>
      </c>
      <c r="K1651" s="5">
        <v>4</v>
      </c>
      <c r="L1651" s="5">
        <v>0</v>
      </c>
      <c r="M1651" s="5">
        <v>0</v>
      </c>
    </row>
    <row r="1652" spans="1:13" hidden="1" x14ac:dyDescent="0.25">
      <c r="A1652" t="s">
        <v>1663</v>
      </c>
      <c r="B1652" s="1">
        <v>2.7987491890503959E-2</v>
      </c>
      <c r="C1652" s="2">
        <v>7.9746239964493299E-6</v>
      </c>
      <c r="D1652" s="2"/>
      <c r="E1652" s="2">
        <v>-0.70673858118839905</v>
      </c>
      <c r="F1652" s="3">
        <v>26.418957998136211</v>
      </c>
      <c r="G1652" s="3">
        <v>1</v>
      </c>
      <c r="H1652" s="2">
        <v>5.4188793757450959E-5</v>
      </c>
      <c r="I1652" s="4">
        <v>0</v>
      </c>
      <c r="J1652" s="4">
        <v>-0.70673858118839905</v>
      </c>
      <c r="K1652" s="5">
        <v>1</v>
      </c>
      <c r="L1652" s="5">
        <v>0</v>
      </c>
      <c r="M1652" s="5">
        <v>0</v>
      </c>
    </row>
    <row r="1653" spans="1:13" hidden="1" x14ac:dyDescent="0.25">
      <c r="A1653" t="s">
        <v>1664</v>
      </c>
      <c r="B1653" s="1">
        <v>2.796522288717666E-2</v>
      </c>
      <c r="C1653" s="2">
        <v>7.968278771625127E-6</v>
      </c>
      <c r="D1653" s="2"/>
      <c r="E1653" s="2">
        <v>-0.64508072785701132</v>
      </c>
      <c r="F1653" s="3">
        <v>31.973511488391441</v>
      </c>
      <c r="G1653" s="3">
        <v>3</v>
      </c>
      <c r="H1653" s="2">
        <v>1.6256638127235291E-4</v>
      </c>
      <c r="I1653" s="4">
        <v>-0.47439996176909921</v>
      </c>
      <c r="J1653" s="4">
        <v>-0.17068076608791211</v>
      </c>
      <c r="K1653" s="5">
        <v>3</v>
      </c>
      <c r="L1653" s="5">
        <v>0</v>
      </c>
      <c r="M1653" s="5">
        <v>0</v>
      </c>
    </row>
    <row r="1654" spans="1:13" hidden="1" x14ac:dyDescent="0.25">
      <c r="A1654" t="s">
        <v>1665</v>
      </c>
      <c r="B1654" s="1">
        <v>2.7952915852125681E-2</v>
      </c>
      <c r="C1654" s="2">
        <v>7.9647720630773701E-6</v>
      </c>
      <c r="D1654" s="2"/>
      <c r="E1654" s="2">
        <v>-0.38571572312693903</v>
      </c>
      <c r="F1654" s="3">
        <v>55.338852875327127</v>
      </c>
      <c r="G1654" s="3">
        <v>1</v>
      </c>
      <c r="H1654" s="2">
        <v>5.4188793757450959E-5</v>
      </c>
      <c r="I1654" s="4">
        <v>0</v>
      </c>
      <c r="J1654" s="4">
        <v>-0.38571572312693903</v>
      </c>
      <c r="K1654" s="5">
        <v>1</v>
      </c>
      <c r="L1654" s="5">
        <v>0</v>
      </c>
      <c r="M1654" s="5">
        <v>0</v>
      </c>
    </row>
    <row r="1655" spans="1:13" hidden="1" x14ac:dyDescent="0.25">
      <c r="A1655" t="s">
        <v>1666</v>
      </c>
      <c r="B1655" s="1">
        <v>2.7942936163338549E-2</v>
      </c>
      <c r="C1655" s="2">
        <v>7.9619284976021111E-6</v>
      </c>
      <c r="D1655" s="2"/>
      <c r="E1655" s="2">
        <v>0.72532153295482815</v>
      </c>
      <c r="F1655" s="3">
        <v>155.42855005313939</v>
      </c>
      <c r="G1655" s="3">
        <v>1</v>
      </c>
      <c r="H1655" s="2">
        <v>5.4188793757450959E-5</v>
      </c>
      <c r="I1655" s="4">
        <v>1.110223024625157E-16</v>
      </c>
      <c r="J1655" s="4">
        <v>0.72532153295482804</v>
      </c>
      <c r="K1655" s="5">
        <v>1</v>
      </c>
      <c r="L1655" s="5">
        <v>0</v>
      </c>
      <c r="M1655" s="5">
        <v>0</v>
      </c>
    </row>
    <row r="1656" spans="1:13" hidden="1" x14ac:dyDescent="0.25">
      <c r="A1656" t="s">
        <v>1667</v>
      </c>
      <c r="B1656" s="1">
        <v>2.7925801198959301E-2</v>
      </c>
      <c r="C1656" s="2">
        <v>7.9570461416321057E-6</v>
      </c>
      <c r="D1656" s="2"/>
      <c r="E1656" s="2">
        <v>0.7388042269210906</v>
      </c>
      <c r="F1656" s="3">
        <v>156.6431616684001</v>
      </c>
      <c r="G1656" s="3">
        <v>1</v>
      </c>
      <c r="H1656" s="2">
        <v>5.4188793757450959E-5</v>
      </c>
      <c r="I1656" s="4">
        <v>1.110223024625157E-16</v>
      </c>
      <c r="J1656" s="4">
        <v>0.73880422692109038</v>
      </c>
      <c r="K1656" s="5">
        <v>1</v>
      </c>
      <c r="L1656" s="5">
        <v>0</v>
      </c>
      <c r="M1656" s="5">
        <v>0</v>
      </c>
    </row>
    <row r="1657" spans="1:13" hidden="1" x14ac:dyDescent="0.25">
      <c r="A1657" t="s">
        <v>1668</v>
      </c>
      <c r="B1657" s="1">
        <v>2.7904779016962759E-2</v>
      </c>
      <c r="C1657" s="2">
        <v>7.9510561801999344E-6</v>
      </c>
      <c r="D1657" s="2"/>
      <c r="E1657" s="2">
        <v>-0.71410252141298491</v>
      </c>
      <c r="F1657" s="3">
        <v>25.755564810302321</v>
      </c>
      <c r="G1657" s="3">
        <v>1</v>
      </c>
      <c r="H1657" s="2">
        <v>5.4188793757450959E-5</v>
      </c>
      <c r="I1657" s="4">
        <v>-0.48316324134031058</v>
      </c>
      <c r="J1657" s="4">
        <v>-0.23093928007267431</v>
      </c>
      <c r="K1657" s="5">
        <v>1</v>
      </c>
      <c r="L1657" s="5">
        <v>0</v>
      </c>
      <c r="M1657" s="5">
        <v>1</v>
      </c>
    </row>
    <row r="1658" spans="1:13" hidden="1" x14ac:dyDescent="0.25">
      <c r="A1658" t="s">
        <v>1669</v>
      </c>
      <c r="B1658" s="1">
        <v>2.7843634109154719E-2</v>
      </c>
      <c r="C1658" s="2">
        <v>7.9336338384276024E-6</v>
      </c>
      <c r="D1658" s="2"/>
      <c r="E1658" s="2">
        <v>-0.40910105072364922</v>
      </c>
      <c r="F1658" s="3">
        <v>53.232145521684259</v>
      </c>
      <c r="G1658" s="3">
        <v>2</v>
      </c>
      <c r="H1658" s="2">
        <v>1.083775875149019E-4</v>
      </c>
      <c r="I1658" s="4">
        <v>5.5511151231257827E-17</v>
      </c>
      <c r="J1658" s="4">
        <v>-0.40910105072364927</v>
      </c>
      <c r="K1658" s="5">
        <v>2</v>
      </c>
      <c r="L1658" s="5">
        <v>0</v>
      </c>
      <c r="M1658" s="5">
        <v>0</v>
      </c>
    </row>
    <row r="1659" spans="1:13" hidden="1" x14ac:dyDescent="0.25">
      <c r="A1659" t="s">
        <v>1670</v>
      </c>
      <c r="B1659" s="1">
        <v>2.7843533134016989E-2</v>
      </c>
      <c r="C1659" s="2">
        <v>7.9336050670478908E-6</v>
      </c>
      <c r="D1659" s="2"/>
      <c r="E1659" s="2">
        <v>-0.58486153605814983</v>
      </c>
      <c r="F1659" s="3">
        <v>37.398460686491987</v>
      </c>
      <c r="G1659" s="3">
        <v>1</v>
      </c>
      <c r="H1659" s="2">
        <v>5.4188793757450959E-5</v>
      </c>
      <c r="I1659" s="4">
        <v>1.110223024625157E-16</v>
      </c>
      <c r="J1659" s="4">
        <v>-0.58486153605815006</v>
      </c>
      <c r="K1659" s="5">
        <v>1</v>
      </c>
      <c r="L1659" s="5">
        <v>0</v>
      </c>
      <c r="M1659" s="5">
        <v>0</v>
      </c>
    </row>
    <row r="1660" spans="1:13" hidden="1" x14ac:dyDescent="0.25">
      <c r="A1660" t="s">
        <v>1671</v>
      </c>
      <c r="B1660" s="1">
        <v>2.7774226862349111E-2</v>
      </c>
      <c r="C1660" s="2">
        <v>7.9138572647328645E-6</v>
      </c>
      <c r="D1660" s="2"/>
      <c r="E1660" s="2" t="s">
        <v>303</v>
      </c>
      <c r="F1660" s="3" t="s">
        <v>303</v>
      </c>
      <c r="G1660" s="3">
        <v>1</v>
      </c>
      <c r="H1660" s="2">
        <v>5.4188793757450959E-5</v>
      </c>
      <c r="I1660" s="4" t="s">
        <v>303</v>
      </c>
      <c r="J1660" s="4">
        <v>0</v>
      </c>
      <c r="K1660" s="5">
        <v>1</v>
      </c>
      <c r="L1660" s="5">
        <v>0</v>
      </c>
      <c r="M1660" s="5">
        <v>0</v>
      </c>
    </row>
    <row r="1661" spans="1:13" hidden="1" x14ac:dyDescent="0.25">
      <c r="A1661" t="s">
        <v>1672</v>
      </c>
      <c r="B1661" s="1">
        <v>2.776467063573166E-2</v>
      </c>
      <c r="C1661" s="2">
        <v>7.9111343585718835E-6</v>
      </c>
      <c r="D1661" s="2"/>
      <c r="E1661" s="2" t="s">
        <v>303</v>
      </c>
      <c r="F1661" s="3" t="s">
        <v>303</v>
      </c>
      <c r="G1661" s="3">
        <v>1</v>
      </c>
      <c r="H1661" s="2">
        <v>5.4188793757450959E-5</v>
      </c>
      <c r="I1661" s="4" t="s">
        <v>303</v>
      </c>
      <c r="J1661" s="4">
        <v>0</v>
      </c>
      <c r="K1661" s="5">
        <v>1</v>
      </c>
      <c r="L1661" s="5">
        <v>0</v>
      </c>
      <c r="M1661" s="5">
        <v>0</v>
      </c>
    </row>
    <row r="1662" spans="1:13" hidden="1" x14ac:dyDescent="0.25">
      <c r="A1662" t="s">
        <v>1673</v>
      </c>
      <c r="B1662" s="1">
        <v>2.7754340514055741E-2</v>
      </c>
      <c r="C1662" s="2">
        <v>7.908190942401355E-6</v>
      </c>
      <c r="D1662" s="2"/>
      <c r="E1662" s="2">
        <v>2.0321940340291378</v>
      </c>
      <c r="F1662" s="3">
        <v>273.16040122781442</v>
      </c>
      <c r="G1662" s="3">
        <v>1</v>
      </c>
      <c r="H1662" s="2">
        <v>5.4188793757450959E-5</v>
      </c>
      <c r="I1662" s="4">
        <v>4.4408920985006262E-16</v>
      </c>
      <c r="J1662" s="4">
        <v>2.0321940340291378</v>
      </c>
      <c r="K1662" s="5">
        <v>1</v>
      </c>
      <c r="L1662" s="5">
        <v>0</v>
      </c>
      <c r="M1662" s="5">
        <v>0</v>
      </c>
    </row>
    <row r="1663" spans="1:13" hidden="1" x14ac:dyDescent="0.25">
      <c r="A1663" t="s">
        <v>1674</v>
      </c>
      <c r="B1663" s="1">
        <v>2.7709790666773461E-2</v>
      </c>
      <c r="C1663" s="2">
        <v>7.8954971189403133E-6</v>
      </c>
      <c r="D1663" s="2"/>
      <c r="E1663" s="2">
        <v>0.59119454935799487</v>
      </c>
      <c r="F1663" s="3">
        <v>143.3454906434805</v>
      </c>
      <c r="G1663" s="3">
        <v>2</v>
      </c>
      <c r="H1663" s="2">
        <v>1.083775875149019E-4</v>
      </c>
      <c r="I1663" s="4">
        <v>0.52789486736418201</v>
      </c>
      <c r="J1663" s="4">
        <v>6.3299681993812834E-2</v>
      </c>
      <c r="K1663" s="5">
        <v>2</v>
      </c>
      <c r="L1663" s="5">
        <v>0</v>
      </c>
      <c r="M1663" s="5">
        <v>0</v>
      </c>
    </row>
    <row r="1664" spans="1:13" hidden="1" x14ac:dyDescent="0.25">
      <c r="A1664" t="s">
        <v>1675</v>
      </c>
      <c r="B1664" s="1">
        <v>2.7672345350878889E-2</v>
      </c>
      <c r="C1664" s="2">
        <v>7.8848276271596367E-6</v>
      </c>
      <c r="D1664" s="2"/>
      <c r="E1664" s="2">
        <v>-0.24762504405692801</v>
      </c>
      <c r="F1664" s="3">
        <v>67.778988591332933</v>
      </c>
      <c r="G1664" s="3">
        <v>1</v>
      </c>
      <c r="H1664" s="2">
        <v>5.4188793757450959E-5</v>
      </c>
      <c r="I1664" s="4">
        <v>-5.5511151231257827E-17</v>
      </c>
      <c r="J1664" s="4">
        <v>-0.2476250440569279</v>
      </c>
      <c r="K1664" s="5">
        <v>1</v>
      </c>
      <c r="L1664" s="5">
        <v>0</v>
      </c>
      <c r="M1664" s="5">
        <v>0</v>
      </c>
    </row>
    <row r="1665" spans="1:13" hidden="1" x14ac:dyDescent="0.25">
      <c r="A1665" t="s">
        <v>1676</v>
      </c>
      <c r="B1665" s="1">
        <v>2.7667397744475609E-2</v>
      </c>
      <c r="C1665" s="2">
        <v>7.8834178795158337E-6</v>
      </c>
      <c r="D1665" s="2"/>
      <c r="E1665" s="2">
        <v>-0.11969737662905899</v>
      </c>
      <c r="F1665" s="3">
        <v>79.30357196909948</v>
      </c>
      <c r="G1665" s="3">
        <v>1</v>
      </c>
      <c r="H1665" s="2">
        <v>5.4188793757450959E-5</v>
      </c>
      <c r="I1665" s="4">
        <v>-1.387778780781446E-17</v>
      </c>
      <c r="J1665" s="4">
        <v>-0.11969737662905899</v>
      </c>
      <c r="K1665" s="5">
        <v>1</v>
      </c>
      <c r="L1665" s="5">
        <v>0</v>
      </c>
      <c r="M1665" s="5">
        <v>0</v>
      </c>
    </row>
    <row r="1666" spans="1:13" hidden="1" x14ac:dyDescent="0.25">
      <c r="A1666" t="s">
        <v>1677</v>
      </c>
      <c r="B1666" s="1">
        <v>2.7601281556315371E-2</v>
      </c>
      <c r="C1666" s="2">
        <v>7.8645790445563031E-6</v>
      </c>
      <c r="D1666" s="2"/>
      <c r="E1666" s="2">
        <v>-0.30848790985635122</v>
      </c>
      <c r="F1666" s="3">
        <v>62.296052916681013</v>
      </c>
      <c r="G1666" s="3">
        <v>1</v>
      </c>
      <c r="H1666" s="2">
        <v>5.4188793757450959E-5</v>
      </c>
      <c r="I1666" s="4">
        <v>-1.6653345369377351E-16</v>
      </c>
      <c r="J1666" s="4">
        <v>-0.30848790985635111</v>
      </c>
      <c r="K1666" s="5">
        <v>1</v>
      </c>
      <c r="L1666" s="5">
        <v>0</v>
      </c>
      <c r="M1666" s="5">
        <v>0</v>
      </c>
    </row>
    <row r="1667" spans="1:13" hidden="1" x14ac:dyDescent="0.25">
      <c r="A1667" t="s">
        <v>1678</v>
      </c>
      <c r="B1667" s="1">
        <v>2.7538423087246019E-2</v>
      </c>
      <c r="C1667" s="2">
        <v>7.8466684487165014E-6</v>
      </c>
      <c r="D1667" s="2"/>
      <c r="E1667" s="2">
        <v>6.4405368199673694E-3</v>
      </c>
      <c r="F1667" s="3">
        <v>90.666922289392403</v>
      </c>
      <c r="G1667" s="3">
        <v>1</v>
      </c>
      <c r="H1667" s="2">
        <v>5.4188793757450959E-5</v>
      </c>
      <c r="I1667" s="4">
        <v>2.0816681711721691E-17</v>
      </c>
      <c r="J1667" s="4">
        <v>6.4405368199673468E-3</v>
      </c>
      <c r="K1667" s="5">
        <v>1</v>
      </c>
      <c r="L1667" s="5">
        <v>0</v>
      </c>
      <c r="M1667" s="5">
        <v>1</v>
      </c>
    </row>
    <row r="1668" spans="1:13" hidden="1" x14ac:dyDescent="0.25">
      <c r="A1668" t="s">
        <v>1679</v>
      </c>
      <c r="B1668" s="1">
        <v>2.746129381033667E-2</v>
      </c>
      <c r="C1668" s="2">
        <v>7.8246915961683548E-6</v>
      </c>
      <c r="D1668" s="2"/>
      <c r="E1668" s="2">
        <v>0.30609558146758098</v>
      </c>
      <c r="F1668" s="3">
        <v>117.6618610391117</v>
      </c>
      <c r="G1668" s="3">
        <v>1</v>
      </c>
      <c r="H1668" s="2">
        <v>5.4188793757450959E-5</v>
      </c>
      <c r="I1668" s="4">
        <v>1.110223024625157E-16</v>
      </c>
      <c r="J1668" s="4">
        <v>0.30609558146758092</v>
      </c>
      <c r="K1668" s="5">
        <v>1</v>
      </c>
      <c r="L1668" s="5">
        <v>0</v>
      </c>
      <c r="M1668" s="5">
        <v>0</v>
      </c>
    </row>
    <row r="1669" spans="1:13" hidden="1" x14ac:dyDescent="0.25">
      <c r="A1669" t="s">
        <v>1680</v>
      </c>
      <c r="B1669" s="1">
        <v>2.745931523427244E-2</v>
      </c>
      <c r="C1669" s="2">
        <v>7.824127830032314E-6</v>
      </c>
      <c r="D1669" s="2"/>
      <c r="E1669" s="2">
        <v>0.73294231584165237</v>
      </c>
      <c r="F1669" s="3">
        <v>156.11508135280991</v>
      </c>
      <c r="G1669" s="3">
        <v>1</v>
      </c>
      <c r="H1669" s="2">
        <v>5.4188793757450959E-5</v>
      </c>
      <c r="I1669" s="4">
        <v>1.110223024625157E-16</v>
      </c>
      <c r="J1669" s="4">
        <v>0.73294231584165226</v>
      </c>
      <c r="K1669" s="5">
        <v>1</v>
      </c>
      <c r="L1669" s="5">
        <v>0</v>
      </c>
      <c r="M1669" s="5">
        <v>0</v>
      </c>
    </row>
    <row r="1670" spans="1:13" hidden="1" x14ac:dyDescent="0.25">
      <c r="A1670" t="s">
        <v>1681</v>
      </c>
      <c r="B1670" s="1">
        <v>2.7451119262518611E-2</v>
      </c>
      <c r="C1670" s="2">
        <v>7.8217925084794551E-6</v>
      </c>
      <c r="D1670" s="2"/>
      <c r="E1670" s="2">
        <v>-0.39285221635907991</v>
      </c>
      <c r="F1670" s="3">
        <v>54.695949639988719</v>
      </c>
      <c r="G1670" s="3">
        <v>1</v>
      </c>
      <c r="H1670" s="2">
        <v>5.4188793757450959E-5</v>
      </c>
      <c r="I1670" s="4">
        <v>1.110223024625157E-16</v>
      </c>
      <c r="J1670" s="4">
        <v>-0.39285221635907991</v>
      </c>
      <c r="K1670" s="5">
        <v>1</v>
      </c>
      <c r="L1670" s="5">
        <v>0</v>
      </c>
      <c r="M1670" s="5">
        <v>0</v>
      </c>
    </row>
    <row r="1671" spans="1:13" hidden="1" x14ac:dyDescent="0.25">
      <c r="A1671" t="s">
        <v>1682</v>
      </c>
      <c r="B1671" s="1">
        <v>2.744588363158218E-2</v>
      </c>
      <c r="C1671" s="2">
        <v>7.8203006924830263E-6</v>
      </c>
      <c r="D1671" s="2"/>
      <c r="E1671" s="2" t="s">
        <v>303</v>
      </c>
      <c r="F1671" s="3" t="s">
        <v>303</v>
      </c>
      <c r="G1671" s="3">
        <v>1</v>
      </c>
      <c r="H1671" s="2">
        <v>5.4188793757450959E-5</v>
      </c>
      <c r="I1671" s="4" t="s">
        <v>303</v>
      </c>
      <c r="J1671" s="4">
        <v>0</v>
      </c>
      <c r="K1671" s="5">
        <v>1</v>
      </c>
      <c r="L1671" s="5">
        <v>0</v>
      </c>
      <c r="M1671" s="5">
        <v>1</v>
      </c>
    </row>
    <row r="1672" spans="1:13" hidden="1" x14ac:dyDescent="0.25">
      <c r="A1672" t="s">
        <v>1683</v>
      </c>
      <c r="B1672" s="1">
        <v>2.7377639596468412E-2</v>
      </c>
      <c r="C1672" s="2">
        <v>7.8008555588439718E-6</v>
      </c>
      <c r="D1672" s="2"/>
      <c r="E1672" s="2">
        <v>0.63506801857454787</v>
      </c>
      <c r="F1672" s="3">
        <v>147.29790738197161</v>
      </c>
      <c r="G1672" s="3">
        <v>2</v>
      </c>
      <c r="H1672" s="2">
        <v>1.083775875149019E-4</v>
      </c>
      <c r="I1672" s="4">
        <v>-3.3306690738754701E-16</v>
      </c>
      <c r="J1672" s="4">
        <v>0.6350680185745482</v>
      </c>
      <c r="K1672" s="5">
        <v>2</v>
      </c>
      <c r="L1672" s="5">
        <v>0</v>
      </c>
      <c r="M1672" s="5">
        <v>0</v>
      </c>
    </row>
    <row r="1673" spans="1:13" hidden="1" x14ac:dyDescent="0.25">
      <c r="A1673" t="s">
        <v>1684</v>
      </c>
      <c r="B1673" s="1">
        <v>2.7328249751493779E-2</v>
      </c>
      <c r="C1673" s="2">
        <v>7.786782649257912E-6</v>
      </c>
      <c r="D1673" s="2"/>
      <c r="E1673" s="2">
        <v>-0.87961554357395255</v>
      </c>
      <c r="F1673" s="3">
        <v>10.845040274429699</v>
      </c>
      <c r="G1673" s="3">
        <v>1</v>
      </c>
      <c r="H1673" s="2">
        <v>5.4188793757450959E-5</v>
      </c>
      <c r="I1673" s="4">
        <v>-0.83223282433578027</v>
      </c>
      <c r="J1673" s="4">
        <v>-4.7382719238172423E-2</v>
      </c>
      <c r="K1673" s="5">
        <v>1</v>
      </c>
      <c r="L1673" s="5">
        <v>0</v>
      </c>
      <c r="M1673" s="5">
        <v>0</v>
      </c>
    </row>
    <row r="1674" spans="1:13" hidden="1" x14ac:dyDescent="0.25">
      <c r="A1674" t="s">
        <v>1685</v>
      </c>
      <c r="B1674" s="1">
        <v>2.73226522613799E-2</v>
      </c>
      <c r="C1674" s="2">
        <v>7.7851877268133924E-6</v>
      </c>
      <c r="D1674" s="2"/>
      <c r="E1674" s="2">
        <v>0.49572126306812581</v>
      </c>
      <c r="F1674" s="3">
        <v>134.74461586541611</v>
      </c>
      <c r="G1674" s="3">
        <v>1</v>
      </c>
      <c r="H1674" s="2">
        <v>5.4188793757450959E-5</v>
      </c>
      <c r="I1674" s="4">
        <v>5.5511151231257827E-17</v>
      </c>
      <c r="J1674" s="4">
        <v>0.49572126306812581</v>
      </c>
      <c r="K1674" s="5">
        <v>1</v>
      </c>
      <c r="L1674" s="5">
        <v>0</v>
      </c>
      <c r="M1674" s="5">
        <v>0</v>
      </c>
    </row>
    <row r="1675" spans="1:13" hidden="1" x14ac:dyDescent="0.25">
      <c r="A1675" t="s">
        <v>1686</v>
      </c>
      <c r="B1675" s="1">
        <v>2.7223713860514111E-2</v>
      </c>
      <c r="C1675" s="2">
        <v>7.7569966853009383E-6</v>
      </c>
      <c r="D1675" s="2"/>
      <c r="E1675" s="2">
        <v>-0.82989415782742826</v>
      </c>
      <c r="F1675" s="3">
        <v>15.324276605515029</v>
      </c>
      <c r="G1675" s="3">
        <v>2</v>
      </c>
      <c r="H1675" s="2">
        <v>1.083775875149019E-4</v>
      </c>
      <c r="I1675" s="4">
        <v>-0.75069488258545358</v>
      </c>
      <c r="J1675" s="4">
        <v>-7.9199275241974648E-2</v>
      </c>
      <c r="K1675" s="5">
        <v>2</v>
      </c>
      <c r="L1675" s="5">
        <v>0</v>
      </c>
      <c r="M1675" s="5">
        <v>1</v>
      </c>
    </row>
    <row r="1676" spans="1:13" hidden="1" x14ac:dyDescent="0.25">
      <c r="A1676" t="s">
        <v>1687</v>
      </c>
      <c r="B1676" s="1">
        <v>2.718807589987118E-2</v>
      </c>
      <c r="C1676" s="2">
        <v>7.7468421728051601E-6</v>
      </c>
      <c r="D1676" s="2"/>
      <c r="E1676" s="2">
        <v>0.51155659750001359</v>
      </c>
      <c r="F1676" s="3">
        <v>136.17116913293339</v>
      </c>
      <c r="G1676" s="3">
        <v>1</v>
      </c>
      <c r="H1676" s="2">
        <v>5.4188793757450959E-5</v>
      </c>
      <c r="I1676" s="4">
        <v>-1.110223024625157E-16</v>
      </c>
      <c r="J1676" s="4">
        <v>0.5115565975000137</v>
      </c>
      <c r="K1676" s="5">
        <v>1</v>
      </c>
      <c r="L1676" s="5">
        <v>0</v>
      </c>
      <c r="M1676" s="5">
        <v>0</v>
      </c>
    </row>
    <row r="1677" spans="1:13" hidden="1" x14ac:dyDescent="0.25">
      <c r="A1677" t="s">
        <v>1688</v>
      </c>
      <c r="B1677" s="1">
        <v>2.7163882875732771E-2</v>
      </c>
      <c r="C1677" s="2">
        <v>7.7399487265615432E-6</v>
      </c>
      <c r="D1677" s="2"/>
      <c r="E1677" s="2">
        <v>0.67775655221105513</v>
      </c>
      <c r="F1677" s="3">
        <v>151.14357716599949</v>
      </c>
      <c r="G1677" s="3">
        <v>1</v>
      </c>
      <c r="H1677" s="2">
        <v>5.4188793757450959E-5</v>
      </c>
      <c r="I1677" s="4">
        <v>-1.110223024625157E-16</v>
      </c>
      <c r="J1677" s="4">
        <v>0.67775655221105524</v>
      </c>
      <c r="K1677" s="5">
        <v>1</v>
      </c>
      <c r="L1677" s="5">
        <v>0</v>
      </c>
      <c r="M1677" s="5">
        <v>0</v>
      </c>
    </row>
    <row r="1678" spans="1:13" hidden="1" x14ac:dyDescent="0.25">
      <c r="A1678" t="s">
        <v>1689</v>
      </c>
      <c r="B1678" s="1">
        <v>2.7143441665620192E-2</v>
      </c>
      <c r="C1678" s="2">
        <v>7.7341243045190815E-6</v>
      </c>
      <c r="D1678" s="2"/>
      <c r="E1678" s="2">
        <v>0.118801188422587</v>
      </c>
      <c r="F1678" s="3">
        <v>100.7891243416161</v>
      </c>
      <c r="G1678" s="3">
        <v>1</v>
      </c>
      <c r="H1678" s="2">
        <v>5.4188793757450959E-5</v>
      </c>
      <c r="I1678" s="4">
        <v>-9.7144514654701197E-17</v>
      </c>
      <c r="J1678" s="4">
        <v>0.11880118842258711</v>
      </c>
      <c r="K1678" s="5">
        <v>1</v>
      </c>
      <c r="L1678" s="5">
        <v>0</v>
      </c>
      <c r="M1678" s="5">
        <v>0</v>
      </c>
    </row>
    <row r="1679" spans="1:13" hidden="1" x14ac:dyDescent="0.25">
      <c r="A1679" t="s">
        <v>1690</v>
      </c>
      <c r="B1679" s="1">
        <v>2.7102755653451809E-2</v>
      </c>
      <c r="C1679" s="2">
        <v>7.7225314240199237E-6</v>
      </c>
      <c r="D1679" s="2"/>
      <c r="E1679" s="2">
        <v>0.26415030170773218</v>
      </c>
      <c r="F1679" s="3">
        <v>113.8831485556008</v>
      </c>
      <c r="G1679" s="3">
        <v>1</v>
      </c>
      <c r="H1679" s="2">
        <v>5.4188793757450959E-5</v>
      </c>
      <c r="I1679" s="4">
        <v>1.110223024625157E-16</v>
      </c>
      <c r="J1679" s="4">
        <v>0.26415030170773213</v>
      </c>
      <c r="K1679" s="5">
        <v>1</v>
      </c>
      <c r="L1679" s="5">
        <v>0</v>
      </c>
      <c r="M1679" s="5">
        <v>0</v>
      </c>
    </row>
    <row r="1680" spans="1:13" hidden="1" x14ac:dyDescent="0.25">
      <c r="A1680" t="s">
        <v>1691</v>
      </c>
      <c r="B1680" s="1">
        <v>2.705696658682883E-2</v>
      </c>
      <c r="C1680" s="2">
        <v>7.7094845032420548E-6</v>
      </c>
      <c r="D1680" s="2"/>
      <c r="E1680" s="2">
        <v>-0.13427618697046759</v>
      </c>
      <c r="F1680" s="3">
        <v>77.990214829816509</v>
      </c>
      <c r="G1680" s="3">
        <v>1</v>
      </c>
      <c r="H1680" s="2">
        <v>5.4188793757450959E-5</v>
      </c>
      <c r="I1680" s="4">
        <v>2.775557561562891E-17</v>
      </c>
      <c r="J1680" s="4">
        <v>-0.13427618697046759</v>
      </c>
      <c r="K1680" s="5">
        <v>1</v>
      </c>
      <c r="L1680" s="5">
        <v>0</v>
      </c>
      <c r="M1680" s="5">
        <v>0</v>
      </c>
    </row>
    <row r="1681" spans="1:13" hidden="1" x14ac:dyDescent="0.25">
      <c r="A1681" t="s">
        <v>1692</v>
      </c>
      <c r="B1681" s="1">
        <v>2.7048255407949601E-2</v>
      </c>
      <c r="C1681" s="2">
        <v>7.7070023809997528E-6</v>
      </c>
      <c r="D1681" s="2"/>
      <c r="E1681" s="2">
        <v>-0.62566892724040613</v>
      </c>
      <c r="F1681" s="3">
        <v>33.72225684752015</v>
      </c>
      <c r="G1681" s="3">
        <v>4</v>
      </c>
      <c r="H1681" s="2">
        <v>2.1675517502980381E-4</v>
      </c>
      <c r="I1681" s="4">
        <v>-1.110223024625157E-16</v>
      </c>
      <c r="J1681" s="4">
        <v>-0.62566892724040601</v>
      </c>
      <c r="K1681" s="5">
        <v>4</v>
      </c>
      <c r="L1681" s="5">
        <v>0</v>
      </c>
      <c r="M1681" s="5">
        <v>0</v>
      </c>
    </row>
    <row r="1682" spans="1:13" hidden="1" x14ac:dyDescent="0.25">
      <c r="A1682" t="s">
        <v>1693</v>
      </c>
      <c r="B1682" s="1">
        <v>2.6859318929695581E-2</v>
      </c>
      <c r="C1682" s="2">
        <v>7.6531677115987296E-6</v>
      </c>
      <c r="D1682" s="2"/>
      <c r="E1682" s="2">
        <v>-0.41373066653650248</v>
      </c>
      <c r="F1682" s="3">
        <v>52.815078639163829</v>
      </c>
      <c r="G1682" s="3">
        <v>1</v>
      </c>
      <c r="H1682" s="2">
        <v>5.4188793757450959E-5</v>
      </c>
      <c r="I1682" s="4">
        <v>-5.5511151231257827E-17</v>
      </c>
      <c r="J1682" s="4">
        <v>-0.41373066653650242</v>
      </c>
      <c r="K1682" s="5">
        <v>1</v>
      </c>
      <c r="L1682" s="5">
        <v>0</v>
      </c>
      <c r="M1682" s="5">
        <v>1</v>
      </c>
    </row>
    <row r="1683" spans="1:13" hidden="1" x14ac:dyDescent="0.25">
      <c r="A1683" t="s">
        <v>1694</v>
      </c>
      <c r="B1683" s="1">
        <v>2.6850184577051132E-2</v>
      </c>
      <c r="C1683" s="2">
        <v>7.6505650122187537E-6</v>
      </c>
      <c r="D1683" s="2"/>
      <c r="E1683" s="2">
        <v>-0.60576271939592563</v>
      </c>
      <c r="F1683" s="3">
        <v>35.51554172991839</v>
      </c>
      <c r="G1683" s="3">
        <v>1</v>
      </c>
      <c r="H1683" s="2">
        <v>5.4188793757450959E-5</v>
      </c>
      <c r="I1683" s="4">
        <v>-1.110223024625157E-16</v>
      </c>
      <c r="J1683" s="4">
        <v>-0.60576271939592552</v>
      </c>
      <c r="K1683" s="5">
        <v>1</v>
      </c>
      <c r="L1683" s="5">
        <v>0</v>
      </c>
      <c r="M1683" s="5">
        <v>1</v>
      </c>
    </row>
    <row r="1684" spans="1:13" hidden="1" x14ac:dyDescent="0.25">
      <c r="A1684" t="s">
        <v>1695</v>
      </c>
      <c r="B1684" s="1">
        <v>2.6762177528241619E-2</v>
      </c>
      <c r="C1684" s="2">
        <v>7.6254886986269962E-6</v>
      </c>
      <c r="D1684" s="2"/>
      <c r="E1684" s="2" t="s">
        <v>303</v>
      </c>
      <c r="F1684" s="3" t="s">
        <v>303</v>
      </c>
      <c r="G1684" s="3">
        <v>1</v>
      </c>
      <c r="H1684" s="2">
        <v>5.4188793757450959E-5</v>
      </c>
      <c r="I1684" s="4" t="s">
        <v>303</v>
      </c>
      <c r="J1684" s="4">
        <v>0</v>
      </c>
      <c r="K1684" s="5">
        <v>1</v>
      </c>
      <c r="L1684" s="5">
        <v>0</v>
      </c>
      <c r="M1684" s="5">
        <v>0</v>
      </c>
    </row>
    <row r="1685" spans="1:13" hidden="1" x14ac:dyDescent="0.25">
      <c r="A1685" t="s">
        <v>1696</v>
      </c>
      <c r="B1685" s="1">
        <v>2.6714462813471292E-2</v>
      </c>
      <c r="C1685" s="2">
        <v>7.6118930927442038E-6</v>
      </c>
      <c r="D1685" s="2"/>
      <c r="E1685" s="2">
        <v>-0.38128626667155407</v>
      </c>
      <c r="F1685" s="3">
        <v>55.737888058760412</v>
      </c>
      <c r="G1685" s="3">
        <v>1</v>
      </c>
      <c r="H1685" s="2">
        <v>5.4188793757450959E-5</v>
      </c>
      <c r="I1685" s="4">
        <v>0</v>
      </c>
      <c r="J1685" s="4">
        <v>-0.38128626667155407</v>
      </c>
      <c r="K1685" s="5">
        <v>1</v>
      </c>
      <c r="L1685" s="5">
        <v>0</v>
      </c>
      <c r="M1685" s="5">
        <v>0</v>
      </c>
    </row>
    <row r="1686" spans="1:13" hidden="1" x14ac:dyDescent="0.25">
      <c r="A1686" t="s">
        <v>1697</v>
      </c>
      <c r="B1686" s="1">
        <v>2.6606677122868291E-2</v>
      </c>
      <c r="C1686" s="2">
        <v>7.5811811462032476E-6</v>
      </c>
      <c r="D1686" s="2"/>
      <c r="E1686" s="2">
        <v>-0.55988426684959491</v>
      </c>
      <c r="F1686" s="3">
        <v>39.648580831184063</v>
      </c>
      <c r="G1686" s="3">
        <v>1</v>
      </c>
      <c r="H1686" s="2">
        <v>5.4188793757450959E-5</v>
      </c>
      <c r="I1686" s="4">
        <v>0</v>
      </c>
      <c r="J1686" s="4">
        <v>-0.55988426684959491</v>
      </c>
      <c r="K1686" s="5">
        <v>1</v>
      </c>
      <c r="L1686" s="5">
        <v>0</v>
      </c>
      <c r="M1686" s="5">
        <v>0</v>
      </c>
    </row>
    <row r="1687" spans="1:13" hidden="1" x14ac:dyDescent="0.25">
      <c r="A1687" t="s">
        <v>1698</v>
      </c>
      <c r="B1687" s="1">
        <v>2.6597432657521451E-2</v>
      </c>
      <c r="C1687" s="2">
        <v>7.5785470718289646E-6</v>
      </c>
      <c r="D1687" s="2"/>
      <c r="E1687" s="2">
        <v>-0.57701153028259144</v>
      </c>
      <c r="F1687" s="3">
        <v>38.105641923321663</v>
      </c>
      <c r="G1687" s="3">
        <v>3</v>
      </c>
      <c r="H1687" s="2">
        <v>1.6256638127235291E-4</v>
      </c>
      <c r="I1687" s="4">
        <v>0</v>
      </c>
      <c r="J1687" s="4">
        <v>-0.57701153028259144</v>
      </c>
      <c r="K1687" s="5">
        <v>3</v>
      </c>
      <c r="L1687" s="5">
        <v>0</v>
      </c>
      <c r="M1687" s="5">
        <v>0</v>
      </c>
    </row>
    <row r="1688" spans="1:13" hidden="1" x14ac:dyDescent="0.25">
      <c r="A1688" t="s">
        <v>1699</v>
      </c>
      <c r="B1688" s="1">
        <v>2.6576125579423949E-2</v>
      </c>
      <c r="C1688" s="2">
        <v>7.5724759334448852E-6</v>
      </c>
      <c r="D1688" s="2"/>
      <c r="E1688" s="2">
        <v>-0.59851835690945454</v>
      </c>
      <c r="F1688" s="3">
        <v>36.168162552080808</v>
      </c>
      <c r="G1688" s="3">
        <v>1</v>
      </c>
      <c r="H1688" s="2">
        <v>5.4188793757450959E-5</v>
      </c>
      <c r="I1688" s="4">
        <v>-1.110223024625157E-16</v>
      </c>
      <c r="J1688" s="4">
        <v>-0.59851835690945454</v>
      </c>
      <c r="K1688" s="5">
        <v>1</v>
      </c>
      <c r="L1688" s="5">
        <v>0</v>
      </c>
      <c r="M1688" s="5">
        <v>0</v>
      </c>
    </row>
    <row r="1689" spans="1:13" hidden="1" x14ac:dyDescent="0.25">
      <c r="A1689" t="s">
        <v>1700</v>
      </c>
      <c r="B1689" s="1">
        <v>2.6555545644382551E-2</v>
      </c>
      <c r="C1689" s="2">
        <v>7.5666119837752059E-6</v>
      </c>
      <c r="D1689" s="2"/>
      <c r="E1689" s="2">
        <v>-0.85045283713943032</v>
      </c>
      <c r="F1689" s="3">
        <v>13.47221271166249</v>
      </c>
      <c r="G1689" s="3">
        <v>2</v>
      </c>
      <c r="H1689" s="2">
        <v>1.083775875149019E-4</v>
      </c>
      <c r="I1689" s="4">
        <v>-0.45669373053698842</v>
      </c>
      <c r="J1689" s="4">
        <v>-0.39375910660244201</v>
      </c>
      <c r="K1689" s="5">
        <v>2</v>
      </c>
      <c r="L1689" s="5">
        <v>0</v>
      </c>
      <c r="M1689" s="5">
        <v>0</v>
      </c>
    </row>
    <row r="1690" spans="1:13" hidden="1" x14ac:dyDescent="0.25">
      <c r="A1690" t="s">
        <v>1701</v>
      </c>
      <c r="B1690" s="1">
        <v>2.6546249211469568E-2</v>
      </c>
      <c r="C1690" s="2">
        <v>7.5639631020076192E-6</v>
      </c>
      <c r="D1690" s="2"/>
      <c r="E1690" s="2">
        <v>-0.42771731527212647</v>
      </c>
      <c r="F1690" s="3">
        <v>51.555067393980138</v>
      </c>
      <c r="G1690" s="3">
        <v>1</v>
      </c>
      <c r="H1690" s="2">
        <v>5.4188793757450959E-5</v>
      </c>
      <c r="I1690" s="4">
        <v>-5.5511151231257827E-17</v>
      </c>
      <c r="J1690" s="4">
        <v>-0.42771731527212647</v>
      </c>
      <c r="K1690" s="5">
        <v>1</v>
      </c>
      <c r="L1690" s="5">
        <v>0</v>
      </c>
      <c r="M1690" s="5">
        <v>0</v>
      </c>
    </row>
    <row r="1691" spans="1:13" hidden="1" x14ac:dyDescent="0.25">
      <c r="A1691" t="s">
        <v>1702</v>
      </c>
      <c r="B1691" s="1">
        <v>2.6514774159154601E-2</v>
      </c>
      <c r="C1691" s="2">
        <v>7.5549947489854039E-6</v>
      </c>
      <c r="D1691" s="2"/>
      <c r="E1691" s="2">
        <v>-0.58420274040835174</v>
      </c>
      <c r="F1691" s="3">
        <v>37.457809422755723</v>
      </c>
      <c r="G1691" s="3">
        <v>1</v>
      </c>
      <c r="H1691" s="2">
        <v>5.4188793757450959E-5</v>
      </c>
      <c r="I1691" s="4">
        <v>-0.58388098293542878</v>
      </c>
      <c r="J1691" s="4">
        <v>-3.2175747292290731E-4</v>
      </c>
      <c r="K1691" s="5">
        <v>0</v>
      </c>
      <c r="L1691" s="5">
        <v>0</v>
      </c>
      <c r="M1691" s="5">
        <v>0</v>
      </c>
    </row>
    <row r="1692" spans="1:13" hidden="1" x14ac:dyDescent="0.25">
      <c r="A1692" t="s">
        <v>1703</v>
      </c>
      <c r="B1692" s="1">
        <v>2.6507481044626201E-2</v>
      </c>
      <c r="C1692" s="2">
        <v>7.5529166833139754E-6</v>
      </c>
      <c r="D1692" s="2"/>
      <c r="E1692" s="2">
        <v>0.50464451389734966</v>
      </c>
      <c r="F1692" s="3">
        <v>135.548482224037</v>
      </c>
      <c r="G1692" s="3">
        <v>1</v>
      </c>
      <c r="H1692" s="2">
        <v>5.4188793757450959E-5</v>
      </c>
      <c r="I1692" s="4">
        <v>-1.110223024625157E-16</v>
      </c>
      <c r="J1692" s="4">
        <v>0.50464451389734977</v>
      </c>
      <c r="K1692" s="5">
        <v>1</v>
      </c>
      <c r="L1692" s="5">
        <v>0</v>
      </c>
      <c r="M1692" s="5">
        <v>1</v>
      </c>
    </row>
    <row r="1693" spans="1:13" hidden="1" x14ac:dyDescent="0.25">
      <c r="A1693" t="s">
        <v>1704</v>
      </c>
      <c r="B1693" s="1">
        <v>2.6409725653077198E-2</v>
      </c>
      <c r="C1693" s="2">
        <v>7.5250627228991249E-6</v>
      </c>
      <c r="D1693" s="2"/>
      <c r="E1693" s="2">
        <v>-0.46388517365162057</v>
      </c>
      <c r="F1693" s="3">
        <v>48.296823826577082</v>
      </c>
      <c r="G1693" s="3">
        <v>2</v>
      </c>
      <c r="H1693" s="2">
        <v>1.083775875149019E-4</v>
      </c>
      <c r="I1693" s="4">
        <v>0</v>
      </c>
      <c r="J1693" s="4">
        <v>-0.46388517365162057</v>
      </c>
      <c r="K1693" s="5">
        <v>2</v>
      </c>
      <c r="L1693" s="5">
        <v>0</v>
      </c>
      <c r="M1693" s="5">
        <v>0</v>
      </c>
    </row>
    <row r="1694" spans="1:13" hidden="1" x14ac:dyDescent="0.25">
      <c r="A1694" t="s">
        <v>1705</v>
      </c>
      <c r="B1694" s="1">
        <v>2.6318895539748571E-2</v>
      </c>
      <c r="C1694" s="2">
        <v>7.4991820186122074E-6</v>
      </c>
      <c r="D1694" s="2"/>
      <c r="E1694" s="2">
        <v>-0.12659172253715209</v>
      </c>
      <c r="F1694" s="3">
        <v>78.682482990847106</v>
      </c>
      <c r="G1694" s="3">
        <v>1</v>
      </c>
      <c r="H1694" s="2">
        <v>5.4188793757450959E-5</v>
      </c>
      <c r="I1694" s="4">
        <v>-5.5511151231257827E-17</v>
      </c>
      <c r="J1694" s="4">
        <v>-0.12659172253715209</v>
      </c>
      <c r="K1694" s="5">
        <v>1</v>
      </c>
      <c r="L1694" s="5">
        <v>0</v>
      </c>
      <c r="M1694" s="5">
        <v>0</v>
      </c>
    </row>
    <row r="1695" spans="1:13" hidden="1" x14ac:dyDescent="0.25">
      <c r="A1695" t="s">
        <v>1706</v>
      </c>
      <c r="B1695" s="1">
        <v>2.630089948443624E-2</v>
      </c>
      <c r="C1695" s="2">
        <v>7.4940543074512148E-6</v>
      </c>
      <c r="D1695" s="2"/>
      <c r="E1695" s="2">
        <v>-0.4129769910361385</v>
      </c>
      <c r="F1695" s="3">
        <v>52.882974789530373</v>
      </c>
      <c r="G1695" s="3">
        <v>1</v>
      </c>
      <c r="H1695" s="2">
        <v>5.4188793757450959E-5</v>
      </c>
      <c r="I1695" s="4">
        <v>-5.5511151231257827E-17</v>
      </c>
      <c r="J1695" s="4">
        <v>-0.41297699103613839</v>
      </c>
      <c r="K1695" s="5">
        <v>1</v>
      </c>
      <c r="L1695" s="5">
        <v>0</v>
      </c>
      <c r="M1695" s="5">
        <v>1</v>
      </c>
    </row>
    <row r="1696" spans="1:13" hidden="1" x14ac:dyDescent="0.25">
      <c r="A1696" t="s">
        <v>1707</v>
      </c>
      <c r="B1696" s="1">
        <v>2.6283513999901951E-2</v>
      </c>
      <c r="C1696" s="2">
        <v>7.4891005694492721E-6</v>
      </c>
      <c r="D1696" s="2"/>
      <c r="E1696" s="2">
        <v>-0.53992866650273719</v>
      </c>
      <c r="F1696" s="3">
        <v>41.44631532189085</v>
      </c>
      <c r="G1696" s="3">
        <v>1</v>
      </c>
      <c r="H1696" s="2">
        <v>5.4188793757450959E-5</v>
      </c>
      <c r="I1696" s="4">
        <v>0</v>
      </c>
      <c r="J1696" s="4">
        <v>-0.53992866650273719</v>
      </c>
      <c r="K1696" s="5">
        <v>1</v>
      </c>
      <c r="L1696" s="5">
        <v>0</v>
      </c>
      <c r="M1696" s="5">
        <v>0</v>
      </c>
    </row>
    <row r="1697" spans="1:13" hidden="1" x14ac:dyDescent="0.25">
      <c r="A1697" t="s">
        <v>1708</v>
      </c>
      <c r="B1697" s="1">
        <v>2.6282228888761871E-2</v>
      </c>
      <c r="C1697" s="2">
        <v>7.4887343959394793E-6</v>
      </c>
      <c r="D1697" s="2"/>
      <c r="E1697" s="2">
        <v>1.3532597429890281</v>
      </c>
      <c r="F1697" s="3">
        <v>211.9974409203553</v>
      </c>
      <c r="G1697" s="3">
        <v>1</v>
      </c>
      <c r="H1697" s="2">
        <v>5.4188793757450959E-5</v>
      </c>
      <c r="I1697" s="4">
        <v>0</v>
      </c>
      <c r="J1697" s="4">
        <v>1.3532597429890281</v>
      </c>
      <c r="K1697" s="5">
        <v>1</v>
      </c>
      <c r="L1697" s="5">
        <v>0</v>
      </c>
      <c r="M1697" s="5">
        <v>0</v>
      </c>
    </row>
    <row r="1698" spans="1:13" hidden="1" x14ac:dyDescent="0.25">
      <c r="A1698" t="s">
        <v>1709</v>
      </c>
      <c r="B1698" s="1">
        <v>2.6229063027530239E-2</v>
      </c>
      <c r="C1698" s="2">
        <v>7.4735855660826148E-6</v>
      </c>
      <c r="D1698" s="2"/>
      <c r="E1698" s="2">
        <v>4.8122344305177263E-2</v>
      </c>
      <c r="F1698" s="3">
        <v>94.421899421060701</v>
      </c>
      <c r="G1698" s="3">
        <v>2</v>
      </c>
      <c r="H1698" s="2">
        <v>1.083775875149019E-4</v>
      </c>
      <c r="I1698" s="4">
        <v>-1.52655665885959E-16</v>
      </c>
      <c r="J1698" s="4">
        <v>4.8122344305177409E-2</v>
      </c>
      <c r="K1698" s="5">
        <v>2</v>
      </c>
      <c r="L1698" s="5">
        <v>0</v>
      </c>
      <c r="M1698" s="5">
        <v>2</v>
      </c>
    </row>
    <row r="1699" spans="1:13" hidden="1" x14ac:dyDescent="0.25">
      <c r="A1699" t="s">
        <v>1710</v>
      </c>
      <c r="B1699" s="1">
        <v>2.620050405181026E-2</v>
      </c>
      <c r="C1699" s="2">
        <v>7.4654481061779696E-6</v>
      </c>
      <c r="D1699" s="2"/>
      <c r="E1699" s="2">
        <v>-0.44186400773831153</v>
      </c>
      <c r="F1699" s="3">
        <v>50.280638334776839</v>
      </c>
      <c r="G1699" s="3">
        <v>2</v>
      </c>
      <c r="H1699" s="2">
        <v>1.083775875149019E-4</v>
      </c>
      <c r="I1699" s="4">
        <v>1.6653345369377351E-16</v>
      </c>
      <c r="J1699" s="4">
        <v>-0.44186400773831169</v>
      </c>
      <c r="K1699" s="5">
        <v>2</v>
      </c>
      <c r="L1699" s="5">
        <v>0</v>
      </c>
      <c r="M1699" s="5">
        <v>0</v>
      </c>
    </row>
    <row r="1700" spans="1:13" hidden="1" x14ac:dyDescent="0.25">
      <c r="A1700" t="s">
        <v>1711</v>
      </c>
      <c r="B1700" s="1">
        <v>2.6074964995995511E-2</v>
      </c>
      <c r="C1700" s="2">
        <v>7.4296775994491561E-6</v>
      </c>
      <c r="D1700" s="2"/>
      <c r="E1700" s="2">
        <v>-0.25294795718135438</v>
      </c>
      <c r="F1700" s="3">
        <v>67.29946483116079</v>
      </c>
      <c r="G1700" s="3">
        <v>1</v>
      </c>
      <c r="H1700" s="2">
        <v>5.4188793757450959E-5</v>
      </c>
      <c r="I1700" s="4">
        <v>-0.1783142221631151</v>
      </c>
      <c r="J1700" s="4">
        <v>-7.4633735018239333E-2</v>
      </c>
      <c r="K1700" s="5">
        <v>1</v>
      </c>
      <c r="L1700" s="5">
        <v>0</v>
      </c>
      <c r="M1700" s="5">
        <v>0</v>
      </c>
    </row>
    <row r="1701" spans="1:13" hidden="1" x14ac:dyDescent="0.25">
      <c r="A1701" t="s">
        <v>1712</v>
      </c>
      <c r="B1701" s="1">
        <v>2.5989815986853178E-2</v>
      </c>
      <c r="C1701" s="2">
        <v>7.4054156422063661E-6</v>
      </c>
      <c r="D1701" s="2"/>
      <c r="E1701" s="2">
        <v>-0.27631216763947652</v>
      </c>
      <c r="F1701" s="3">
        <v>65.194659851173682</v>
      </c>
      <c r="G1701" s="3">
        <v>1</v>
      </c>
      <c r="H1701" s="2">
        <v>5.4188793757450959E-5</v>
      </c>
      <c r="I1701" s="4">
        <v>5.5511151231257827E-17</v>
      </c>
      <c r="J1701" s="4">
        <v>-0.27631216763947658</v>
      </c>
      <c r="K1701" s="5">
        <v>1</v>
      </c>
      <c r="L1701" s="5">
        <v>0</v>
      </c>
      <c r="M1701" s="5">
        <v>0</v>
      </c>
    </row>
    <row r="1702" spans="1:13" hidden="1" x14ac:dyDescent="0.25">
      <c r="A1702" t="s">
        <v>1713</v>
      </c>
      <c r="B1702" s="1">
        <v>2.5956245024535921E-2</v>
      </c>
      <c r="C1702" s="2">
        <v>7.3958500904689503E-6</v>
      </c>
      <c r="D1702" s="2"/>
      <c r="E1702" s="2">
        <v>2.3715416511268299</v>
      </c>
      <c r="F1702" s="3">
        <v>303.73111345856648</v>
      </c>
      <c r="G1702" s="3">
        <v>1</v>
      </c>
      <c r="H1702" s="2">
        <v>5.4188793757450959E-5</v>
      </c>
      <c r="I1702" s="4">
        <v>-4.4408920985006262E-16</v>
      </c>
      <c r="J1702" s="4">
        <v>2.3715416511268299</v>
      </c>
      <c r="K1702" s="5">
        <v>1</v>
      </c>
      <c r="L1702" s="5">
        <v>0</v>
      </c>
      <c r="M1702" s="5">
        <v>0</v>
      </c>
    </row>
    <row r="1703" spans="1:13" hidden="1" x14ac:dyDescent="0.25">
      <c r="A1703" t="s">
        <v>1714</v>
      </c>
      <c r="B1703" s="1">
        <v>2.5947580214266099E-2</v>
      </c>
      <c r="C1703" s="2">
        <v>7.3933811802796142E-6</v>
      </c>
      <c r="D1703" s="2"/>
      <c r="E1703" s="2" t="s">
        <v>303</v>
      </c>
      <c r="F1703" s="3" t="s">
        <v>303</v>
      </c>
      <c r="G1703" s="3">
        <v>1</v>
      </c>
      <c r="H1703" s="2">
        <v>5.4188793757450959E-5</v>
      </c>
      <c r="I1703" s="4" t="s">
        <v>303</v>
      </c>
      <c r="J1703" s="4">
        <v>0</v>
      </c>
      <c r="K1703" s="5">
        <v>1</v>
      </c>
      <c r="L1703" s="5">
        <v>0</v>
      </c>
      <c r="M1703" s="5">
        <v>0</v>
      </c>
    </row>
    <row r="1704" spans="1:13" hidden="1" x14ac:dyDescent="0.25">
      <c r="A1704" t="s">
        <v>1715</v>
      </c>
      <c r="B1704" s="1">
        <v>2.5884381107899038E-2</v>
      </c>
      <c r="C1704" s="2">
        <v>7.3753735248540894E-6</v>
      </c>
      <c r="D1704" s="2"/>
      <c r="E1704" s="2">
        <v>0.68596357718073997</v>
      </c>
      <c r="F1704" s="3">
        <v>151.8829210893918</v>
      </c>
      <c r="G1704" s="3">
        <v>1</v>
      </c>
      <c r="H1704" s="2">
        <v>5.4188793757450959E-5</v>
      </c>
      <c r="I1704" s="4">
        <v>0</v>
      </c>
      <c r="J1704" s="4">
        <v>0.68596357718073997</v>
      </c>
      <c r="K1704" s="5">
        <v>1</v>
      </c>
      <c r="L1704" s="5">
        <v>0</v>
      </c>
      <c r="M1704" s="5">
        <v>0</v>
      </c>
    </row>
    <row r="1705" spans="1:13" hidden="1" x14ac:dyDescent="0.25">
      <c r="A1705" t="s">
        <v>1716</v>
      </c>
      <c r="B1705" s="1">
        <v>2.5855253162678841E-2</v>
      </c>
      <c r="C1705" s="2">
        <v>7.3670739454623741E-6</v>
      </c>
      <c r="D1705" s="2"/>
      <c r="E1705" s="2">
        <v>-0.36493500261611689</v>
      </c>
      <c r="F1705" s="3">
        <v>57.210919731482917</v>
      </c>
      <c r="G1705" s="3">
        <v>1</v>
      </c>
      <c r="H1705" s="2">
        <v>5.4188793757450959E-5</v>
      </c>
      <c r="I1705" s="4">
        <v>-5.5511151231257827E-17</v>
      </c>
      <c r="J1705" s="4">
        <v>-0.36493500261611689</v>
      </c>
      <c r="K1705" s="5">
        <v>1</v>
      </c>
      <c r="L1705" s="5">
        <v>0</v>
      </c>
      <c r="M1705" s="5">
        <v>1</v>
      </c>
    </row>
    <row r="1706" spans="1:13" hidden="1" x14ac:dyDescent="0.25">
      <c r="A1706" t="s">
        <v>1717</v>
      </c>
      <c r="B1706" s="1">
        <v>2.585146422757802E-2</v>
      </c>
      <c r="C1706" s="2">
        <v>7.365994344157112E-6</v>
      </c>
      <c r="D1706" s="2"/>
      <c r="E1706" s="2">
        <v>-0.58992022800840738</v>
      </c>
      <c r="F1706" s="3">
        <v>36.942739744061377</v>
      </c>
      <c r="G1706" s="3">
        <v>1</v>
      </c>
      <c r="H1706" s="2">
        <v>5.4188793757450959E-5</v>
      </c>
      <c r="I1706" s="4">
        <v>0</v>
      </c>
      <c r="J1706" s="4">
        <v>-0.58992022800840738</v>
      </c>
      <c r="K1706" s="5">
        <v>1</v>
      </c>
      <c r="L1706" s="5">
        <v>0</v>
      </c>
      <c r="M1706" s="5">
        <v>0</v>
      </c>
    </row>
    <row r="1707" spans="1:13" hidden="1" x14ac:dyDescent="0.25">
      <c r="A1707" t="s">
        <v>1718</v>
      </c>
      <c r="B1707" s="1">
        <v>2.5819654766403539E-2</v>
      </c>
      <c r="C1707" s="2">
        <v>7.3569307062509869E-6</v>
      </c>
      <c r="D1707" s="2"/>
      <c r="E1707" s="2">
        <v>-0.37080902884978068</v>
      </c>
      <c r="F1707" s="3">
        <v>56.68174800144088</v>
      </c>
      <c r="G1707" s="3">
        <v>1</v>
      </c>
      <c r="H1707" s="2">
        <v>5.4188793757450959E-5</v>
      </c>
      <c r="I1707" s="4">
        <v>2.2204460492503131E-16</v>
      </c>
      <c r="J1707" s="4">
        <v>-0.37080902884978101</v>
      </c>
      <c r="K1707" s="5">
        <v>1</v>
      </c>
      <c r="L1707" s="5">
        <v>0</v>
      </c>
      <c r="M1707" s="5">
        <v>0</v>
      </c>
    </row>
    <row r="1708" spans="1:13" hidden="1" x14ac:dyDescent="0.25">
      <c r="A1708" t="s">
        <v>1719</v>
      </c>
      <c r="B1708" s="1">
        <v>2.568844294160046E-2</v>
      </c>
      <c r="C1708" s="2">
        <v>7.3195438274700574E-6</v>
      </c>
      <c r="D1708" s="2"/>
      <c r="E1708" s="2">
        <v>-2.4459131814854929E-2</v>
      </c>
      <c r="F1708" s="3">
        <v>87.883272632619352</v>
      </c>
      <c r="G1708" s="3">
        <v>1</v>
      </c>
      <c r="H1708" s="2">
        <v>5.4188793757450959E-5</v>
      </c>
      <c r="I1708" s="4">
        <v>-3.4694469519536142E-18</v>
      </c>
      <c r="J1708" s="4">
        <v>-2.4459131814854929E-2</v>
      </c>
      <c r="K1708" s="5">
        <v>1</v>
      </c>
      <c r="L1708" s="5">
        <v>0</v>
      </c>
      <c r="M1708" s="5">
        <v>0</v>
      </c>
    </row>
    <row r="1709" spans="1:13" hidden="1" x14ac:dyDescent="0.25">
      <c r="A1709" t="s">
        <v>1720</v>
      </c>
      <c r="B1709" s="1">
        <v>2.56541191326915E-2</v>
      </c>
      <c r="C1709" s="2">
        <v>7.3097637631739838E-6</v>
      </c>
      <c r="D1709" s="2"/>
      <c r="E1709" s="2">
        <v>-0.69376441960964974</v>
      </c>
      <c r="F1709" s="3">
        <v>27.587757600890011</v>
      </c>
      <c r="G1709" s="3">
        <v>3</v>
      </c>
      <c r="H1709" s="2">
        <v>1.6256638127235291E-4</v>
      </c>
      <c r="I1709" s="4">
        <v>-1.110223024625157E-16</v>
      </c>
      <c r="J1709" s="4">
        <v>-0.69376441960964963</v>
      </c>
      <c r="K1709" s="5">
        <v>3</v>
      </c>
      <c r="L1709" s="5">
        <v>0</v>
      </c>
      <c r="M1709" s="5">
        <v>0</v>
      </c>
    </row>
    <row r="1710" spans="1:13" hidden="1" x14ac:dyDescent="0.25">
      <c r="A1710" t="s">
        <v>1721</v>
      </c>
      <c r="B1710" s="1">
        <v>2.563554464355108E-2</v>
      </c>
      <c r="C1710" s="2">
        <v>7.3044712358049533E-6</v>
      </c>
      <c r="D1710" s="2"/>
      <c r="E1710" s="2">
        <v>-0.62074981978703547</v>
      </c>
      <c r="F1710" s="3">
        <v>34.165403081094098</v>
      </c>
      <c r="G1710" s="3">
        <v>2</v>
      </c>
      <c r="H1710" s="2">
        <v>1.083775875149019E-4</v>
      </c>
      <c r="I1710" s="4">
        <v>-0.60923041595848648</v>
      </c>
      <c r="J1710" s="4">
        <v>-1.151940382854914E-2</v>
      </c>
      <c r="K1710" s="5">
        <v>2</v>
      </c>
      <c r="L1710" s="5">
        <v>0</v>
      </c>
      <c r="M1710" s="5">
        <v>0</v>
      </c>
    </row>
    <row r="1711" spans="1:13" hidden="1" x14ac:dyDescent="0.25">
      <c r="A1711" t="s">
        <v>1722</v>
      </c>
      <c r="B1711" s="1">
        <v>2.5512928627112481E-2</v>
      </c>
      <c r="C1711" s="2">
        <v>7.2695336061357486E-6</v>
      </c>
      <c r="D1711" s="2"/>
      <c r="E1711" s="2">
        <v>-0.13003738809699081</v>
      </c>
      <c r="F1711" s="3">
        <v>78.372074297914054</v>
      </c>
      <c r="G1711" s="3">
        <v>1</v>
      </c>
      <c r="H1711" s="2">
        <v>5.4188793757450959E-5</v>
      </c>
      <c r="I1711" s="4">
        <v>0</v>
      </c>
      <c r="J1711" s="4">
        <v>-0.13003738809699081</v>
      </c>
      <c r="K1711" s="5">
        <v>1</v>
      </c>
      <c r="L1711" s="5">
        <v>0</v>
      </c>
      <c r="M1711" s="5">
        <v>0</v>
      </c>
    </row>
    <row r="1712" spans="1:13" hidden="1" x14ac:dyDescent="0.25">
      <c r="A1712" t="s">
        <v>1723</v>
      </c>
      <c r="B1712" s="1">
        <v>2.5469419849958E-2</v>
      </c>
      <c r="C1712" s="2">
        <v>7.2571364202889533E-6</v>
      </c>
      <c r="D1712" s="2"/>
      <c r="E1712" s="2">
        <v>0.33458646471062631</v>
      </c>
      <c r="F1712" s="3">
        <v>120.2285111316401</v>
      </c>
      <c r="G1712" s="3">
        <v>1</v>
      </c>
      <c r="H1712" s="2">
        <v>5.4188793757450959E-5</v>
      </c>
      <c r="I1712" s="4">
        <v>1.110223024625157E-16</v>
      </c>
      <c r="J1712" s="4">
        <v>0.33458646471062609</v>
      </c>
      <c r="K1712" s="5">
        <v>1</v>
      </c>
      <c r="L1712" s="5">
        <v>0</v>
      </c>
      <c r="M1712" s="5">
        <v>0</v>
      </c>
    </row>
    <row r="1713" spans="1:13" hidden="1" x14ac:dyDescent="0.25">
      <c r="A1713" t="s">
        <v>1724</v>
      </c>
      <c r="B1713" s="1">
        <v>2.5390206717333299E-2</v>
      </c>
      <c r="C1713" s="2">
        <v>7.2345658037173004E-6</v>
      </c>
      <c r="D1713" s="2"/>
      <c r="E1713" s="2">
        <v>-0.20491139439555359</v>
      </c>
      <c r="F1713" s="3">
        <v>71.62692099554701</v>
      </c>
      <c r="G1713" s="3">
        <v>2</v>
      </c>
      <c r="H1713" s="2">
        <v>1.083775875149019E-4</v>
      </c>
      <c r="I1713" s="4">
        <v>1.3877787807814459E-16</v>
      </c>
      <c r="J1713" s="4">
        <v>-0.20491139439555381</v>
      </c>
      <c r="K1713" s="5">
        <v>2</v>
      </c>
      <c r="L1713" s="5">
        <v>0</v>
      </c>
      <c r="M1713" s="5">
        <v>0</v>
      </c>
    </row>
    <row r="1714" spans="1:13" hidden="1" x14ac:dyDescent="0.25">
      <c r="A1714" t="s">
        <v>1725</v>
      </c>
      <c r="B1714" s="1">
        <v>2.532981167454932E-2</v>
      </c>
      <c r="C1714" s="2">
        <v>7.217357124949798E-6</v>
      </c>
      <c r="D1714" s="2"/>
      <c r="E1714" s="2">
        <v>-0.32501412187668949</v>
      </c>
      <c r="F1714" s="3">
        <v>60.807260756420398</v>
      </c>
      <c r="G1714" s="3">
        <v>1</v>
      </c>
      <c r="H1714" s="2">
        <v>5.4188793757450959E-5</v>
      </c>
      <c r="I1714" s="4">
        <v>0</v>
      </c>
      <c r="J1714" s="4">
        <v>-0.32501412187668949</v>
      </c>
      <c r="K1714" s="5">
        <v>1</v>
      </c>
      <c r="L1714" s="5">
        <v>0</v>
      </c>
      <c r="M1714" s="5">
        <v>0</v>
      </c>
    </row>
    <row r="1715" spans="1:13" hidden="1" x14ac:dyDescent="0.25">
      <c r="A1715" t="s">
        <v>1726</v>
      </c>
      <c r="B1715" s="1">
        <v>2.5303954788969921E-2</v>
      </c>
      <c r="C1715" s="2">
        <v>7.20998958587121E-6</v>
      </c>
      <c r="D1715" s="2"/>
      <c r="E1715" s="2">
        <v>0.81082724023126884</v>
      </c>
      <c r="F1715" s="3">
        <v>163.13147837658329</v>
      </c>
      <c r="G1715" s="3">
        <v>1</v>
      </c>
      <c r="H1715" s="2">
        <v>5.4188793757450959E-5</v>
      </c>
      <c r="I1715" s="4">
        <v>-1.110223024625157E-16</v>
      </c>
      <c r="J1715" s="4">
        <v>0.81082724023126895</v>
      </c>
      <c r="K1715" s="5">
        <v>1</v>
      </c>
      <c r="L1715" s="5">
        <v>0</v>
      </c>
      <c r="M1715" s="5">
        <v>0</v>
      </c>
    </row>
    <row r="1716" spans="1:13" hidden="1" x14ac:dyDescent="0.25">
      <c r="A1716" t="s">
        <v>1727</v>
      </c>
      <c r="B1716" s="1">
        <v>2.523742867074558E-2</v>
      </c>
      <c r="C1716" s="2">
        <v>7.1910339473717702E-6</v>
      </c>
      <c r="D1716" s="2"/>
      <c r="E1716" s="2">
        <v>-0.13874500417694149</v>
      </c>
      <c r="F1716" s="3">
        <v>77.587633765598753</v>
      </c>
      <c r="G1716" s="3">
        <v>1</v>
      </c>
      <c r="H1716" s="2">
        <v>5.4188793757450959E-5</v>
      </c>
      <c r="I1716" s="4">
        <v>5.5511151231257827E-17</v>
      </c>
      <c r="J1716" s="4">
        <v>-0.13874500417694149</v>
      </c>
      <c r="K1716" s="5">
        <v>1</v>
      </c>
      <c r="L1716" s="5">
        <v>0</v>
      </c>
      <c r="M1716" s="5">
        <v>0</v>
      </c>
    </row>
    <row r="1717" spans="1:13" hidden="1" x14ac:dyDescent="0.25">
      <c r="A1717" t="s">
        <v>1728</v>
      </c>
      <c r="B1717" s="1">
        <v>2.5225168684570459E-2</v>
      </c>
      <c r="C1717" s="2">
        <v>7.1875406447088953E-6</v>
      </c>
      <c r="D1717" s="2"/>
      <c r="E1717" s="2">
        <v>-0.23651319125342171</v>
      </c>
      <c r="F1717" s="3">
        <v>68.780018913312972</v>
      </c>
      <c r="G1717" s="3">
        <v>1</v>
      </c>
      <c r="H1717" s="2">
        <v>5.4188793757450959E-5</v>
      </c>
      <c r="I1717" s="4">
        <v>-5.5511151231257827E-17</v>
      </c>
      <c r="J1717" s="4">
        <v>-0.23651319125342171</v>
      </c>
      <c r="K1717" s="5">
        <v>1</v>
      </c>
      <c r="L1717" s="5">
        <v>0</v>
      </c>
      <c r="M1717" s="5">
        <v>0</v>
      </c>
    </row>
    <row r="1718" spans="1:13" hidden="1" x14ac:dyDescent="0.25">
      <c r="A1718" t="s">
        <v>1729</v>
      </c>
      <c r="B1718" s="1">
        <v>2.5215690406357811E-2</v>
      </c>
      <c r="C1718" s="2">
        <v>7.1848399487989044E-6</v>
      </c>
      <c r="D1718" s="2"/>
      <c r="E1718" s="2">
        <v>6.7853099646076389</v>
      </c>
      <c r="F1718" s="3">
        <v>701.35300371568758</v>
      </c>
      <c r="G1718" s="3">
        <v>2</v>
      </c>
      <c r="H1718" s="2">
        <v>1.083775875149019E-4</v>
      </c>
      <c r="I1718" s="4">
        <v>-1.7763568394002501E-15</v>
      </c>
      <c r="J1718" s="4">
        <v>6.7853099646076407</v>
      </c>
      <c r="K1718" s="5">
        <v>2</v>
      </c>
      <c r="L1718" s="5">
        <v>0</v>
      </c>
      <c r="M1718" s="5">
        <v>0</v>
      </c>
    </row>
    <row r="1719" spans="1:13" hidden="1" x14ac:dyDescent="0.25">
      <c r="A1719" t="s">
        <v>1730</v>
      </c>
      <c r="B1719" s="1">
        <v>2.5211065907993629E-2</v>
      </c>
      <c r="C1719" s="2">
        <v>7.1835222660365181E-6</v>
      </c>
      <c r="D1719" s="2"/>
      <c r="E1719" s="2">
        <v>0.81267097720991288</v>
      </c>
      <c r="F1719" s="3">
        <v>163.29757458520081</v>
      </c>
      <c r="G1719" s="3">
        <v>1</v>
      </c>
      <c r="H1719" s="2">
        <v>5.4188793757450959E-5</v>
      </c>
      <c r="I1719" s="4">
        <v>2.2204460492503131E-16</v>
      </c>
      <c r="J1719" s="4">
        <v>0.81267097720991255</v>
      </c>
      <c r="K1719" s="5">
        <v>1</v>
      </c>
      <c r="L1719" s="5">
        <v>0</v>
      </c>
      <c r="M1719" s="5">
        <v>0</v>
      </c>
    </row>
    <row r="1720" spans="1:13" hidden="1" x14ac:dyDescent="0.25">
      <c r="A1720" t="s">
        <v>1731</v>
      </c>
      <c r="B1720" s="1">
        <v>2.5210357303248731E-2</v>
      </c>
      <c r="C1720" s="2">
        <v>7.183320359541117E-6</v>
      </c>
      <c r="D1720" s="2"/>
      <c r="E1720" s="2">
        <v>-0.50098149424499971</v>
      </c>
      <c r="F1720" s="3">
        <v>44.954938147876582</v>
      </c>
      <c r="G1720" s="3">
        <v>2</v>
      </c>
      <c r="H1720" s="2">
        <v>1.083775875149019E-4</v>
      </c>
      <c r="I1720" s="4">
        <v>2.2204460492503131E-16</v>
      </c>
      <c r="J1720" s="4">
        <v>-0.50098149424499994</v>
      </c>
      <c r="K1720" s="5">
        <v>2</v>
      </c>
      <c r="L1720" s="5">
        <v>0</v>
      </c>
      <c r="M1720" s="5">
        <v>0</v>
      </c>
    </row>
    <row r="1721" spans="1:13" hidden="1" x14ac:dyDescent="0.25">
      <c r="A1721" t="s">
        <v>1732</v>
      </c>
      <c r="B1721" s="1">
        <v>2.5205624217500371E-2</v>
      </c>
      <c r="C1721" s="2">
        <v>7.1819717364014038E-6</v>
      </c>
      <c r="D1721" s="2"/>
      <c r="E1721" s="2">
        <v>1.0884634140795799</v>
      </c>
      <c r="F1721" s="3">
        <v>188.1428093773853</v>
      </c>
      <c r="G1721" s="3">
        <v>1</v>
      </c>
      <c r="H1721" s="2">
        <v>5.4188793757450959E-5</v>
      </c>
      <c r="I1721" s="4">
        <v>0</v>
      </c>
      <c r="J1721" s="4">
        <v>1.0884634140795799</v>
      </c>
      <c r="K1721" s="5">
        <v>1</v>
      </c>
      <c r="L1721" s="5">
        <v>0</v>
      </c>
      <c r="M1721" s="5">
        <v>0</v>
      </c>
    </row>
    <row r="1722" spans="1:13" hidden="1" x14ac:dyDescent="0.25">
      <c r="A1722" t="s">
        <v>1733</v>
      </c>
      <c r="B1722" s="1">
        <v>2.507599516516195E-2</v>
      </c>
      <c r="C1722" s="2">
        <v>7.1450358453448073E-6</v>
      </c>
      <c r="D1722" s="2"/>
      <c r="E1722" s="2">
        <v>-0.17348730576067681</v>
      </c>
      <c r="F1722" s="3">
        <v>74.45781392765771</v>
      </c>
      <c r="G1722" s="3">
        <v>1</v>
      </c>
      <c r="H1722" s="2">
        <v>5.4188793757450959E-5</v>
      </c>
      <c r="I1722" s="4">
        <v>-5.5511151231257827E-17</v>
      </c>
      <c r="J1722" s="4">
        <v>-0.17348730576067681</v>
      </c>
      <c r="K1722" s="5">
        <v>1</v>
      </c>
      <c r="L1722" s="5">
        <v>0</v>
      </c>
      <c r="M1722" s="5">
        <v>0</v>
      </c>
    </row>
    <row r="1723" spans="1:13" hidden="1" x14ac:dyDescent="0.25">
      <c r="A1723" t="s">
        <v>1734</v>
      </c>
      <c r="B1723" s="1">
        <v>2.503982219138608E-2</v>
      </c>
      <c r="C1723" s="2">
        <v>7.1347288887291677E-6</v>
      </c>
      <c r="D1723" s="2"/>
      <c r="E1723" s="2">
        <v>-0.8831653492040491</v>
      </c>
      <c r="F1723" s="3">
        <v>10.52524994461711</v>
      </c>
      <c r="G1723" s="3">
        <v>2</v>
      </c>
      <c r="H1723" s="2">
        <v>1.083775875149019E-4</v>
      </c>
      <c r="I1723" s="4">
        <v>1.110223024625157E-16</v>
      </c>
      <c r="J1723" s="4">
        <v>-0.8831653492040491</v>
      </c>
      <c r="K1723" s="5">
        <v>2</v>
      </c>
      <c r="L1723" s="5">
        <v>0</v>
      </c>
      <c r="M1723" s="5">
        <v>0</v>
      </c>
    </row>
    <row r="1724" spans="1:13" hidden="1" x14ac:dyDescent="0.25">
      <c r="A1724" t="s">
        <v>1735</v>
      </c>
      <c r="B1724" s="1">
        <v>2.502633750311781E-2</v>
      </c>
      <c r="C1724" s="2">
        <v>7.1308866252255452E-6</v>
      </c>
      <c r="D1724" s="2"/>
      <c r="E1724" s="2">
        <v>-0.1764355336815733</v>
      </c>
      <c r="F1724" s="3">
        <v>74.192217757773747</v>
      </c>
      <c r="G1724" s="3">
        <v>1</v>
      </c>
      <c r="H1724" s="2">
        <v>5.4188793757450959E-5</v>
      </c>
      <c r="I1724" s="4">
        <v>0</v>
      </c>
      <c r="J1724" s="4">
        <v>-0.1764355336815733</v>
      </c>
      <c r="K1724" s="5">
        <v>1</v>
      </c>
      <c r="L1724" s="5">
        <v>0</v>
      </c>
      <c r="M1724" s="5">
        <v>0</v>
      </c>
    </row>
    <row r="1725" spans="1:13" hidden="1" x14ac:dyDescent="0.25">
      <c r="A1725" t="s">
        <v>1736</v>
      </c>
      <c r="B1725" s="1">
        <v>2.4985147075029551E-2</v>
      </c>
      <c r="C1725" s="2">
        <v>7.119150018832171E-6</v>
      </c>
      <c r="D1725" s="2"/>
      <c r="E1725" s="2">
        <v>-0.44977928770315589</v>
      </c>
      <c r="F1725" s="3">
        <v>49.567576760628711</v>
      </c>
      <c r="G1725" s="3">
        <v>1</v>
      </c>
      <c r="H1725" s="2">
        <v>5.4188793757450959E-5</v>
      </c>
      <c r="I1725" s="4">
        <v>5.5511151231257827E-17</v>
      </c>
      <c r="J1725" s="4">
        <v>-0.44977928770315589</v>
      </c>
      <c r="K1725" s="5">
        <v>1</v>
      </c>
      <c r="L1725" s="5">
        <v>0</v>
      </c>
      <c r="M1725" s="5">
        <v>0</v>
      </c>
    </row>
    <row r="1726" spans="1:13" hidden="1" x14ac:dyDescent="0.25">
      <c r="A1726" t="s">
        <v>1737</v>
      </c>
      <c r="B1726" s="1">
        <v>2.4976720216407271E-2</v>
      </c>
      <c r="C1726" s="2">
        <v>7.1167489094634992E-6</v>
      </c>
      <c r="D1726" s="2"/>
      <c r="E1726" s="2" t="s">
        <v>303</v>
      </c>
      <c r="F1726" s="3" t="s">
        <v>303</v>
      </c>
      <c r="G1726" s="3">
        <v>1</v>
      </c>
      <c r="H1726" s="2">
        <v>5.4188793757450959E-5</v>
      </c>
      <c r="I1726" s="4" t="s">
        <v>303</v>
      </c>
      <c r="J1726" s="4">
        <v>0</v>
      </c>
      <c r="K1726" s="5">
        <v>1</v>
      </c>
      <c r="L1726" s="5">
        <v>0</v>
      </c>
      <c r="M1726" s="5">
        <v>0</v>
      </c>
    </row>
    <row r="1727" spans="1:13" hidden="1" x14ac:dyDescent="0.25">
      <c r="A1727" t="s">
        <v>1738</v>
      </c>
      <c r="B1727" s="1">
        <v>2.4973919761379929E-2</v>
      </c>
      <c r="C1727" s="2">
        <v>7.1159509610103317E-6</v>
      </c>
      <c r="D1727" s="2"/>
      <c r="E1727" s="2">
        <v>-0.27749721806637268</v>
      </c>
      <c r="F1727" s="3">
        <v>65.087902550534849</v>
      </c>
      <c r="G1727" s="3">
        <v>1</v>
      </c>
      <c r="H1727" s="2">
        <v>5.4188793757450959E-5</v>
      </c>
      <c r="I1727" s="4">
        <v>0</v>
      </c>
      <c r="J1727" s="4">
        <v>-0.27749721806637268</v>
      </c>
      <c r="K1727" s="5">
        <v>1</v>
      </c>
      <c r="L1727" s="5">
        <v>0</v>
      </c>
      <c r="M1727" s="5">
        <v>0</v>
      </c>
    </row>
    <row r="1728" spans="1:13" hidden="1" x14ac:dyDescent="0.25">
      <c r="A1728" t="s">
        <v>1739</v>
      </c>
      <c r="B1728" s="1">
        <v>2.495751075683281E-2</v>
      </c>
      <c r="C1728" s="2">
        <v>7.1112754566124683E-6</v>
      </c>
      <c r="D1728" s="2"/>
      <c r="E1728" s="2">
        <v>-0.46623655712760059</v>
      </c>
      <c r="F1728" s="3">
        <v>48.084995412388928</v>
      </c>
      <c r="G1728" s="3">
        <v>1</v>
      </c>
      <c r="H1728" s="2">
        <v>5.4188793757450959E-5</v>
      </c>
      <c r="I1728" s="4">
        <v>5.5511151231257827E-17</v>
      </c>
      <c r="J1728" s="4">
        <v>-0.46623655712760059</v>
      </c>
      <c r="K1728" s="5">
        <v>1</v>
      </c>
      <c r="L1728" s="5">
        <v>0</v>
      </c>
      <c r="M1728" s="5">
        <v>0</v>
      </c>
    </row>
    <row r="1729" spans="1:13" hidden="1" x14ac:dyDescent="0.25">
      <c r="A1729" t="s">
        <v>1740</v>
      </c>
      <c r="B1729" s="1">
        <v>2.4950950897094998E-2</v>
      </c>
      <c r="C1729" s="2">
        <v>7.1094063211042473E-6</v>
      </c>
      <c r="D1729" s="2"/>
      <c r="E1729" s="2">
        <v>-0.37794825818927291</v>
      </c>
      <c r="F1729" s="3">
        <v>56.038598279177982</v>
      </c>
      <c r="G1729" s="3">
        <v>1</v>
      </c>
      <c r="H1729" s="2">
        <v>5.4188793757450959E-5</v>
      </c>
      <c r="I1729" s="4">
        <v>0</v>
      </c>
      <c r="J1729" s="4">
        <v>-0.37794825818927291</v>
      </c>
      <c r="K1729" s="5">
        <v>1</v>
      </c>
      <c r="L1729" s="5">
        <v>0</v>
      </c>
      <c r="M1729" s="5">
        <v>0</v>
      </c>
    </row>
    <row r="1730" spans="1:13" hidden="1" x14ac:dyDescent="0.25">
      <c r="A1730" t="s">
        <v>1741</v>
      </c>
      <c r="B1730" s="1">
        <v>2.4899380262318371E-2</v>
      </c>
      <c r="C1730" s="2">
        <v>7.0947120275530174E-6</v>
      </c>
      <c r="D1730" s="2"/>
      <c r="E1730" s="2">
        <v>-4.2967332874919939E-2</v>
      </c>
      <c r="F1730" s="3">
        <v>86.215929589649733</v>
      </c>
      <c r="G1730" s="3">
        <v>1</v>
      </c>
      <c r="H1730" s="2">
        <v>5.4188793757450959E-5</v>
      </c>
      <c r="I1730" s="4">
        <v>3.4694469519536142E-17</v>
      </c>
      <c r="J1730" s="4">
        <v>-4.2967332874919967E-2</v>
      </c>
      <c r="K1730" s="5">
        <v>1</v>
      </c>
      <c r="L1730" s="5">
        <v>0</v>
      </c>
      <c r="M1730" s="5">
        <v>0</v>
      </c>
    </row>
    <row r="1731" spans="1:13" hidden="1" x14ac:dyDescent="0.25">
      <c r="A1731" t="s">
        <v>1742</v>
      </c>
      <c r="B1731" s="1">
        <v>2.4872221376335941E-2</v>
      </c>
      <c r="C1731" s="2">
        <v>7.0869735026176749E-6</v>
      </c>
      <c r="D1731" s="2"/>
      <c r="E1731" s="2">
        <v>-0.2868931043696169</v>
      </c>
      <c r="F1731" s="3">
        <v>64.241458014439417</v>
      </c>
      <c r="G1731" s="3">
        <v>1</v>
      </c>
      <c r="H1731" s="2">
        <v>5.4188793757450959E-5</v>
      </c>
      <c r="I1731" s="4">
        <v>-5.5511151231257827E-17</v>
      </c>
      <c r="J1731" s="4">
        <v>-0.28689310436961679</v>
      </c>
      <c r="K1731" s="5">
        <v>1</v>
      </c>
      <c r="L1731" s="5">
        <v>0</v>
      </c>
      <c r="M1731" s="5">
        <v>0</v>
      </c>
    </row>
    <row r="1732" spans="1:13" hidden="1" x14ac:dyDescent="0.25">
      <c r="A1732" t="s">
        <v>1743</v>
      </c>
      <c r="B1732" s="1">
        <v>2.4854449285137001E-2</v>
      </c>
      <c r="C1732" s="2">
        <v>7.0819096067353053E-6</v>
      </c>
      <c r="D1732" s="2"/>
      <c r="E1732" s="2">
        <v>-0.28156542247337701</v>
      </c>
      <c r="F1732" s="3">
        <v>64.7214113776011</v>
      </c>
      <c r="G1732" s="3">
        <v>2</v>
      </c>
      <c r="H1732" s="2">
        <v>1.083775875149019E-4</v>
      </c>
      <c r="I1732" s="4">
        <v>-5.5511151231257827E-17</v>
      </c>
      <c r="J1732" s="4">
        <v>-0.28156542247337701</v>
      </c>
      <c r="K1732" s="5">
        <v>2</v>
      </c>
      <c r="L1732" s="5">
        <v>0</v>
      </c>
      <c r="M1732" s="5">
        <v>0</v>
      </c>
    </row>
    <row r="1733" spans="1:13" hidden="1" x14ac:dyDescent="0.25">
      <c r="A1733" t="s">
        <v>1744</v>
      </c>
      <c r="B1733" s="1">
        <v>2.4830627491105661E-2</v>
      </c>
      <c r="C1733" s="2">
        <v>7.0751219370482924E-6</v>
      </c>
      <c r="D1733" s="2"/>
      <c r="E1733" s="2">
        <v>-0.60023307662520786</v>
      </c>
      <c r="F1733" s="3">
        <v>36.013689084917502</v>
      </c>
      <c r="G1733" s="3">
        <v>1</v>
      </c>
      <c r="H1733" s="2">
        <v>5.4188793757450959E-5</v>
      </c>
      <c r="I1733" s="4">
        <v>0</v>
      </c>
      <c r="J1733" s="4">
        <v>-0.60023307662520786</v>
      </c>
      <c r="K1733" s="5">
        <v>1</v>
      </c>
      <c r="L1733" s="5">
        <v>0</v>
      </c>
      <c r="M1733" s="5">
        <v>0</v>
      </c>
    </row>
    <row r="1734" spans="1:13" hidden="1" x14ac:dyDescent="0.25">
      <c r="A1734" t="s">
        <v>1745</v>
      </c>
      <c r="B1734" s="1">
        <v>2.4810865115068768E-2</v>
      </c>
      <c r="C1734" s="2">
        <v>7.0694909387870941E-6</v>
      </c>
      <c r="D1734" s="2"/>
      <c r="E1734" s="2">
        <v>0.34067806160840058</v>
      </c>
      <c r="F1734" s="3">
        <v>120.777283088197</v>
      </c>
      <c r="G1734" s="3">
        <v>1</v>
      </c>
      <c r="H1734" s="2">
        <v>5.4188793757450959E-5</v>
      </c>
      <c r="I1734" s="4">
        <v>-5.5511151231257827E-17</v>
      </c>
      <c r="J1734" s="4">
        <v>0.3406780616084007</v>
      </c>
      <c r="K1734" s="5">
        <v>1</v>
      </c>
      <c r="L1734" s="5">
        <v>0</v>
      </c>
      <c r="M1734" s="5">
        <v>1</v>
      </c>
    </row>
    <row r="1735" spans="1:13" hidden="1" x14ac:dyDescent="0.25">
      <c r="A1735" t="s">
        <v>1746</v>
      </c>
      <c r="B1735" s="1">
        <v>2.4802063802764451E-2</v>
      </c>
      <c r="C1735" s="2">
        <v>7.0669831343515681E-6</v>
      </c>
      <c r="D1735" s="2"/>
      <c r="E1735" s="2">
        <v>33.285490521187079</v>
      </c>
      <c r="F1735" s="3">
        <v>3088.6672297205282</v>
      </c>
      <c r="G1735" s="3">
        <v>1</v>
      </c>
      <c r="H1735" s="2">
        <v>5.4188793757450959E-5</v>
      </c>
      <c r="I1735" s="4">
        <v>0</v>
      </c>
      <c r="J1735" s="4">
        <v>33.285490521187079</v>
      </c>
      <c r="K1735" s="5">
        <v>1</v>
      </c>
      <c r="L1735" s="5">
        <v>0</v>
      </c>
      <c r="M1735" s="5">
        <v>0</v>
      </c>
    </row>
    <row r="1736" spans="1:13" hidden="1" x14ac:dyDescent="0.25">
      <c r="A1736" t="s">
        <v>1747</v>
      </c>
      <c r="B1736" s="1">
        <v>2.4762290425080189E-2</v>
      </c>
      <c r="C1736" s="2">
        <v>7.0556502956198374E-6</v>
      </c>
      <c r="D1736" s="2"/>
      <c r="E1736" s="2">
        <v>-0.63143147921991483</v>
      </c>
      <c r="F1736" s="3">
        <v>33.20312746689568</v>
      </c>
      <c r="G1736" s="3">
        <v>3</v>
      </c>
      <c r="H1736" s="2">
        <v>1.6256638127235291E-4</v>
      </c>
      <c r="I1736" s="4">
        <v>0</v>
      </c>
      <c r="J1736" s="4">
        <v>-0.63143147921991483</v>
      </c>
      <c r="K1736" s="5">
        <v>3</v>
      </c>
      <c r="L1736" s="5">
        <v>0</v>
      </c>
      <c r="M1736" s="5">
        <v>0</v>
      </c>
    </row>
    <row r="1737" spans="1:13" hidden="1" x14ac:dyDescent="0.25">
      <c r="A1737" t="s">
        <v>1748</v>
      </c>
      <c r="B1737" s="1">
        <v>2.4755927876440039E-2</v>
      </c>
      <c r="C1737" s="2">
        <v>7.0538373810055914E-6</v>
      </c>
      <c r="D1737" s="2"/>
      <c r="E1737" s="2">
        <v>-0.85218789935044426</v>
      </c>
      <c r="F1737" s="3">
        <v>13.315906655916439</v>
      </c>
      <c r="G1737" s="3">
        <v>2</v>
      </c>
      <c r="H1737" s="2">
        <v>1.083775875149019E-4</v>
      </c>
      <c r="I1737" s="4">
        <v>0</v>
      </c>
      <c r="J1737" s="4">
        <v>-0.85218789935044426</v>
      </c>
      <c r="K1737" s="5">
        <v>2</v>
      </c>
      <c r="L1737" s="5">
        <v>0</v>
      </c>
      <c r="M1737" s="5">
        <v>0</v>
      </c>
    </row>
    <row r="1738" spans="1:13" hidden="1" x14ac:dyDescent="0.25">
      <c r="A1738" t="s">
        <v>1749</v>
      </c>
      <c r="B1738" s="1">
        <v>2.464588562660212E-2</v>
      </c>
      <c r="C1738" s="2">
        <v>7.0224824611144493E-6</v>
      </c>
      <c r="D1738" s="2"/>
      <c r="E1738" s="2">
        <v>0.33949787304825851</v>
      </c>
      <c r="F1738" s="3">
        <v>120.6709637771651</v>
      </c>
      <c r="G1738" s="3">
        <v>2</v>
      </c>
      <c r="H1738" s="2">
        <v>1.083775875149019E-4</v>
      </c>
      <c r="I1738" s="4">
        <v>1.110223024625157E-16</v>
      </c>
      <c r="J1738" s="4">
        <v>0.33949787304825851</v>
      </c>
      <c r="K1738" s="5">
        <v>2</v>
      </c>
      <c r="L1738" s="5">
        <v>0</v>
      </c>
      <c r="M1738" s="5">
        <v>0</v>
      </c>
    </row>
    <row r="1739" spans="1:13" hidden="1" x14ac:dyDescent="0.25">
      <c r="A1739" t="s">
        <v>1750</v>
      </c>
      <c r="B1739" s="1">
        <v>2.4612344482657918E-2</v>
      </c>
      <c r="C1739" s="2">
        <v>7.0129254056836809E-6</v>
      </c>
      <c r="D1739" s="2"/>
      <c r="E1739" s="2">
        <v>4.6889075454510598E-2</v>
      </c>
      <c r="F1739" s="3">
        <v>94.310798280998696</v>
      </c>
      <c r="G1739" s="3">
        <v>1</v>
      </c>
      <c r="H1739" s="2">
        <v>5.4188793757450959E-5</v>
      </c>
      <c r="I1739" s="4">
        <v>3.4694469519536142E-17</v>
      </c>
      <c r="J1739" s="4">
        <v>4.6889075454510563E-2</v>
      </c>
      <c r="K1739" s="5">
        <v>1</v>
      </c>
      <c r="L1739" s="5">
        <v>0</v>
      </c>
      <c r="M1739" s="5">
        <v>0</v>
      </c>
    </row>
    <row r="1740" spans="1:13" hidden="1" x14ac:dyDescent="0.25">
      <c r="A1740" t="s">
        <v>1751</v>
      </c>
      <c r="B1740" s="1">
        <v>2.457652950369138E-2</v>
      </c>
      <c r="C1740" s="2">
        <v>7.002720454421297E-6</v>
      </c>
      <c r="D1740" s="2"/>
      <c r="E1740" s="2">
        <v>-0.12676976141119239</v>
      </c>
      <c r="F1740" s="3">
        <v>78.666444053456829</v>
      </c>
      <c r="G1740" s="3">
        <v>1</v>
      </c>
      <c r="H1740" s="2">
        <v>5.4188793757450959E-5</v>
      </c>
      <c r="I1740" s="4">
        <v>-2.775557561562891E-17</v>
      </c>
      <c r="J1740" s="4">
        <v>-0.12676976141119239</v>
      </c>
      <c r="K1740" s="5">
        <v>1</v>
      </c>
      <c r="L1740" s="5">
        <v>0</v>
      </c>
      <c r="M1740" s="5">
        <v>0</v>
      </c>
    </row>
    <row r="1741" spans="1:13" hidden="1" x14ac:dyDescent="0.25">
      <c r="A1741" t="s">
        <v>1752</v>
      </c>
      <c r="B1741" s="1">
        <v>2.4524311763137331E-2</v>
      </c>
      <c r="C1741" s="2">
        <v>6.9878417776005291E-6</v>
      </c>
      <c r="D1741" s="2"/>
      <c r="E1741" s="2">
        <v>-0.5143412063098316</v>
      </c>
      <c r="F1741" s="3">
        <v>43.751405568179393</v>
      </c>
      <c r="G1741" s="3">
        <v>1</v>
      </c>
      <c r="H1741" s="2">
        <v>5.4188793757450959E-5</v>
      </c>
      <c r="I1741" s="4">
        <v>-1.110223024625157E-16</v>
      </c>
      <c r="J1741" s="4">
        <v>-0.51434120630983149</v>
      </c>
      <c r="K1741" s="5">
        <v>1</v>
      </c>
      <c r="L1741" s="5">
        <v>0</v>
      </c>
      <c r="M1741" s="5">
        <v>0</v>
      </c>
    </row>
    <row r="1742" spans="1:13" hidden="1" x14ac:dyDescent="0.25">
      <c r="A1742" t="s">
        <v>1753</v>
      </c>
      <c r="B1742" s="1">
        <v>2.447317555694262E-2</v>
      </c>
      <c r="C1742" s="2">
        <v>6.9732712680813814E-6</v>
      </c>
      <c r="D1742" s="2"/>
      <c r="E1742" s="2">
        <v>4.4486488411486169E-2</v>
      </c>
      <c r="F1742" s="3">
        <v>94.0943571056346</v>
      </c>
      <c r="G1742" s="3">
        <v>1</v>
      </c>
      <c r="H1742" s="2">
        <v>5.4188793757450959E-5</v>
      </c>
      <c r="I1742" s="4">
        <v>-4.163336342344337E-17</v>
      </c>
      <c r="J1742" s="4">
        <v>4.4486488411486211E-2</v>
      </c>
      <c r="K1742" s="5">
        <v>1</v>
      </c>
      <c r="L1742" s="5">
        <v>0</v>
      </c>
      <c r="M1742" s="5">
        <v>0</v>
      </c>
    </row>
    <row r="1743" spans="1:13" hidden="1" x14ac:dyDescent="0.25">
      <c r="A1743" t="s">
        <v>1754</v>
      </c>
      <c r="B1743" s="1">
        <v>2.44720972400638E-2</v>
      </c>
      <c r="C1743" s="2">
        <v>6.9729640175534914E-6</v>
      </c>
      <c r="D1743" s="2"/>
      <c r="E1743" s="2">
        <v>-0.39513322700553349</v>
      </c>
      <c r="F1743" s="3">
        <v>54.49046088287173</v>
      </c>
      <c r="G1743" s="3">
        <v>1</v>
      </c>
      <c r="H1743" s="2">
        <v>5.4188793757450959E-5</v>
      </c>
      <c r="I1743" s="4">
        <v>0</v>
      </c>
      <c r="J1743" s="4">
        <v>-0.39513322700553349</v>
      </c>
      <c r="K1743" s="5">
        <v>1</v>
      </c>
      <c r="L1743" s="5">
        <v>0</v>
      </c>
      <c r="M1743" s="5">
        <v>0</v>
      </c>
    </row>
    <row r="1744" spans="1:13" hidden="1" x14ac:dyDescent="0.25">
      <c r="A1744" t="s">
        <v>1755</v>
      </c>
      <c r="B1744" s="1">
        <v>2.4468754398411629E-2</v>
      </c>
      <c r="C1744" s="2">
        <v>6.9720115240124474E-6</v>
      </c>
      <c r="D1744" s="2"/>
      <c r="E1744" s="2">
        <v>-2.1254198771418539E-2</v>
      </c>
      <c r="F1744" s="3">
        <v>88.171994523840155</v>
      </c>
      <c r="G1744" s="3">
        <v>1</v>
      </c>
      <c r="H1744" s="2">
        <v>5.4188793757450959E-5</v>
      </c>
      <c r="I1744" s="4">
        <v>-1.4918621893400541E-16</v>
      </c>
      <c r="J1744" s="4">
        <v>-2.1254198771418389E-2</v>
      </c>
      <c r="K1744" s="5">
        <v>1</v>
      </c>
      <c r="L1744" s="5">
        <v>0</v>
      </c>
      <c r="M1744" s="5">
        <v>0</v>
      </c>
    </row>
    <row r="1745" spans="1:13" hidden="1" x14ac:dyDescent="0.25">
      <c r="A1745" t="s">
        <v>1756</v>
      </c>
      <c r="B1745" s="1">
        <v>2.4467872530386261E-2</v>
      </c>
      <c r="C1745" s="2">
        <v>6.9717602486947319E-6</v>
      </c>
      <c r="D1745" s="2"/>
      <c r="E1745" s="2" t="s">
        <v>303</v>
      </c>
      <c r="F1745" s="3" t="s">
        <v>303</v>
      </c>
      <c r="G1745" s="3">
        <v>1</v>
      </c>
      <c r="H1745" s="2">
        <v>5.4188793757450959E-5</v>
      </c>
      <c r="I1745" s="4" t="s">
        <v>303</v>
      </c>
      <c r="J1745" s="4">
        <v>0</v>
      </c>
      <c r="K1745" s="5">
        <v>1</v>
      </c>
      <c r="L1745" s="5">
        <v>0</v>
      </c>
      <c r="M1745" s="5">
        <v>0</v>
      </c>
    </row>
    <row r="1746" spans="1:13" hidden="1" x14ac:dyDescent="0.25">
      <c r="A1746" t="s">
        <v>1757</v>
      </c>
      <c r="B1746" s="1">
        <v>2.441066841748837E-2</v>
      </c>
      <c r="C1746" s="2">
        <v>6.9554607784458142E-6</v>
      </c>
      <c r="D1746" s="2"/>
      <c r="E1746" s="2">
        <v>-3.6588202550306148E-2</v>
      </c>
      <c r="F1746" s="3">
        <v>86.790604488221646</v>
      </c>
      <c r="G1746" s="3">
        <v>2</v>
      </c>
      <c r="H1746" s="2">
        <v>1.083775875149019E-4</v>
      </c>
      <c r="I1746" s="4">
        <v>-0.23642911314837139</v>
      </c>
      <c r="J1746" s="4">
        <v>0.1998409105980653</v>
      </c>
      <c r="K1746" s="5">
        <v>2</v>
      </c>
      <c r="L1746" s="5">
        <v>0</v>
      </c>
      <c r="M1746" s="5">
        <v>0</v>
      </c>
    </row>
    <row r="1747" spans="1:13" hidden="1" x14ac:dyDescent="0.25">
      <c r="A1747" t="s">
        <v>1758</v>
      </c>
      <c r="B1747" s="1">
        <v>2.4373786763586851E-2</v>
      </c>
      <c r="C1747" s="2">
        <v>6.9449518938561414E-6</v>
      </c>
      <c r="D1747" s="2"/>
      <c r="E1747" s="2">
        <v>-0.27873439420399992</v>
      </c>
      <c r="F1747" s="3">
        <v>64.976449415824121</v>
      </c>
      <c r="G1747" s="3">
        <v>1</v>
      </c>
      <c r="H1747" s="2">
        <v>5.4188793757450959E-5</v>
      </c>
      <c r="I1747" s="4">
        <v>0</v>
      </c>
      <c r="J1747" s="4">
        <v>-0.27873439420399992</v>
      </c>
      <c r="K1747" s="5">
        <v>1</v>
      </c>
      <c r="L1747" s="5">
        <v>0</v>
      </c>
      <c r="M1747" s="5">
        <v>0</v>
      </c>
    </row>
    <row r="1748" spans="1:13" hidden="1" x14ac:dyDescent="0.25">
      <c r="A1748" t="s">
        <v>1759</v>
      </c>
      <c r="B1748" s="1">
        <v>2.4365033337813868E-2</v>
      </c>
      <c r="C1748" s="2">
        <v>6.9424577339830994E-6</v>
      </c>
      <c r="D1748" s="2"/>
      <c r="E1748" s="2">
        <v>13.28875918127757</v>
      </c>
      <c r="F1748" s="3">
        <v>1287.227382945207</v>
      </c>
      <c r="G1748" s="3">
        <v>1</v>
      </c>
      <c r="H1748" s="2">
        <v>5.4188793757450959E-5</v>
      </c>
      <c r="I1748" s="4">
        <v>1.7763568394002501E-15</v>
      </c>
      <c r="J1748" s="4">
        <v>13.28875918127757</v>
      </c>
      <c r="K1748" s="5">
        <v>1</v>
      </c>
      <c r="L1748" s="5">
        <v>0</v>
      </c>
      <c r="M1748" s="5">
        <v>0</v>
      </c>
    </row>
    <row r="1749" spans="1:13" hidden="1" x14ac:dyDescent="0.25">
      <c r="A1749" t="s">
        <v>1760</v>
      </c>
      <c r="B1749" s="1">
        <v>2.4344024704286971E-2</v>
      </c>
      <c r="C1749" s="2">
        <v>6.9364716329879928E-6</v>
      </c>
      <c r="D1749" s="2"/>
      <c r="E1749" s="2">
        <v>1.585633566438831</v>
      </c>
      <c r="F1749" s="3">
        <v>232.93123543879</v>
      </c>
      <c r="G1749" s="3">
        <v>1</v>
      </c>
      <c r="H1749" s="2">
        <v>5.4188793757450959E-5</v>
      </c>
      <c r="I1749" s="4">
        <v>0</v>
      </c>
      <c r="J1749" s="4">
        <v>1.585633566438831</v>
      </c>
      <c r="K1749" s="5">
        <v>1</v>
      </c>
      <c r="L1749" s="5">
        <v>0</v>
      </c>
      <c r="M1749" s="5">
        <v>0</v>
      </c>
    </row>
    <row r="1750" spans="1:13" hidden="1" x14ac:dyDescent="0.25">
      <c r="A1750" t="s">
        <v>1761</v>
      </c>
      <c r="B1750" s="1">
        <v>2.422893248696632E-2</v>
      </c>
      <c r="C1750" s="2">
        <v>6.9036777991696354E-6</v>
      </c>
      <c r="D1750" s="2"/>
      <c r="E1750" s="2">
        <v>-0.73380482509114398</v>
      </c>
      <c r="F1750" s="3">
        <v>23.98064898452094</v>
      </c>
      <c r="G1750" s="3">
        <v>1</v>
      </c>
      <c r="H1750" s="2">
        <v>5.4188793757450959E-5</v>
      </c>
      <c r="I1750" s="4">
        <v>0</v>
      </c>
      <c r="J1750" s="4">
        <v>-0.73380482509114398</v>
      </c>
      <c r="K1750" s="5">
        <v>1</v>
      </c>
      <c r="L1750" s="5">
        <v>0</v>
      </c>
      <c r="M1750" s="5">
        <v>0</v>
      </c>
    </row>
    <row r="1751" spans="1:13" hidden="1" x14ac:dyDescent="0.25">
      <c r="A1751" t="s">
        <v>1762</v>
      </c>
      <c r="B1751" s="1">
        <v>2.4206818679053239E-2</v>
      </c>
      <c r="C1751" s="2">
        <v>6.8973767949951126E-6</v>
      </c>
      <c r="D1751" s="2"/>
      <c r="E1751" s="2">
        <v>0.105955471274862</v>
      </c>
      <c r="F1751" s="3">
        <v>99.6318958757752</v>
      </c>
      <c r="G1751" s="3">
        <v>1</v>
      </c>
      <c r="H1751" s="2">
        <v>5.4188793757450959E-5</v>
      </c>
      <c r="I1751" s="4">
        <v>1.387778780781446E-17</v>
      </c>
      <c r="J1751" s="4">
        <v>0.105955471274862</v>
      </c>
      <c r="K1751" s="5">
        <v>1</v>
      </c>
      <c r="L1751" s="5">
        <v>0</v>
      </c>
      <c r="M1751" s="5">
        <v>0</v>
      </c>
    </row>
    <row r="1752" spans="1:13" hidden="1" x14ac:dyDescent="0.25">
      <c r="A1752" t="s">
        <v>1763</v>
      </c>
      <c r="B1752" s="1">
        <v>2.4170381071503429E-2</v>
      </c>
      <c r="C1752" s="2">
        <v>6.8869944348794999E-6</v>
      </c>
      <c r="D1752" s="2"/>
      <c r="E1752" s="2">
        <v>-0.15387248435279591</v>
      </c>
      <c r="F1752" s="3">
        <v>76.224848763046865</v>
      </c>
      <c r="G1752" s="3">
        <v>2</v>
      </c>
      <c r="H1752" s="2">
        <v>1.083775875149019E-4</v>
      </c>
      <c r="I1752" s="4">
        <v>8.3266726846886741E-17</v>
      </c>
      <c r="J1752" s="4">
        <v>-0.15387248435279599</v>
      </c>
      <c r="K1752" s="5">
        <v>2</v>
      </c>
      <c r="L1752" s="5">
        <v>0</v>
      </c>
      <c r="M1752" s="5">
        <v>0</v>
      </c>
    </row>
    <row r="1753" spans="1:13" hidden="1" x14ac:dyDescent="0.25">
      <c r="A1753" t="s">
        <v>1764</v>
      </c>
      <c r="B1753" s="1">
        <v>2.413750339331857E-2</v>
      </c>
      <c r="C1753" s="2">
        <v>6.8776264242543904E-6</v>
      </c>
      <c r="D1753" s="2"/>
      <c r="E1753" s="2">
        <v>-0.72036246460732911</v>
      </c>
      <c r="F1753" s="3">
        <v>25.191627088824049</v>
      </c>
      <c r="G1753" s="3">
        <v>1</v>
      </c>
      <c r="H1753" s="2">
        <v>5.4188793757450959E-5</v>
      </c>
      <c r="I1753" s="4">
        <v>1.110223024625157E-16</v>
      </c>
      <c r="J1753" s="4">
        <v>-0.72036246460732933</v>
      </c>
      <c r="K1753" s="5">
        <v>1</v>
      </c>
      <c r="L1753" s="5">
        <v>0</v>
      </c>
      <c r="M1753" s="5">
        <v>0</v>
      </c>
    </row>
    <row r="1754" spans="1:13" hidden="1" x14ac:dyDescent="0.25">
      <c r="A1754" t="s">
        <v>1765</v>
      </c>
      <c r="B1754" s="1">
        <v>2.4130299781751911E-2</v>
      </c>
      <c r="C1754" s="2">
        <v>6.8755738611349296E-6</v>
      </c>
      <c r="D1754" s="2"/>
      <c r="E1754" s="2">
        <v>2.0889229035009169</v>
      </c>
      <c r="F1754" s="3">
        <v>278.27091875149688</v>
      </c>
      <c r="G1754" s="3">
        <v>1</v>
      </c>
      <c r="H1754" s="2">
        <v>5.4188793757450959E-5</v>
      </c>
      <c r="I1754" s="4">
        <v>0</v>
      </c>
      <c r="J1754" s="4">
        <v>2.0889229035009169</v>
      </c>
      <c r="K1754" s="5">
        <v>1</v>
      </c>
      <c r="L1754" s="5">
        <v>0</v>
      </c>
      <c r="M1754" s="5">
        <v>0</v>
      </c>
    </row>
    <row r="1755" spans="1:13" hidden="1" x14ac:dyDescent="0.25">
      <c r="A1755" t="s">
        <v>1766</v>
      </c>
      <c r="B1755" s="1">
        <v>2.4117304393102858E-2</v>
      </c>
      <c r="C1755" s="2">
        <v>6.8718710163580791E-6</v>
      </c>
      <c r="D1755" s="2"/>
      <c r="E1755" s="2">
        <v>0.90229478574665922</v>
      </c>
      <c r="F1755" s="3">
        <v>171.37148912520519</v>
      </c>
      <c r="G1755" s="3">
        <v>1</v>
      </c>
      <c r="H1755" s="2">
        <v>5.4188793757450959E-5</v>
      </c>
      <c r="I1755" s="4">
        <v>-1.110223024625157E-16</v>
      </c>
      <c r="J1755" s="4">
        <v>0.90229478574665933</v>
      </c>
      <c r="K1755" s="5">
        <v>1</v>
      </c>
      <c r="L1755" s="5">
        <v>0</v>
      </c>
      <c r="M1755" s="5">
        <v>1</v>
      </c>
    </row>
    <row r="1756" spans="1:13" hidden="1" x14ac:dyDescent="0.25">
      <c r="A1756" t="s">
        <v>1767</v>
      </c>
      <c r="B1756" s="1">
        <v>2.4115568071466E-2</v>
      </c>
      <c r="C1756" s="2">
        <v>6.8713762770565024E-6</v>
      </c>
      <c r="D1756" s="2"/>
      <c r="E1756" s="2">
        <v>1.0791977709968441</v>
      </c>
      <c r="F1756" s="3">
        <v>187.30809802523919</v>
      </c>
      <c r="G1756" s="3">
        <v>1</v>
      </c>
      <c r="H1756" s="2">
        <v>5.4188793757450959E-5</v>
      </c>
      <c r="I1756" s="4">
        <v>-2.2204460492503131E-16</v>
      </c>
      <c r="J1756" s="4">
        <v>1.0791977709968441</v>
      </c>
      <c r="K1756" s="5">
        <v>1</v>
      </c>
      <c r="L1756" s="5">
        <v>0</v>
      </c>
      <c r="M1756" s="5">
        <v>0</v>
      </c>
    </row>
    <row r="1757" spans="1:13" hidden="1" x14ac:dyDescent="0.25">
      <c r="A1757" t="s">
        <v>1768</v>
      </c>
      <c r="B1757" s="1">
        <v>2.4096611641119179E-2</v>
      </c>
      <c r="C1757" s="2">
        <v>6.8659749211607253E-6</v>
      </c>
      <c r="D1757" s="2"/>
      <c r="E1757" s="2">
        <v>0.251672582549618</v>
      </c>
      <c r="F1757" s="3">
        <v>112.75907181994759</v>
      </c>
      <c r="G1757" s="3">
        <v>1</v>
      </c>
      <c r="H1757" s="2">
        <v>5.4188793757450959E-5</v>
      </c>
      <c r="I1757" s="4">
        <v>-5.5511151231257827E-17</v>
      </c>
      <c r="J1757" s="4">
        <v>0.25167258254961811</v>
      </c>
      <c r="K1757" s="5">
        <v>1</v>
      </c>
      <c r="L1757" s="5">
        <v>0</v>
      </c>
      <c r="M1757" s="5">
        <v>0</v>
      </c>
    </row>
    <row r="1758" spans="1:13" hidden="1" x14ac:dyDescent="0.25">
      <c r="A1758" t="s">
        <v>1769</v>
      </c>
      <c r="B1758" s="1">
        <v>2.404426837776448E-2</v>
      </c>
      <c r="C1758" s="2">
        <v>6.8510604784648969E-6</v>
      </c>
      <c r="D1758" s="2"/>
      <c r="E1758" s="2">
        <v>-0.56892337757053224</v>
      </c>
      <c r="F1758" s="3">
        <v>38.834277035462591</v>
      </c>
      <c r="G1758" s="3">
        <v>2</v>
      </c>
      <c r="H1758" s="2">
        <v>1.083775875149019E-4</v>
      </c>
      <c r="I1758" s="4">
        <v>-0.1392471024701317</v>
      </c>
      <c r="J1758" s="4">
        <v>-0.42967627510040052</v>
      </c>
      <c r="K1758" s="5">
        <v>2</v>
      </c>
      <c r="L1758" s="5">
        <v>0</v>
      </c>
      <c r="M1758" s="5">
        <v>0</v>
      </c>
    </row>
    <row r="1759" spans="1:13" hidden="1" x14ac:dyDescent="0.25">
      <c r="A1759" t="s">
        <v>1770</v>
      </c>
      <c r="B1759" s="1">
        <v>2.399934232180867E-2</v>
      </c>
      <c r="C1759" s="2">
        <v>6.8382594598779986E-6</v>
      </c>
      <c r="D1759" s="2"/>
      <c r="E1759" s="2">
        <v>-3.9323558030465722E-2</v>
      </c>
      <c r="F1759" s="3">
        <v>86.544185297340164</v>
      </c>
      <c r="G1759" s="3">
        <v>1</v>
      </c>
      <c r="H1759" s="2">
        <v>5.4188793757450959E-5</v>
      </c>
      <c r="I1759" s="4">
        <v>-2.0816681711721691E-17</v>
      </c>
      <c r="J1759" s="4">
        <v>-3.9323558030465701E-2</v>
      </c>
      <c r="K1759" s="5">
        <v>1</v>
      </c>
      <c r="L1759" s="5">
        <v>0</v>
      </c>
      <c r="M1759" s="5">
        <v>0</v>
      </c>
    </row>
    <row r="1760" spans="1:13" hidden="1" x14ac:dyDescent="0.25">
      <c r="A1760" t="s">
        <v>1771</v>
      </c>
      <c r="B1760" s="1">
        <v>2.3971749756149911E-2</v>
      </c>
      <c r="C1760" s="2">
        <v>6.8303973643002021E-6</v>
      </c>
      <c r="D1760" s="2"/>
      <c r="E1760" s="2">
        <v>-0.33897156529799233</v>
      </c>
      <c r="F1760" s="3">
        <v>59.549880522078539</v>
      </c>
      <c r="G1760" s="3">
        <v>2</v>
      </c>
      <c r="H1760" s="2">
        <v>1.083775875149019E-4</v>
      </c>
      <c r="I1760" s="4">
        <v>-5.5511151231257827E-17</v>
      </c>
      <c r="J1760" s="4">
        <v>-0.33897156529799233</v>
      </c>
      <c r="K1760" s="5">
        <v>2</v>
      </c>
      <c r="L1760" s="5">
        <v>0</v>
      </c>
      <c r="M1760" s="5">
        <v>0</v>
      </c>
    </row>
    <row r="1761" spans="1:13" hidden="1" x14ac:dyDescent="0.25">
      <c r="A1761" t="s">
        <v>1772</v>
      </c>
      <c r="B1761" s="1">
        <v>2.3951144088482951E-2</v>
      </c>
      <c r="C1761" s="2">
        <v>6.8245260824975057E-6</v>
      </c>
      <c r="D1761" s="2"/>
      <c r="E1761" s="2">
        <v>-0.19602695928909369</v>
      </c>
      <c r="F1761" s="3">
        <v>72.427290573195108</v>
      </c>
      <c r="G1761" s="3">
        <v>2</v>
      </c>
      <c r="H1761" s="2">
        <v>1.083775875149019E-4</v>
      </c>
      <c r="I1761" s="4">
        <v>1.6653345369377351E-16</v>
      </c>
      <c r="J1761" s="4">
        <v>-0.19602695928909389</v>
      </c>
      <c r="K1761" s="5">
        <v>2</v>
      </c>
      <c r="L1761" s="5">
        <v>0</v>
      </c>
      <c r="M1761" s="5">
        <v>0</v>
      </c>
    </row>
    <row r="1762" spans="1:13" hidden="1" x14ac:dyDescent="0.25">
      <c r="A1762" t="s">
        <v>1773</v>
      </c>
      <c r="B1762" s="1">
        <v>2.391106993321784E-2</v>
      </c>
      <c r="C1762" s="2">
        <v>6.8131075416198572E-6</v>
      </c>
      <c r="D1762" s="2"/>
      <c r="E1762" s="2">
        <v>-0.23690830340650421</v>
      </c>
      <c r="F1762" s="3">
        <v>68.744424557195018</v>
      </c>
      <c r="G1762" s="3">
        <v>2</v>
      </c>
      <c r="H1762" s="2">
        <v>1.083775875149019E-4</v>
      </c>
      <c r="I1762" s="4">
        <v>-1.9428902930940239E-16</v>
      </c>
      <c r="J1762" s="4">
        <v>-0.23690830340650401</v>
      </c>
      <c r="K1762" s="5">
        <v>2</v>
      </c>
      <c r="L1762" s="5">
        <v>0</v>
      </c>
      <c r="M1762" s="5">
        <v>0</v>
      </c>
    </row>
    <row r="1763" spans="1:13" hidden="1" x14ac:dyDescent="0.25">
      <c r="A1763" t="s">
        <v>1774</v>
      </c>
      <c r="B1763" s="1">
        <v>2.3858886917167921E-2</v>
      </c>
      <c r="C1763" s="2">
        <v>6.7982387590355907E-6</v>
      </c>
      <c r="D1763" s="2"/>
      <c r="E1763" s="2">
        <v>-0.6889371105423997</v>
      </c>
      <c r="F1763" s="3">
        <v>28.022634019371878</v>
      </c>
      <c r="G1763" s="3">
        <v>1</v>
      </c>
      <c r="H1763" s="2">
        <v>5.4188793757450959E-5</v>
      </c>
      <c r="I1763" s="4">
        <v>-1.110223024625157E-16</v>
      </c>
      <c r="J1763" s="4">
        <v>-0.68893711054239959</v>
      </c>
      <c r="K1763" s="5">
        <v>1</v>
      </c>
      <c r="L1763" s="5">
        <v>0</v>
      </c>
      <c r="M1763" s="5">
        <v>0</v>
      </c>
    </row>
    <row r="1764" spans="1:13" hidden="1" x14ac:dyDescent="0.25">
      <c r="A1764" t="s">
        <v>1775</v>
      </c>
      <c r="B1764" s="1">
        <v>2.3841164175909129E-2</v>
      </c>
      <c r="C1764" s="2">
        <v>6.7931889246925169E-6</v>
      </c>
      <c r="D1764" s="2"/>
      <c r="E1764" s="2">
        <v>2.6710088817236759</v>
      </c>
      <c r="F1764" s="3">
        <v>330.70913265733088</v>
      </c>
      <c r="G1764" s="3">
        <v>1</v>
      </c>
      <c r="H1764" s="2">
        <v>5.4188793757450959E-5</v>
      </c>
      <c r="I1764" s="4">
        <v>0</v>
      </c>
      <c r="J1764" s="4">
        <v>2.6710088817236759</v>
      </c>
      <c r="K1764" s="5">
        <v>1</v>
      </c>
      <c r="L1764" s="5">
        <v>0</v>
      </c>
      <c r="M1764" s="5">
        <v>0</v>
      </c>
    </row>
    <row r="1765" spans="1:13" hidden="1" x14ac:dyDescent="0.25">
      <c r="A1765" t="s">
        <v>1776</v>
      </c>
      <c r="B1765" s="1">
        <v>2.374620290613506E-2</v>
      </c>
      <c r="C1765" s="2">
        <v>6.766131108163751E-6</v>
      </c>
      <c r="D1765" s="2"/>
      <c r="E1765" s="2">
        <v>-0.5029282146137376</v>
      </c>
      <c r="F1765" s="3">
        <v>44.779564503896353</v>
      </c>
      <c r="G1765" s="3">
        <v>2</v>
      </c>
      <c r="H1765" s="2">
        <v>1.083775875149019E-4</v>
      </c>
      <c r="I1765" s="4">
        <v>1.110223024625157E-16</v>
      </c>
      <c r="J1765" s="4">
        <v>-0.50292821461373771</v>
      </c>
      <c r="K1765" s="5">
        <v>2</v>
      </c>
      <c r="L1765" s="5">
        <v>0</v>
      </c>
      <c r="M1765" s="5">
        <v>0</v>
      </c>
    </row>
    <row r="1766" spans="1:13" hidden="1" x14ac:dyDescent="0.25">
      <c r="A1766" t="s">
        <v>1777</v>
      </c>
      <c r="B1766" s="1">
        <v>2.370310104308182E-2</v>
      </c>
      <c r="C1766" s="2">
        <v>6.753849866502625E-6</v>
      </c>
      <c r="D1766" s="2"/>
      <c r="E1766" s="2">
        <v>-0.71606637492111647</v>
      </c>
      <c r="F1766" s="3">
        <v>25.578647698068242</v>
      </c>
      <c r="G1766" s="3">
        <v>1</v>
      </c>
      <c r="H1766" s="2">
        <v>5.4188793757450959E-5</v>
      </c>
      <c r="I1766" s="4">
        <v>-1.110223024625157E-16</v>
      </c>
      <c r="J1766" s="4">
        <v>-0.71606637492111647</v>
      </c>
      <c r="K1766" s="5">
        <v>1</v>
      </c>
      <c r="L1766" s="5">
        <v>0</v>
      </c>
      <c r="M1766" s="5">
        <v>0</v>
      </c>
    </row>
    <row r="1767" spans="1:13" hidden="1" x14ac:dyDescent="0.25">
      <c r="A1767" t="s">
        <v>1778</v>
      </c>
      <c r="B1767" s="1">
        <v>2.3639007055848E-2</v>
      </c>
      <c r="C1767" s="2">
        <v>6.735587227941704E-6</v>
      </c>
      <c r="D1767" s="2"/>
      <c r="E1767" s="2">
        <v>-0.1372535814869027</v>
      </c>
      <c r="F1767" s="3">
        <v>77.721991137138701</v>
      </c>
      <c r="G1767" s="3">
        <v>1</v>
      </c>
      <c r="H1767" s="2">
        <v>5.4188793757450959E-5</v>
      </c>
      <c r="I1767" s="4">
        <v>-2.775557561562891E-17</v>
      </c>
      <c r="J1767" s="4">
        <v>-0.1372535814869027</v>
      </c>
      <c r="K1767" s="5">
        <v>1</v>
      </c>
      <c r="L1767" s="5">
        <v>0</v>
      </c>
      <c r="M1767" s="5">
        <v>0</v>
      </c>
    </row>
    <row r="1768" spans="1:13" hidden="1" x14ac:dyDescent="0.25">
      <c r="A1768" t="s">
        <v>1779</v>
      </c>
      <c r="B1768" s="1">
        <v>2.3636914392204191E-2</v>
      </c>
      <c r="C1768" s="2">
        <v>6.7349909542285878E-6</v>
      </c>
      <c r="D1768" s="2"/>
      <c r="E1768" s="2">
        <v>-0.47239610748582589</v>
      </c>
      <c r="F1768" s="3">
        <v>47.530101751774467</v>
      </c>
      <c r="G1768" s="3">
        <v>1</v>
      </c>
      <c r="H1768" s="2">
        <v>5.4188793757450959E-5</v>
      </c>
      <c r="I1768" s="4">
        <v>0</v>
      </c>
      <c r="J1768" s="4">
        <v>-0.47239610748582589</v>
      </c>
      <c r="K1768" s="5">
        <v>1</v>
      </c>
      <c r="L1768" s="5">
        <v>0</v>
      </c>
      <c r="M1768" s="5">
        <v>0</v>
      </c>
    </row>
    <row r="1769" spans="1:13" hidden="1" x14ac:dyDescent="0.25">
      <c r="A1769" t="s">
        <v>1780</v>
      </c>
      <c r="B1769" s="1">
        <v>2.3585981736969928E-2</v>
      </c>
      <c r="C1769" s="2">
        <v>6.7204784435604971E-6</v>
      </c>
      <c r="D1769" s="2"/>
      <c r="E1769" s="2">
        <v>-0.44924396778079723</v>
      </c>
      <c r="F1769" s="3">
        <v>49.615801974165727</v>
      </c>
      <c r="G1769" s="3">
        <v>1</v>
      </c>
      <c r="H1769" s="2">
        <v>5.4188793757450959E-5</v>
      </c>
      <c r="I1769" s="4">
        <v>0</v>
      </c>
      <c r="J1769" s="4">
        <v>-0.44924396778079723</v>
      </c>
      <c r="K1769" s="5">
        <v>1</v>
      </c>
      <c r="L1769" s="5">
        <v>0</v>
      </c>
      <c r="M1769" s="5">
        <v>0</v>
      </c>
    </row>
    <row r="1770" spans="1:13" hidden="1" x14ac:dyDescent="0.25">
      <c r="A1770" t="s">
        <v>1781</v>
      </c>
      <c r="B1770" s="1">
        <v>2.3446517257542359E-2</v>
      </c>
      <c r="C1770" s="2">
        <v>6.6807400922767659E-6</v>
      </c>
      <c r="D1770" s="2"/>
      <c r="E1770" s="2">
        <v>-0.1465096144528453</v>
      </c>
      <c r="F1770" s="3">
        <v>76.88814552884989</v>
      </c>
      <c r="G1770" s="3">
        <v>2</v>
      </c>
      <c r="H1770" s="2">
        <v>1.083775875149019E-4</v>
      </c>
      <c r="I1770" s="4">
        <v>-1.6653345369377351E-16</v>
      </c>
      <c r="J1770" s="4">
        <v>-0.1465096144528451</v>
      </c>
      <c r="K1770" s="5">
        <v>2</v>
      </c>
      <c r="L1770" s="5">
        <v>0</v>
      </c>
      <c r="M1770" s="5">
        <v>0</v>
      </c>
    </row>
    <row r="1771" spans="1:13" hidden="1" x14ac:dyDescent="0.25">
      <c r="A1771" t="s">
        <v>1782</v>
      </c>
      <c r="B1771" s="1">
        <v>2.3369871098038821E-2</v>
      </c>
      <c r="C1771" s="2">
        <v>6.6589008969246472E-6</v>
      </c>
      <c r="D1771" s="2"/>
      <c r="E1771" s="2">
        <v>-0.69682909265479753</v>
      </c>
      <c r="F1771" s="3">
        <v>27.31167127222843</v>
      </c>
      <c r="G1771" s="3">
        <v>2</v>
      </c>
      <c r="H1771" s="2">
        <v>1.083775875149019E-4</v>
      </c>
      <c r="I1771" s="4">
        <v>-2.2204460492503131E-16</v>
      </c>
      <c r="J1771" s="4">
        <v>-0.69682909265479731</v>
      </c>
      <c r="K1771" s="5">
        <v>2</v>
      </c>
      <c r="L1771" s="5">
        <v>0</v>
      </c>
      <c r="M1771" s="5">
        <v>1</v>
      </c>
    </row>
    <row r="1772" spans="1:13" hidden="1" x14ac:dyDescent="0.25">
      <c r="A1772" t="s">
        <v>1783</v>
      </c>
      <c r="B1772" s="1">
        <v>2.334764940284343E-2</v>
      </c>
      <c r="C1772" s="2">
        <v>6.6525691518565181E-6</v>
      </c>
      <c r="D1772" s="2"/>
      <c r="E1772" s="2">
        <v>-5.8870502831452669E-2</v>
      </c>
      <c r="F1772" s="3">
        <v>84.783265242524095</v>
      </c>
      <c r="G1772" s="3">
        <v>1</v>
      </c>
      <c r="H1772" s="2">
        <v>5.4188793757450959E-5</v>
      </c>
      <c r="I1772" s="4">
        <v>1.387778780781446E-17</v>
      </c>
      <c r="J1772" s="4">
        <v>-5.8870502831452683E-2</v>
      </c>
      <c r="K1772" s="5">
        <v>1</v>
      </c>
      <c r="L1772" s="5">
        <v>0</v>
      </c>
      <c r="M1772" s="5">
        <v>0</v>
      </c>
    </row>
    <row r="1773" spans="1:13" hidden="1" x14ac:dyDescent="0.25">
      <c r="A1773" t="s">
        <v>1784</v>
      </c>
      <c r="B1773" s="1">
        <v>2.3318145942044181E-2</v>
      </c>
      <c r="C1773" s="2">
        <v>6.6441625748260204E-6</v>
      </c>
      <c r="D1773" s="2"/>
      <c r="E1773" s="2">
        <v>-0.54710893534517524</v>
      </c>
      <c r="F1773" s="3">
        <v>40.799468485602567</v>
      </c>
      <c r="G1773" s="3">
        <v>1</v>
      </c>
      <c r="H1773" s="2">
        <v>5.4188793757450959E-5</v>
      </c>
      <c r="I1773" s="4">
        <v>0</v>
      </c>
      <c r="J1773" s="4">
        <v>-0.54710893534517524</v>
      </c>
      <c r="K1773" s="5">
        <v>1</v>
      </c>
      <c r="L1773" s="5">
        <v>0</v>
      </c>
      <c r="M1773" s="5">
        <v>1</v>
      </c>
    </row>
    <row r="1774" spans="1:13" hidden="1" x14ac:dyDescent="0.25">
      <c r="A1774" t="s">
        <v>1785</v>
      </c>
      <c r="B1774" s="1">
        <v>2.3303613816783132E-2</v>
      </c>
      <c r="C1774" s="2">
        <v>6.6400218595636587E-6</v>
      </c>
      <c r="D1774" s="2"/>
      <c r="E1774" s="2">
        <v>7.3248457923002386E-2</v>
      </c>
      <c r="F1774" s="3">
        <v>96.685428469701677</v>
      </c>
      <c r="G1774" s="3">
        <v>1</v>
      </c>
      <c r="H1774" s="2">
        <v>5.4188793757450959E-5</v>
      </c>
      <c r="I1774" s="4">
        <v>-9.7144514654701197E-17</v>
      </c>
      <c r="J1774" s="4">
        <v>7.3248457923002483E-2</v>
      </c>
      <c r="K1774" s="5">
        <v>1</v>
      </c>
      <c r="L1774" s="5">
        <v>0</v>
      </c>
      <c r="M1774" s="5">
        <v>0</v>
      </c>
    </row>
    <row r="1775" spans="1:13" hidden="1" x14ac:dyDescent="0.25">
      <c r="A1775" t="s">
        <v>1786</v>
      </c>
      <c r="B1775" s="1">
        <v>2.3055252502785339E-2</v>
      </c>
      <c r="C1775" s="2">
        <v>6.5692549576152779E-6</v>
      </c>
      <c r="D1775" s="2"/>
      <c r="E1775" s="2">
        <v>0.65265165660027447</v>
      </c>
      <c r="F1775" s="3">
        <v>148.8819595779222</v>
      </c>
      <c r="G1775" s="3">
        <v>1</v>
      </c>
      <c r="H1775" s="2">
        <v>5.4188793757450959E-5</v>
      </c>
      <c r="I1775" s="4">
        <v>0.65265165660027447</v>
      </c>
      <c r="J1775" s="4">
        <v>0</v>
      </c>
      <c r="K1775" s="5">
        <v>1</v>
      </c>
      <c r="L1775" s="5">
        <v>0</v>
      </c>
      <c r="M1775" s="5">
        <v>0</v>
      </c>
    </row>
    <row r="1776" spans="1:13" hidden="1" x14ac:dyDescent="0.25">
      <c r="A1776" t="s">
        <v>1787</v>
      </c>
      <c r="B1776" s="1">
        <v>2.3053745158269249E-2</v>
      </c>
      <c r="C1776" s="2">
        <v>6.5688254619750116E-6</v>
      </c>
      <c r="D1776" s="2"/>
      <c r="E1776" s="2">
        <v>0.61311474493627838</v>
      </c>
      <c r="F1776" s="3">
        <v>145.32020906583679</v>
      </c>
      <c r="G1776" s="3">
        <v>1</v>
      </c>
      <c r="H1776" s="2">
        <v>5.4188793757450959E-5</v>
      </c>
      <c r="I1776" s="4">
        <v>0</v>
      </c>
      <c r="J1776" s="4">
        <v>0.61311474493627838</v>
      </c>
      <c r="K1776" s="5">
        <v>1</v>
      </c>
      <c r="L1776" s="5">
        <v>0</v>
      </c>
      <c r="M1776" s="5">
        <v>0</v>
      </c>
    </row>
    <row r="1777" spans="1:13" hidden="1" x14ac:dyDescent="0.25">
      <c r="A1777" t="s">
        <v>1788</v>
      </c>
      <c r="B1777" s="1">
        <v>2.304809251455741E-2</v>
      </c>
      <c r="C1777" s="2">
        <v>6.5672148243243001E-6</v>
      </c>
      <c r="D1777" s="2"/>
      <c r="E1777" s="2">
        <v>-0.82873559523897988</v>
      </c>
      <c r="F1777" s="3">
        <v>15.42864770378791</v>
      </c>
      <c r="G1777" s="3">
        <v>2</v>
      </c>
      <c r="H1777" s="2">
        <v>1.083775875149019E-4</v>
      </c>
      <c r="I1777" s="4">
        <v>2.2204460492503131E-16</v>
      </c>
      <c r="J1777" s="4">
        <v>-0.82873559523898011</v>
      </c>
      <c r="K1777" s="5">
        <v>2</v>
      </c>
      <c r="L1777" s="5">
        <v>0</v>
      </c>
      <c r="M1777" s="5">
        <v>0</v>
      </c>
    </row>
    <row r="1778" spans="1:13" hidden="1" x14ac:dyDescent="0.25">
      <c r="A1778" t="s">
        <v>1789</v>
      </c>
      <c r="B1778" s="1">
        <v>2.30425742883421E-2</v>
      </c>
      <c r="C1778" s="2">
        <v>6.5656424869613591E-6</v>
      </c>
      <c r="D1778" s="2"/>
      <c r="E1778" s="2">
        <v>0.1093246731574546</v>
      </c>
      <c r="F1778" s="3">
        <v>99.935416207171528</v>
      </c>
      <c r="G1778" s="3">
        <v>1</v>
      </c>
      <c r="H1778" s="2">
        <v>5.4188793757450959E-5</v>
      </c>
      <c r="I1778" s="4">
        <v>1.387778780781446E-17</v>
      </c>
      <c r="J1778" s="4">
        <v>0.1093246731574546</v>
      </c>
      <c r="K1778" s="5">
        <v>1</v>
      </c>
      <c r="L1778" s="5">
        <v>0</v>
      </c>
      <c r="M1778" s="5">
        <v>0</v>
      </c>
    </row>
    <row r="1779" spans="1:13" hidden="1" x14ac:dyDescent="0.25">
      <c r="A1779" t="s">
        <v>1790</v>
      </c>
      <c r="B1779" s="1">
        <v>2.303662733273102E-2</v>
      </c>
      <c r="C1779" s="2">
        <v>6.5639479894655677E-6</v>
      </c>
      <c r="D1779" s="2"/>
      <c r="E1779" s="2" t="s">
        <v>303</v>
      </c>
      <c r="F1779" s="3" t="s">
        <v>303</v>
      </c>
      <c r="G1779" s="3">
        <v>1</v>
      </c>
      <c r="H1779" s="2">
        <v>5.4188793757450959E-5</v>
      </c>
      <c r="I1779" s="4" t="s">
        <v>303</v>
      </c>
      <c r="J1779" s="4">
        <v>0</v>
      </c>
      <c r="K1779" s="5">
        <v>1</v>
      </c>
      <c r="L1779" s="5">
        <v>0</v>
      </c>
      <c r="M1779" s="5">
        <v>1</v>
      </c>
    </row>
    <row r="1780" spans="1:13" hidden="1" x14ac:dyDescent="0.25">
      <c r="A1780" t="s">
        <v>1791</v>
      </c>
      <c r="B1780" s="1">
        <v>2.302539158319912E-2</v>
      </c>
      <c r="C1780" s="2">
        <v>6.5607465279632048E-6</v>
      </c>
      <c r="D1780" s="2"/>
      <c r="E1780" s="2">
        <v>0.32315768267282508</v>
      </c>
      <c r="F1780" s="3">
        <v>119.19892969590239</v>
      </c>
      <c r="G1780" s="3">
        <v>3</v>
      </c>
      <c r="H1780" s="2">
        <v>1.6256638127235291E-4</v>
      </c>
      <c r="I1780" s="4">
        <v>3.8857805861880469E-16</v>
      </c>
      <c r="J1780" s="4">
        <v>0.32315768267282469</v>
      </c>
      <c r="K1780" s="5">
        <v>3</v>
      </c>
      <c r="L1780" s="5">
        <v>0</v>
      </c>
      <c r="M1780" s="5">
        <v>0</v>
      </c>
    </row>
    <row r="1781" spans="1:13" hidden="1" x14ac:dyDescent="0.25">
      <c r="A1781" t="s">
        <v>1792</v>
      </c>
      <c r="B1781" s="1">
        <v>2.2900418544822471E-2</v>
      </c>
      <c r="C1781" s="2">
        <v>6.5251372995747977E-6</v>
      </c>
      <c r="D1781" s="2"/>
      <c r="E1781" s="2">
        <v>0.24854506857311701</v>
      </c>
      <c r="F1781" s="3">
        <v>112.4773243581826</v>
      </c>
      <c r="G1781" s="3">
        <v>1</v>
      </c>
      <c r="H1781" s="2">
        <v>5.4188793757450959E-5</v>
      </c>
      <c r="I1781" s="4">
        <v>-5.5511151231257827E-17</v>
      </c>
      <c r="J1781" s="4">
        <v>0.24854506857311701</v>
      </c>
      <c r="K1781" s="5">
        <v>1</v>
      </c>
      <c r="L1781" s="5">
        <v>0</v>
      </c>
      <c r="M1781" s="5">
        <v>0</v>
      </c>
    </row>
    <row r="1782" spans="1:13" hidden="1" x14ac:dyDescent="0.25">
      <c r="A1782" t="s">
        <v>1793</v>
      </c>
      <c r="B1782" s="1">
        <v>2.2883083928216211E-2</v>
      </c>
      <c r="C1782" s="2">
        <v>6.5201980556404586E-6</v>
      </c>
      <c r="D1782" s="2"/>
      <c r="E1782" s="2">
        <v>1.1392227541710409</v>
      </c>
      <c r="F1782" s="3">
        <v>192.7155516062256</v>
      </c>
      <c r="G1782" s="3">
        <v>1</v>
      </c>
      <c r="H1782" s="2">
        <v>5.4188793757450959E-5</v>
      </c>
      <c r="I1782" s="4">
        <v>2.2204460492503131E-16</v>
      </c>
      <c r="J1782" s="4">
        <v>1.1392227541710409</v>
      </c>
      <c r="K1782" s="5">
        <v>1</v>
      </c>
      <c r="L1782" s="5">
        <v>0</v>
      </c>
      <c r="M1782" s="5">
        <v>0</v>
      </c>
    </row>
    <row r="1783" spans="1:13" hidden="1" x14ac:dyDescent="0.25">
      <c r="A1783" t="s">
        <v>1794</v>
      </c>
      <c r="B1783" s="1">
        <v>2.2871642296096711E-2</v>
      </c>
      <c r="C1783" s="2">
        <v>6.5169379309241879E-6</v>
      </c>
      <c r="D1783" s="2"/>
      <c r="E1783" s="2">
        <v>-0.23100378714478961</v>
      </c>
      <c r="F1783" s="3">
        <v>69.276343033719073</v>
      </c>
      <c r="G1783" s="3">
        <v>1</v>
      </c>
      <c r="H1783" s="2">
        <v>5.4188793757450959E-5</v>
      </c>
      <c r="I1783" s="4">
        <v>1.110223024625157E-16</v>
      </c>
      <c r="J1783" s="4">
        <v>-0.23100378714478981</v>
      </c>
      <c r="K1783" s="5">
        <v>1</v>
      </c>
      <c r="L1783" s="5">
        <v>0</v>
      </c>
      <c r="M1783" s="5">
        <v>0</v>
      </c>
    </row>
    <row r="1784" spans="1:13" hidden="1" x14ac:dyDescent="0.25">
      <c r="A1784" t="s">
        <v>1795</v>
      </c>
      <c r="B1784" s="1">
        <v>2.284558879136046E-2</v>
      </c>
      <c r="C1784" s="2">
        <v>6.5095143681099768E-6</v>
      </c>
      <c r="D1784" s="2"/>
      <c r="E1784" s="2">
        <v>1.061286266587119</v>
      </c>
      <c r="F1784" s="3">
        <v>185.69450942363741</v>
      </c>
      <c r="G1784" s="3">
        <v>1</v>
      </c>
      <c r="H1784" s="2">
        <v>5.4188793757450959E-5</v>
      </c>
      <c r="I1784" s="4">
        <v>-4.4408920985006262E-16</v>
      </c>
      <c r="J1784" s="4">
        <v>1.0612862665871201</v>
      </c>
      <c r="K1784" s="5">
        <v>1</v>
      </c>
      <c r="L1784" s="5">
        <v>0</v>
      </c>
      <c r="M1784" s="5">
        <v>0</v>
      </c>
    </row>
    <row r="1785" spans="1:13" hidden="1" x14ac:dyDescent="0.25">
      <c r="A1785" t="s">
        <v>1796</v>
      </c>
      <c r="B1785" s="1">
        <v>2.2840479177939729E-2</v>
      </c>
      <c r="C1785" s="2">
        <v>6.5080584589503814E-6</v>
      </c>
      <c r="D1785" s="2"/>
      <c r="E1785" s="2">
        <v>1.3224815646123269</v>
      </c>
      <c r="F1785" s="3">
        <v>209.22473592189939</v>
      </c>
      <c r="G1785" s="3">
        <v>1</v>
      </c>
      <c r="H1785" s="2">
        <v>5.4188793757450959E-5</v>
      </c>
      <c r="I1785" s="4">
        <v>-2.2204460492503131E-16</v>
      </c>
      <c r="J1785" s="4">
        <v>1.3224815646123269</v>
      </c>
      <c r="K1785" s="5">
        <v>1</v>
      </c>
      <c r="L1785" s="5">
        <v>0</v>
      </c>
      <c r="M1785" s="5">
        <v>0</v>
      </c>
    </row>
    <row r="1786" spans="1:13" hidden="1" x14ac:dyDescent="0.25">
      <c r="A1786" t="s">
        <v>1797</v>
      </c>
      <c r="B1786" s="1">
        <v>2.2830522036815359E-2</v>
      </c>
      <c r="C1786" s="2">
        <v>6.5052213180998512E-6</v>
      </c>
      <c r="D1786" s="2"/>
      <c r="E1786" s="2">
        <v>-0.40811574246374671</v>
      </c>
      <c r="F1786" s="3">
        <v>53.320908706555507</v>
      </c>
      <c r="G1786" s="3">
        <v>1</v>
      </c>
      <c r="H1786" s="2">
        <v>5.4188793757450959E-5</v>
      </c>
      <c r="I1786" s="4">
        <v>-5.5511151231257827E-17</v>
      </c>
      <c r="J1786" s="4">
        <v>-0.4081157424637466</v>
      </c>
      <c r="K1786" s="5">
        <v>1</v>
      </c>
      <c r="L1786" s="5">
        <v>0</v>
      </c>
      <c r="M1786" s="5">
        <v>1</v>
      </c>
    </row>
    <row r="1787" spans="1:13" hidden="1" x14ac:dyDescent="0.25">
      <c r="A1787" t="s">
        <v>1798</v>
      </c>
      <c r="B1787" s="1">
        <v>2.272024359543201E-2</v>
      </c>
      <c r="C1787" s="2">
        <v>6.4737990989032442E-6</v>
      </c>
      <c r="D1787" s="2"/>
      <c r="E1787" s="2">
        <v>-0.42720149934304957</v>
      </c>
      <c r="F1787" s="3">
        <v>51.601535556823642</v>
      </c>
      <c r="G1787" s="3">
        <v>1</v>
      </c>
      <c r="H1787" s="2">
        <v>5.4188793757450959E-5</v>
      </c>
      <c r="I1787" s="4">
        <v>-5.5511151231257827E-17</v>
      </c>
      <c r="J1787" s="4">
        <v>-0.42720149934304957</v>
      </c>
      <c r="K1787" s="5">
        <v>1</v>
      </c>
      <c r="L1787" s="5">
        <v>0</v>
      </c>
      <c r="M1787" s="5">
        <v>1</v>
      </c>
    </row>
    <row r="1788" spans="1:13" hidden="1" x14ac:dyDescent="0.25">
      <c r="A1788" t="s">
        <v>1799</v>
      </c>
      <c r="B1788" s="1">
        <v>2.265357018191437E-2</v>
      </c>
      <c r="C1788" s="2">
        <v>6.4548014907773286E-6</v>
      </c>
      <c r="D1788" s="2"/>
      <c r="E1788" s="2">
        <v>-0.63432612784556519</v>
      </c>
      <c r="F1788" s="3">
        <v>32.942358079738263</v>
      </c>
      <c r="G1788" s="3">
        <v>1</v>
      </c>
      <c r="H1788" s="2">
        <v>5.4188793757450959E-5</v>
      </c>
      <c r="I1788" s="4">
        <v>1.110223024625157E-16</v>
      </c>
      <c r="J1788" s="4">
        <v>-0.6343261278455653</v>
      </c>
      <c r="K1788" s="5">
        <v>1</v>
      </c>
      <c r="L1788" s="5">
        <v>0</v>
      </c>
      <c r="M1788" s="5">
        <v>0</v>
      </c>
    </row>
    <row r="1789" spans="1:13" hidden="1" x14ac:dyDescent="0.25">
      <c r="A1789" t="s">
        <v>1800</v>
      </c>
      <c r="B1789" s="1">
        <v>2.2595003420059649E-2</v>
      </c>
      <c r="C1789" s="2">
        <v>6.4381137537586574E-6</v>
      </c>
      <c r="D1789" s="2"/>
      <c r="E1789" s="2" t="s">
        <v>303</v>
      </c>
      <c r="F1789" s="3" t="s">
        <v>303</v>
      </c>
      <c r="G1789" s="3">
        <v>1</v>
      </c>
      <c r="H1789" s="2">
        <v>5.4188793757450959E-5</v>
      </c>
      <c r="I1789" s="4" t="s">
        <v>303</v>
      </c>
      <c r="J1789" s="4">
        <v>0</v>
      </c>
      <c r="K1789" s="5">
        <v>1</v>
      </c>
      <c r="L1789" s="5">
        <v>0</v>
      </c>
      <c r="M1789" s="5">
        <v>1</v>
      </c>
    </row>
    <row r="1790" spans="1:13" hidden="1" x14ac:dyDescent="0.25">
      <c r="A1790" t="s">
        <v>1801</v>
      </c>
      <c r="B1790" s="1">
        <v>2.2572656446429151E-2</v>
      </c>
      <c r="C1790" s="2">
        <v>6.4317463124438368E-6</v>
      </c>
      <c r="D1790" s="2"/>
      <c r="E1790" s="2" t="s">
        <v>303</v>
      </c>
      <c r="F1790" s="3" t="s">
        <v>303</v>
      </c>
      <c r="G1790" s="3">
        <v>1</v>
      </c>
      <c r="H1790" s="2">
        <v>5.4188793757450959E-5</v>
      </c>
      <c r="I1790" s="4" t="s">
        <v>303</v>
      </c>
      <c r="J1790" s="4">
        <v>0</v>
      </c>
      <c r="K1790" s="5">
        <v>1</v>
      </c>
      <c r="L1790" s="5">
        <v>0</v>
      </c>
      <c r="M1790" s="5">
        <v>1</v>
      </c>
    </row>
    <row r="1791" spans="1:13" hidden="1" x14ac:dyDescent="0.25">
      <c r="A1791" t="s">
        <v>1802</v>
      </c>
      <c r="B1791" s="1">
        <v>2.2543422182754E-2</v>
      </c>
      <c r="C1791" s="2">
        <v>6.4234164391727882E-6</v>
      </c>
      <c r="D1791" s="2"/>
      <c r="E1791" s="2">
        <v>0.33013857929988433</v>
      </c>
      <c r="F1791" s="3">
        <v>119.82781574414901</v>
      </c>
      <c r="G1791" s="3">
        <v>5</v>
      </c>
      <c r="H1791" s="2">
        <v>2.7094396878725479E-4</v>
      </c>
      <c r="I1791" s="4">
        <v>0</v>
      </c>
      <c r="J1791" s="4">
        <v>0.33013857929988433</v>
      </c>
      <c r="K1791" s="5">
        <v>5</v>
      </c>
      <c r="L1791" s="5">
        <v>0</v>
      </c>
      <c r="M1791" s="5">
        <v>0</v>
      </c>
    </row>
    <row r="1792" spans="1:13" x14ac:dyDescent="0.25">
      <c r="A1792" t="s">
        <v>1803</v>
      </c>
      <c r="B1792" s="1">
        <v>2.2515203965055328E-2</v>
      </c>
      <c r="C1792" s="2">
        <v>6.4153760732522824E-6</v>
      </c>
      <c r="D1792" s="2"/>
      <c r="E1792" s="2">
        <v>-0.32923353394003302</v>
      </c>
      <c r="F1792" s="3">
        <v>60.427147782371428</v>
      </c>
      <c r="G1792" s="3">
        <v>2</v>
      </c>
      <c r="H1792" s="2">
        <v>1.083775875149019E-4</v>
      </c>
      <c r="I1792" s="4">
        <v>-0.29372719090633448</v>
      </c>
      <c r="J1792" s="4">
        <v>-3.5506343033698422E-2</v>
      </c>
      <c r="K1792" s="5">
        <v>2</v>
      </c>
      <c r="L1792" s="5">
        <v>0</v>
      </c>
      <c r="M1792" s="5">
        <v>0</v>
      </c>
    </row>
    <row r="1793" spans="1:13" hidden="1" x14ac:dyDescent="0.25">
      <c r="A1793" t="s">
        <v>1804</v>
      </c>
      <c r="B1793" s="1">
        <v>2.243004547498632E-2</v>
      </c>
      <c r="C1793" s="2">
        <v>6.3911114145589416E-6</v>
      </c>
      <c r="D1793" s="2"/>
      <c r="E1793" s="2">
        <v>1.721769757041363</v>
      </c>
      <c r="F1793" s="3">
        <v>245.1952977083144</v>
      </c>
      <c r="G1793" s="3">
        <v>1</v>
      </c>
      <c r="H1793" s="2">
        <v>5.4188793757450959E-5</v>
      </c>
      <c r="I1793" s="4">
        <v>0</v>
      </c>
      <c r="J1793" s="4">
        <v>1.721769757041363</v>
      </c>
      <c r="K1793" s="5">
        <v>1</v>
      </c>
      <c r="L1793" s="5">
        <v>0</v>
      </c>
      <c r="M1793" s="5">
        <v>0</v>
      </c>
    </row>
    <row r="1794" spans="1:13" hidden="1" x14ac:dyDescent="0.25">
      <c r="A1794" t="s">
        <v>1805</v>
      </c>
      <c r="B1794" s="1">
        <v>2.2410935105863939E-2</v>
      </c>
      <c r="C1794" s="2">
        <v>6.3856661960741784E-6</v>
      </c>
      <c r="D1794" s="2"/>
      <c r="E1794" s="2">
        <v>1.6109909084828831</v>
      </c>
      <c r="F1794" s="3">
        <v>235.21559509687569</v>
      </c>
      <c r="G1794" s="3">
        <v>1</v>
      </c>
      <c r="H1794" s="2">
        <v>5.4188793757450959E-5</v>
      </c>
      <c r="I1794" s="4">
        <v>0</v>
      </c>
      <c r="J1794" s="4">
        <v>1.6109909084828831</v>
      </c>
      <c r="K1794" s="5">
        <v>1</v>
      </c>
      <c r="L1794" s="5">
        <v>0</v>
      </c>
      <c r="M1794" s="5">
        <v>0</v>
      </c>
    </row>
    <row r="1795" spans="1:13" hidden="1" x14ac:dyDescent="0.25">
      <c r="A1795" t="s">
        <v>1806</v>
      </c>
      <c r="B1795" s="1">
        <v>2.2396120198160421E-2</v>
      </c>
      <c r="C1795" s="2">
        <v>6.3814449061157958E-6</v>
      </c>
      <c r="D1795" s="2"/>
      <c r="E1795" s="2">
        <v>1.3608354918082111</v>
      </c>
      <c r="F1795" s="3">
        <v>212.67991524878721</v>
      </c>
      <c r="G1795" s="3">
        <v>1</v>
      </c>
      <c r="H1795" s="2">
        <v>5.4188793757450959E-5</v>
      </c>
      <c r="I1795" s="4">
        <v>0</v>
      </c>
      <c r="J1795" s="4">
        <v>1.3608354918082111</v>
      </c>
      <c r="K1795" s="5">
        <v>1</v>
      </c>
      <c r="L1795" s="5">
        <v>0</v>
      </c>
      <c r="M1795" s="5">
        <v>0</v>
      </c>
    </row>
    <row r="1796" spans="1:13" hidden="1" x14ac:dyDescent="0.25">
      <c r="A1796" t="s">
        <v>1807</v>
      </c>
      <c r="B1796" s="1">
        <v>2.2384417795038272E-2</v>
      </c>
      <c r="C1796" s="2">
        <v>6.378110478539394E-6</v>
      </c>
      <c r="D1796" s="2"/>
      <c r="E1796" s="2">
        <v>-0.51347489850256511</v>
      </c>
      <c r="F1796" s="3">
        <v>43.829448393131862</v>
      </c>
      <c r="G1796" s="3">
        <v>1</v>
      </c>
      <c r="H1796" s="2">
        <v>5.4188793757450959E-5</v>
      </c>
      <c r="I1796" s="4">
        <v>0</v>
      </c>
      <c r="J1796" s="4">
        <v>-0.51347489850256511</v>
      </c>
      <c r="K1796" s="5">
        <v>1</v>
      </c>
      <c r="L1796" s="5">
        <v>0</v>
      </c>
      <c r="M1796" s="5">
        <v>0</v>
      </c>
    </row>
    <row r="1797" spans="1:13" hidden="1" x14ac:dyDescent="0.25">
      <c r="A1797" t="s">
        <v>1808</v>
      </c>
      <c r="B1797" s="1">
        <v>2.233657666907626E-2</v>
      </c>
      <c r="C1797" s="2">
        <v>6.3644788536475889E-6</v>
      </c>
      <c r="D1797" s="2"/>
      <c r="E1797" s="2">
        <v>0.37593114112312881</v>
      </c>
      <c r="F1797" s="3">
        <v>123.9531172322815</v>
      </c>
      <c r="G1797" s="3">
        <v>1</v>
      </c>
      <c r="H1797" s="2">
        <v>5.4188793757450959E-5</v>
      </c>
      <c r="I1797" s="4">
        <v>-5.5511151231257827E-17</v>
      </c>
      <c r="J1797" s="4">
        <v>0.37593114112312881</v>
      </c>
      <c r="K1797" s="5">
        <v>1</v>
      </c>
      <c r="L1797" s="5">
        <v>0</v>
      </c>
      <c r="M1797" s="5">
        <v>0</v>
      </c>
    </row>
    <row r="1798" spans="1:13" hidden="1" x14ac:dyDescent="0.25">
      <c r="A1798" t="s">
        <v>1809</v>
      </c>
      <c r="B1798" s="1">
        <v>2.23332068829615E-2</v>
      </c>
      <c r="C1798" s="2">
        <v>6.3635186826783996E-6</v>
      </c>
      <c r="D1798" s="2"/>
      <c r="E1798" s="2">
        <v>-0.3591210414172793</v>
      </c>
      <c r="F1798" s="3">
        <v>57.734680399822182</v>
      </c>
      <c r="G1798" s="3">
        <v>2</v>
      </c>
      <c r="H1798" s="2">
        <v>1.083775875149019E-4</v>
      </c>
      <c r="I1798" s="4">
        <v>-1.6653345369377351E-16</v>
      </c>
      <c r="J1798" s="4">
        <v>-0.35912104141727907</v>
      </c>
      <c r="K1798" s="5">
        <v>2</v>
      </c>
      <c r="L1798" s="5">
        <v>0</v>
      </c>
      <c r="M1798" s="5">
        <v>0</v>
      </c>
    </row>
    <row r="1799" spans="1:13" hidden="1" x14ac:dyDescent="0.25">
      <c r="A1799" t="s">
        <v>1810</v>
      </c>
      <c r="B1799" s="1">
        <v>2.2266254758637052E-2</v>
      </c>
      <c r="C1799" s="2">
        <v>6.3444416600091349E-6</v>
      </c>
      <c r="D1799" s="2"/>
      <c r="E1799" s="2">
        <v>-0.11194047722155159</v>
      </c>
      <c r="F1799" s="3">
        <v>80.00236555904101</v>
      </c>
      <c r="G1799" s="3">
        <v>1</v>
      </c>
      <c r="H1799" s="2">
        <v>5.4188793757450959E-5</v>
      </c>
      <c r="I1799" s="4">
        <v>-4.163336342344337E-17</v>
      </c>
      <c r="J1799" s="4">
        <v>-0.11194047722155159</v>
      </c>
      <c r="K1799" s="5">
        <v>1</v>
      </c>
      <c r="L1799" s="5">
        <v>0</v>
      </c>
      <c r="M1799" s="5">
        <v>0</v>
      </c>
    </row>
    <row r="1800" spans="1:13" hidden="1" x14ac:dyDescent="0.25">
      <c r="A1800" t="s">
        <v>1811</v>
      </c>
      <c r="B1800" s="1">
        <v>2.2141499897840242E-2</v>
      </c>
      <c r="C1800" s="2">
        <v>6.3088945981117634E-6</v>
      </c>
      <c r="D1800" s="2"/>
      <c r="E1800" s="2">
        <v>-0.71005850804474213</v>
      </c>
      <c r="F1800" s="3">
        <v>26.11987669200996</v>
      </c>
      <c r="G1800" s="3">
        <v>2</v>
      </c>
      <c r="H1800" s="2">
        <v>1.083775875149019E-4</v>
      </c>
      <c r="I1800" s="4">
        <v>1.110223024625157E-16</v>
      </c>
      <c r="J1800" s="4">
        <v>-0.71005850804474224</v>
      </c>
      <c r="K1800" s="5">
        <v>2</v>
      </c>
      <c r="L1800" s="5">
        <v>0</v>
      </c>
      <c r="M1800" s="5">
        <v>0</v>
      </c>
    </row>
    <row r="1801" spans="1:13" hidden="1" x14ac:dyDescent="0.25">
      <c r="A1801" t="s">
        <v>1812</v>
      </c>
      <c r="B1801" s="1">
        <v>2.213161155034276E-2</v>
      </c>
      <c r="C1801" s="2">
        <v>6.3060770589929624E-6</v>
      </c>
      <c r="D1801" s="2"/>
      <c r="E1801" s="2">
        <v>0.50286986699662339</v>
      </c>
      <c r="F1801" s="3">
        <v>135.38861011361149</v>
      </c>
      <c r="G1801" s="3">
        <v>1</v>
      </c>
      <c r="H1801" s="2">
        <v>5.4188793757450959E-5</v>
      </c>
      <c r="I1801" s="4">
        <v>0</v>
      </c>
      <c r="J1801" s="4">
        <v>0.50286986699662339</v>
      </c>
      <c r="K1801" s="5">
        <v>1</v>
      </c>
      <c r="L1801" s="5">
        <v>0</v>
      </c>
      <c r="M1801" s="5">
        <v>0</v>
      </c>
    </row>
    <row r="1802" spans="1:13" hidden="1" x14ac:dyDescent="0.25">
      <c r="A1802" t="s">
        <v>1813</v>
      </c>
      <c r="B1802" s="1">
        <v>2.2111343433439849E-2</v>
      </c>
      <c r="C1802" s="2">
        <v>6.3003019573136426E-6</v>
      </c>
      <c r="D1802" s="2"/>
      <c r="E1802" s="2">
        <v>-0.27613526721276299</v>
      </c>
      <c r="F1802" s="3">
        <v>65.210596229583558</v>
      </c>
      <c r="G1802" s="3">
        <v>1</v>
      </c>
      <c r="H1802" s="2">
        <v>5.4188793757450959E-5</v>
      </c>
      <c r="I1802" s="4">
        <v>-5.5511151231257827E-17</v>
      </c>
      <c r="J1802" s="4">
        <v>-0.27613526721276299</v>
      </c>
      <c r="K1802" s="5">
        <v>1</v>
      </c>
      <c r="L1802" s="5">
        <v>0</v>
      </c>
      <c r="M1802" s="5">
        <v>0</v>
      </c>
    </row>
    <row r="1803" spans="1:13" hidden="1" x14ac:dyDescent="0.25">
      <c r="A1803" t="s">
        <v>1814</v>
      </c>
      <c r="B1803" s="1">
        <v>2.2078896224100229E-2</v>
      </c>
      <c r="C1803" s="2">
        <v>6.2910566024519113E-6</v>
      </c>
      <c r="D1803" s="2"/>
      <c r="E1803" s="2">
        <v>-0.46635598380310023</v>
      </c>
      <c r="F1803" s="3">
        <v>48.07423665545231</v>
      </c>
      <c r="G1803" s="3">
        <v>1</v>
      </c>
      <c r="H1803" s="2">
        <v>5.4188793757450959E-5</v>
      </c>
      <c r="I1803" s="4">
        <v>5.5511151231257827E-17</v>
      </c>
      <c r="J1803" s="4">
        <v>-0.46635598380310023</v>
      </c>
      <c r="K1803" s="5">
        <v>1</v>
      </c>
      <c r="L1803" s="5">
        <v>0</v>
      </c>
      <c r="M1803" s="5">
        <v>0</v>
      </c>
    </row>
    <row r="1804" spans="1:13" hidden="1" x14ac:dyDescent="0.25">
      <c r="A1804" t="s">
        <v>1815</v>
      </c>
      <c r="B1804" s="1">
        <v>2.204085428935889E-2</v>
      </c>
      <c r="C1804" s="2">
        <v>6.2802171129097073E-6</v>
      </c>
      <c r="D1804" s="2"/>
      <c r="E1804" s="2">
        <v>-0.26692072781727222</v>
      </c>
      <c r="F1804" s="3">
        <v>66.040703818396793</v>
      </c>
      <c r="G1804" s="3">
        <v>1</v>
      </c>
      <c r="H1804" s="2">
        <v>5.4188793757450959E-5</v>
      </c>
      <c r="I1804" s="4">
        <v>0</v>
      </c>
      <c r="J1804" s="4">
        <v>-0.26692072781727222</v>
      </c>
      <c r="K1804" s="5">
        <v>1</v>
      </c>
      <c r="L1804" s="5">
        <v>0</v>
      </c>
      <c r="M1804" s="5">
        <v>0</v>
      </c>
    </row>
    <row r="1805" spans="1:13" hidden="1" x14ac:dyDescent="0.25">
      <c r="A1805" t="s">
        <v>1816</v>
      </c>
      <c r="B1805" s="1">
        <v>2.19278646799629E-2</v>
      </c>
      <c r="C1805" s="2">
        <v>6.2480223862809708E-6</v>
      </c>
      <c r="D1805" s="2"/>
      <c r="E1805" s="2">
        <v>0.78017620551498101</v>
      </c>
      <c r="F1805" s="3">
        <v>160.37022733288819</v>
      </c>
      <c r="G1805" s="3">
        <v>1</v>
      </c>
      <c r="H1805" s="2">
        <v>5.4188793757450959E-5</v>
      </c>
      <c r="I1805" s="4">
        <v>0</v>
      </c>
      <c r="J1805" s="4">
        <v>0.78017620551498101</v>
      </c>
      <c r="K1805" s="5">
        <v>1</v>
      </c>
      <c r="L1805" s="5">
        <v>0</v>
      </c>
      <c r="M1805" s="5">
        <v>0</v>
      </c>
    </row>
    <row r="1806" spans="1:13" hidden="1" x14ac:dyDescent="0.25">
      <c r="A1806" t="s">
        <v>1817</v>
      </c>
      <c r="B1806" s="1">
        <v>2.1906539586908871E-2</v>
      </c>
      <c r="C1806" s="2">
        <v>6.2419461148001087E-6</v>
      </c>
      <c r="D1806" s="2"/>
      <c r="E1806" s="2" t="s">
        <v>303</v>
      </c>
      <c r="F1806" s="3" t="s">
        <v>303</v>
      </c>
      <c r="G1806" s="3">
        <v>1</v>
      </c>
      <c r="H1806" s="2">
        <v>5.4188793757450959E-5</v>
      </c>
      <c r="I1806" s="4" t="s">
        <v>303</v>
      </c>
      <c r="J1806" s="4">
        <v>0</v>
      </c>
      <c r="K1806" s="5">
        <v>1</v>
      </c>
      <c r="L1806" s="5">
        <v>0</v>
      </c>
      <c r="M1806" s="5">
        <v>0</v>
      </c>
    </row>
    <row r="1807" spans="1:13" hidden="1" x14ac:dyDescent="0.25">
      <c r="A1807" t="s">
        <v>1818</v>
      </c>
      <c r="B1807" s="1">
        <v>2.1839545326102491E-2</v>
      </c>
      <c r="C1807" s="2">
        <v>6.2228570859603281E-6</v>
      </c>
      <c r="D1807" s="2"/>
      <c r="E1807" s="2">
        <v>5.9645500928911206</v>
      </c>
      <c r="F1807" s="3">
        <v>627.41344267385659</v>
      </c>
      <c r="G1807" s="3">
        <v>1</v>
      </c>
      <c r="H1807" s="2">
        <v>5.4188793757450959E-5</v>
      </c>
      <c r="I1807" s="4">
        <v>-8.8817841970012523E-16</v>
      </c>
      <c r="J1807" s="4">
        <v>5.9645500928911206</v>
      </c>
      <c r="K1807" s="5">
        <v>1</v>
      </c>
      <c r="L1807" s="5">
        <v>0</v>
      </c>
      <c r="M1807" s="5">
        <v>0</v>
      </c>
    </row>
    <row r="1808" spans="1:13" hidden="1" x14ac:dyDescent="0.25">
      <c r="A1808" t="s">
        <v>1819</v>
      </c>
      <c r="B1808" s="1">
        <v>2.1825715222991721E-2</v>
      </c>
      <c r="C1808" s="2">
        <v>6.218916401579891E-6</v>
      </c>
      <c r="D1808" s="2"/>
      <c r="E1808" s="2">
        <v>0.31187360274297649</v>
      </c>
      <c r="F1808" s="3">
        <v>118.18238399779339</v>
      </c>
      <c r="G1808" s="3">
        <v>1</v>
      </c>
      <c r="H1808" s="2">
        <v>5.4188793757450959E-5</v>
      </c>
      <c r="I1808" s="4">
        <v>0</v>
      </c>
      <c r="J1808" s="4">
        <v>0.31187360274297649</v>
      </c>
      <c r="K1808" s="5">
        <v>1</v>
      </c>
      <c r="L1808" s="5">
        <v>0</v>
      </c>
      <c r="M1808" s="5">
        <v>0</v>
      </c>
    </row>
    <row r="1809" spans="1:13" hidden="1" x14ac:dyDescent="0.25">
      <c r="A1809" t="s">
        <v>1820</v>
      </c>
      <c r="B1809" s="1">
        <v>2.1786308843128072E-2</v>
      </c>
      <c r="C1809" s="2">
        <v>6.2076881334770074E-6</v>
      </c>
      <c r="D1809" s="2"/>
      <c r="E1809" s="2">
        <v>0.42850143663254991</v>
      </c>
      <c r="F1809" s="3">
        <v>128.68900248660901</v>
      </c>
      <c r="G1809" s="3">
        <v>1</v>
      </c>
      <c r="H1809" s="2">
        <v>5.4188793757450959E-5</v>
      </c>
      <c r="I1809" s="4">
        <v>0</v>
      </c>
      <c r="J1809" s="4">
        <v>0.42850143663254991</v>
      </c>
      <c r="K1809" s="5">
        <v>1</v>
      </c>
      <c r="L1809" s="5">
        <v>0</v>
      </c>
      <c r="M1809" s="5">
        <v>0</v>
      </c>
    </row>
    <row r="1810" spans="1:13" hidden="1" x14ac:dyDescent="0.25">
      <c r="A1810" t="s">
        <v>1821</v>
      </c>
      <c r="B1810" s="1">
        <v>2.174428248071664E-2</v>
      </c>
      <c r="C1810" s="2">
        <v>6.1957133398984716E-6</v>
      </c>
      <c r="D1810" s="2"/>
      <c r="E1810" s="2">
        <v>-0.1778647434345908</v>
      </c>
      <c r="F1810" s="3">
        <v>74.063464945390507</v>
      </c>
      <c r="G1810" s="3">
        <v>2</v>
      </c>
      <c r="H1810" s="2">
        <v>1.083775875149019E-4</v>
      </c>
      <c r="I1810" s="4">
        <v>0.41002931380292018</v>
      </c>
      <c r="J1810" s="4">
        <v>-0.58789405723751109</v>
      </c>
      <c r="K1810" s="5">
        <v>2</v>
      </c>
      <c r="L1810" s="5">
        <v>0</v>
      </c>
      <c r="M1810" s="5">
        <v>2</v>
      </c>
    </row>
    <row r="1811" spans="1:13" hidden="1" x14ac:dyDescent="0.25">
      <c r="A1811" t="s">
        <v>1822</v>
      </c>
      <c r="B1811" s="1">
        <v>2.1646038568376911E-2</v>
      </c>
      <c r="C1811" s="2">
        <v>6.1677201826725738E-6</v>
      </c>
      <c r="D1811" s="2"/>
      <c r="E1811" s="2">
        <v>-0.38730685450202013</v>
      </c>
      <c r="F1811" s="3">
        <v>55.195513075846762</v>
      </c>
      <c r="G1811" s="3">
        <v>1</v>
      </c>
      <c r="H1811" s="2">
        <v>5.4188793757450959E-5</v>
      </c>
      <c r="I1811" s="4">
        <v>0</v>
      </c>
      <c r="J1811" s="4">
        <v>-0.38730685450202013</v>
      </c>
      <c r="K1811" s="5">
        <v>1</v>
      </c>
      <c r="L1811" s="5">
        <v>0</v>
      </c>
      <c r="M1811" s="5">
        <v>0</v>
      </c>
    </row>
    <row r="1812" spans="1:13" hidden="1" x14ac:dyDescent="0.25">
      <c r="A1812" t="s">
        <v>1823</v>
      </c>
      <c r="B1812" s="1">
        <v>2.162337683159735E-2</v>
      </c>
      <c r="C1812" s="2">
        <v>6.1612630542299633E-6</v>
      </c>
      <c r="D1812" s="2"/>
      <c r="E1812" s="2">
        <v>0.37829189833530558</v>
      </c>
      <c r="F1812" s="3">
        <v>124.1657900955754</v>
      </c>
      <c r="G1812" s="3">
        <v>1</v>
      </c>
      <c r="H1812" s="2">
        <v>5.4188793757450959E-5</v>
      </c>
      <c r="I1812" s="4">
        <v>-2.7755575615628909E-16</v>
      </c>
      <c r="J1812" s="4">
        <v>0.37829189833530591</v>
      </c>
      <c r="K1812" s="5">
        <v>1</v>
      </c>
      <c r="L1812" s="5">
        <v>0</v>
      </c>
      <c r="M1812" s="5">
        <v>0</v>
      </c>
    </row>
    <row r="1813" spans="1:13" hidden="1" x14ac:dyDescent="0.25">
      <c r="A1813" t="s">
        <v>1824</v>
      </c>
      <c r="B1813" s="1">
        <v>2.1609083574271461E-2</v>
      </c>
      <c r="C1813" s="2">
        <v>6.1571904008709413E-6</v>
      </c>
      <c r="D1813" s="2"/>
      <c r="E1813" s="2">
        <v>-0.31784427990232311</v>
      </c>
      <c r="F1813" s="3">
        <v>61.453168270411354</v>
      </c>
      <c r="G1813" s="3">
        <v>1</v>
      </c>
      <c r="H1813" s="2">
        <v>5.4188793757450959E-5</v>
      </c>
      <c r="I1813" s="4">
        <v>0</v>
      </c>
      <c r="J1813" s="4">
        <v>-0.31784427990232311</v>
      </c>
      <c r="K1813" s="5">
        <v>1</v>
      </c>
      <c r="L1813" s="5">
        <v>0</v>
      </c>
      <c r="M1813" s="5">
        <v>0</v>
      </c>
    </row>
    <row r="1814" spans="1:13" hidden="1" x14ac:dyDescent="0.25">
      <c r="A1814" t="s">
        <v>1825</v>
      </c>
      <c r="B1814" s="1">
        <v>2.154235759261525E-2</v>
      </c>
      <c r="C1814" s="2">
        <v>6.1381778142274488E-6</v>
      </c>
      <c r="D1814" s="2"/>
      <c r="E1814" s="2">
        <v>-0.29087072684647503</v>
      </c>
      <c r="F1814" s="3">
        <v>63.883127070074522</v>
      </c>
      <c r="G1814" s="3">
        <v>1</v>
      </c>
      <c r="H1814" s="2">
        <v>5.4188793757450959E-5</v>
      </c>
      <c r="I1814" s="4">
        <v>0</v>
      </c>
      <c r="J1814" s="4">
        <v>-0.29087072684647503</v>
      </c>
      <c r="K1814" s="5">
        <v>1</v>
      </c>
      <c r="L1814" s="5">
        <v>0</v>
      </c>
      <c r="M1814" s="5">
        <v>0</v>
      </c>
    </row>
    <row r="1815" spans="1:13" hidden="1" x14ac:dyDescent="0.25">
      <c r="A1815" t="s">
        <v>1826</v>
      </c>
      <c r="B1815" s="1">
        <v>2.1456955704395729E-2</v>
      </c>
      <c r="C1815" s="2">
        <v>6.1138438028125664E-6</v>
      </c>
      <c r="D1815" s="2"/>
      <c r="E1815" s="2">
        <v>-0.7339566812089604</v>
      </c>
      <c r="F1815" s="3">
        <v>23.96696876564112</v>
      </c>
      <c r="G1815" s="3">
        <v>1</v>
      </c>
      <c r="H1815" s="2">
        <v>5.4188793757450959E-5</v>
      </c>
      <c r="I1815" s="4">
        <v>0</v>
      </c>
      <c r="J1815" s="4">
        <v>-0.7339566812089604</v>
      </c>
      <c r="K1815" s="5">
        <v>1</v>
      </c>
      <c r="L1815" s="5">
        <v>0</v>
      </c>
      <c r="M1815" s="5">
        <v>1</v>
      </c>
    </row>
    <row r="1816" spans="1:13" hidden="1" x14ac:dyDescent="0.25">
      <c r="A1816" t="s">
        <v>1827</v>
      </c>
      <c r="B1816" s="1">
        <v>2.1421339183867131E-2</v>
      </c>
      <c r="C1816" s="2">
        <v>6.1036953993618894E-6</v>
      </c>
      <c r="D1816" s="2"/>
      <c r="E1816" s="2">
        <v>0.32741896977951729</v>
      </c>
      <c r="F1816" s="3">
        <v>119.5828150550673</v>
      </c>
      <c r="G1816" s="3">
        <v>1</v>
      </c>
      <c r="H1816" s="2">
        <v>5.4188793757450959E-5</v>
      </c>
      <c r="I1816" s="4">
        <v>-1.110223024625157E-16</v>
      </c>
      <c r="J1816" s="4">
        <v>0.32741896977951751</v>
      </c>
      <c r="K1816" s="5">
        <v>1</v>
      </c>
      <c r="L1816" s="5">
        <v>0</v>
      </c>
      <c r="M1816" s="5">
        <v>0</v>
      </c>
    </row>
    <row r="1817" spans="1:13" hidden="1" x14ac:dyDescent="0.25">
      <c r="A1817" t="s">
        <v>1828</v>
      </c>
      <c r="B1817" s="1">
        <v>2.141697211155992E-2</v>
      </c>
      <c r="C1817" s="2">
        <v>6.1024510663665778E-6</v>
      </c>
      <c r="D1817" s="2"/>
      <c r="E1817" s="2">
        <v>-0.26982282312165867</v>
      </c>
      <c r="F1817" s="3">
        <v>65.779263584410771</v>
      </c>
      <c r="G1817" s="3">
        <v>4</v>
      </c>
      <c r="H1817" s="2">
        <v>2.1675517502980381E-4</v>
      </c>
      <c r="I1817" s="4">
        <v>-2.2204460492503131E-16</v>
      </c>
      <c r="J1817" s="4">
        <v>-0.26982282312165851</v>
      </c>
      <c r="K1817" s="5">
        <v>4</v>
      </c>
      <c r="L1817" s="5">
        <v>0</v>
      </c>
      <c r="M1817" s="5">
        <v>1</v>
      </c>
    </row>
    <row r="1818" spans="1:13" hidden="1" x14ac:dyDescent="0.25">
      <c r="A1818" t="s">
        <v>1829</v>
      </c>
      <c r="B1818" s="1">
        <v>2.1365468818290469E-2</v>
      </c>
      <c r="C1818" s="2">
        <v>6.0877759607869296E-6</v>
      </c>
      <c r="D1818" s="2"/>
      <c r="E1818" s="2">
        <v>-0.60791649294896077</v>
      </c>
      <c r="F1818" s="3">
        <v>35.321515344634847</v>
      </c>
      <c r="G1818" s="3">
        <v>1</v>
      </c>
      <c r="H1818" s="2">
        <v>5.4188793757450959E-5</v>
      </c>
      <c r="I1818" s="4">
        <v>0</v>
      </c>
      <c r="J1818" s="4">
        <v>-0.60791649294896077</v>
      </c>
      <c r="K1818" s="5">
        <v>1</v>
      </c>
      <c r="L1818" s="5">
        <v>0</v>
      </c>
      <c r="M1818" s="5">
        <v>1</v>
      </c>
    </row>
    <row r="1819" spans="1:13" hidden="1" x14ac:dyDescent="0.25">
      <c r="A1819" t="s">
        <v>1830</v>
      </c>
      <c r="B1819" s="1">
        <v>2.1330860345291199E-2</v>
      </c>
      <c r="C1819" s="2">
        <v>6.0779147856469693E-6</v>
      </c>
      <c r="D1819" s="2"/>
      <c r="E1819" s="2">
        <v>-0.5186985480393973</v>
      </c>
      <c r="F1819" s="3">
        <v>43.358866963533004</v>
      </c>
      <c r="G1819" s="3">
        <v>1</v>
      </c>
      <c r="H1819" s="2">
        <v>5.4188793757450959E-5</v>
      </c>
      <c r="I1819" s="4">
        <v>0</v>
      </c>
      <c r="J1819" s="4">
        <v>-0.5186985480393973</v>
      </c>
      <c r="K1819" s="5">
        <v>1</v>
      </c>
      <c r="L1819" s="5">
        <v>0</v>
      </c>
      <c r="M1819" s="5">
        <v>0</v>
      </c>
    </row>
    <row r="1820" spans="1:13" hidden="1" x14ac:dyDescent="0.25">
      <c r="A1820" t="s">
        <v>1831</v>
      </c>
      <c r="B1820" s="1">
        <v>2.1300035888393531E-2</v>
      </c>
      <c r="C1820" s="2">
        <v>6.069131810215824E-6</v>
      </c>
      <c r="D1820" s="2"/>
      <c r="E1820" s="2">
        <v>-0.40239139055765138</v>
      </c>
      <c r="F1820" s="3">
        <v>53.836596768035022</v>
      </c>
      <c r="G1820" s="3">
        <v>1</v>
      </c>
      <c r="H1820" s="2">
        <v>5.4188793757450959E-5</v>
      </c>
      <c r="I1820" s="4">
        <v>5.5511151231257827E-17</v>
      </c>
      <c r="J1820" s="4">
        <v>-0.40239139055765138</v>
      </c>
      <c r="K1820" s="5">
        <v>1</v>
      </c>
      <c r="L1820" s="5">
        <v>0</v>
      </c>
      <c r="M1820" s="5">
        <v>0</v>
      </c>
    </row>
    <row r="1821" spans="1:13" hidden="1" x14ac:dyDescent="0.25">
      <c r="A1821" t="s">
        <v>1832</v>
      </c>
      <c r="B1821" s="1">
        <v>2.127419350630538E-2</v>
      </c>
      <c r="C1821" s="2">
        <v>6.0617684036936598E-6</v>
      </c>
      <c r="D1821" s="2"/>
      <c r="E1821" s="2">
        <v>0.47651557097984371</v>
      </c>
      <c r="F1821" s="3">
        <v>133.01443814663671</v>
      </c>
      <c r="G1821" s="3">
        <v>1</v>
      </c>
      <c r="H1821" s="2">
        <v>5.4188793757450959E-5</v>
      </c>
      <c r="I1821" s="4">
        <v>5.5511151231257827E-17</v>
      </c>
      <c r="J1821" s="4">
        <v>0.47651557097984359</v>
      </c>
      <c r="K1821" s="5">
        <v>1</v>
      </c>
      <c r="L1821" s="5">
        <v>0</v>
      </c>
      <c r="M1821" s="5">
        <v>0</v>
      </c>
    </row>
    <row r="1822" spans="1:13" hidden="1" x14ac:dyDescent="0.25">
      <c r="A1822" t="s">
        <v>1833</v>
      </c>
      <c r="B1822" s="1">
        <v>2.119118239212368E-2</v>
      </c>
      <c r="C1822" s="2">
        <v>6.0381156081621667E-6</v>
      </c>
      <c r="D1822" s="2"/>
      <c r="E1822" s="2">
        <v>1.349829358298424</v>
      </c>
      <c r="F1822" s="3">
        <v>211.68840883074139</v>
      </c>
      <c r="G1822" s="3">
        <v>1</v>
      </c>
      <c r="H1822" s="2">
        <v>5.4188793757450959E-5</v>
      </c>
      <c r="I1822" s="4">
        <v>4.4408920985006262E-16</v>
      </c>
      <c r="J1822" s="4">
        <v>1.349829358298424</v>
      </c>
      <c r="K1822" s="5">
        <v>1</v>
      </c>
      <c r="L1822" s="5">
        <v>0</v>
      </c>
      <c r="M1822" s="5">
        <v>0</v>
      </c>
    </row>
    <row r="1823" spans="1:13" hidden="1" x14ac:dyDescent="0.25">
      <c r="A1823" t="s">
        <v>1834</v>
      </c>
      <c r="B1823" s="1">
        <v>2.1177086411412738E-2</v>
      </c>
      <c r="C1823" s="2">
        <v>6.0340991658717797E-6</v>
      </c>
      <c r="D1823" s="2"/>
      <c r="E1823" s="2">
        <v>1.7476513346616811</v>
      </c>
      <c r="F1823" s="3">
        <v>247.52688402760441</v>
      </c>
      <c r="G1823" s="3">
        <v>1</v>
      </c>
      <c r="H1823" s="2">
        <v>5.4188793757450959E-5</v>
      </c>
      <c r="I1823" s="4">
        <v>-2.2204460492503131E-16</v>
      </c>
      <c r="J1823" s="4">
        <v>1.7476513346616811</v>
      </c>
      <c r="K1823" s="5">
        <v>1</v>
      </c>
      <c r="L1823" s="5">
        <v>0</v>
      </c>
      <c r="M1823" s="5">
        <v>0</v>
      </c>
    </row>
    <row r="1824" spans="1:13" hidden="1" x14ac:dyDescent="0.25">
      <c r="A1824" t="s">
        <v>1835</v>
      </c>
      <c r="B1824" s="1">
        <v>2.112086562675361E-2</v>
      </c>
      <c r="C1824" s="2">
        <v>6.0180798805354577E-6</v>
      </c>
      <c r="D1824" s="2"/>
      <c r="E1824" s="2">
        <v>0.49761134013789682</v>
      </c>
      <c r="F1824" s="3">
        <v>134.91488670063831</v>
      </c>
      <c r="G1824" s="3">
        <v>1</v>
      </c>
      <c r="H1824" s="2">
        <v>5.4188793757450959E-5</v>
      </c>
      <c r="I1824" s="4">
        <v>5.5511151231257827E-17</v>
      </c>
      <c r="J1824" s="4">
        <v>0.49761134013789671</v>
      </c>
      <c r="K1824" s="5">
        <v>1</v>
      </c>
      <c r="L1824" s="5">
        <v>0</v>
      </c>
      <c r="M1824" s="5">
        <v>0</v>
      </c>
    </row>
    <row r="1825" spans="1:13" hidden="1" x14ac:dyDescent="0.25">
      <c r="A1825" t="s">
        <v>1836</v>
      </c>
      <c r="B1825" s="1">
        <v>2.1066824210802089E-2</v>
      </c>
      <c r="C1825" s="2">
        <v>6.0026815742443788E-6</v>
      </c>
      <c r="D1825" s="2"/>
      <c r="E1825" s="2">
        <v>0.24380566403826201</v>
      </c>
      <c r="F1825" s="3">
        <v>112.0503669703001</v>
      </c>
      <c r="G1825" s="3">
        <v>1</v>
      </c>
      <c r="H1825" s="2">
        <v>5.4188793757450959E-5</v>
      </c>
      <c r="I1825" s="4">
        <v>-8.3266726846886741E-17</v>
      </c>
      <c r="J1825" s="4">
        <v>0.24380566403826209</v>
      </c>
      <c r="K1825" s="5">
        <v>1</v>
      </c>
      <c r="L1825" s="5">
        <v>0</v>
      </c>
      <c r="M1825" s="5">
        <v>0</v>
      </c>
    </row>
    <row r="1826" spans="1:13" hidden="1" x14ac:dyDescent="0.25">
      <c r="A1826" t="s">
        <v>1837</v>
      </c>
      <c r="B1826" s="1">
        <v>2.1051576576908131E-2</v>
      </c>
      <c r="C1826" s="2">
        <v>5.998336985325317E-6</v>
      </c>
      <c r="D1826" s="2"/>
      <c r="E1826" s="2">
        <v>-0.24716057812157971</v>
      </c>
      <c r="F1826" s="3">
        <v>67.820830801901437</v>
      </c>
      <c r="G1826" s="3">
        <v>1</v>
      </c>
      <c r="H1826" s="2">
        <v>5.4188793757450959E-5</v>
      </c>
      <c r="I1826" s="4">
        <v>-5.5511151231257827E-17</v>
      </c>
      <c r="J1826" s="4">
        <v>-0.2471605781215796</v>
      </c>
      <c r="K1826" s="5">
        <v>1</v>
      </c>
      <c r="L1826" s="5">
        <v>0</v>
      </c>
      <c r="M1826" s="5">
        <v>0</v>
      </c>
    </row>
    <row r="1827" spans="1:13" hidden="1" x14ac:dyDescent="0.25">
      <c r="A1827" t="s">
        <v>1838</v>
      </c>
      <c r="B1827" s="1">
        <v>2.0992243527166051E-2</v>
      </c>
      <c r="C1827" s="2">
        <v>5.9814309058485693E-6</v>
      </c>
      <c r="D1827" s="2"/>
      <c r="E1827" s="2">
        <v>-0.53851999392412941</v>
      </c>
      <c r="F1827" s="3">
        <v>41.573218007686258</v>
      </c>
      <c r="G1827" s="3">
        <v>1</v>
      </c>
      <c r="H1827" s="2">
        <v>5.4188793757450959E-5</v>
      </c>
      <c r="I1827" s="4">
        <v>1.110223024625157E-16</v>
      </c>
      <c r="J1827" s="4">
        <v>-0.53851999392412953</v>
      </c>
      <c r="K1827" s="5">
        <v>1</v>
      </c>
      <c r="L1827" s="5">
        <v>0</v>
      </c>
      <c r="M1827" s="5">
        <v>0</v>
      </c>
    </row>
    <row r="1828" spans="1:13" hidden="1" x14ac:dyDescent="0.25">
      <c r="A1828" t="s">
        <v>1839</v>
      </c>
      <c r="B1828" s="1">
        <v>2.0964518365232311E-2</v>
      </c>
      <c r="C1828" s="2">
        <v>5.9735310289132836E-6</v>
      </c>
      <c r="D1828" s="2"/>
      <c r="E1828" s="2">
        <v>-0.30360167073886613</v>
      </c>
      <c r="F1828" s="3">
        <v>62.736238149831713</v>
      </c>
      <c r="G1828" s="3">
        <v>1</v>
      </c>
      <c r="H1828" s="2">
        <v>5.4188793757450959E-5</v>
      </c>
      <c r="I1828" s="4">
        <v>1.110223024625157E-16</v>
      </c>
      <c r="J1828" s="4">
        <v>-0.30360167073886618</v>
      </c>
      <c r="K1828" s="5">
        <v>1</v>
      </c>
      <c r="L1828" s="5">
        <v>0</v>
      </c>
      <c r="M1828" s="5">
        <v>0</v>
      </c>
    </row>
    <row r="1829" spans="1:13" hidden="1" x14ac:dyDescent="0.25">
      <c r="A1829" t="s">
        <v>1840</v>
      </c>
      <c r="B1829" s="1">
        <v>2.0921401287542801E-2</v>
      </c>
      <c r="C1829" s="2">
        <v>5.9612454520654281E-6</v>
      </c>
      <c r="D1829" s="2"/>
      <c r="E1829" s="2">
        <v>0.63078223877276685</v>
      </c>
      <c r="F1829" s="3">
        <v>146.91181555635291</v>
      </c>
      <c r="G1829" s="3">
        <v>1</v>
      </c>
      <c r="H1829" s="2">
        <v>5.4188793757450959E-5</v>
      </c>
      <c r="I1829" s="4">
        <v>0</v>
      </c>
      <c r="J1829" s="4">
        <v>0.63078223877276685</v>
      </c>
      <c r="K1829" s="5">
        <v>1</v>
      </c>
      <c r="L1829" s="5">
        <v>0</v>
      </c>
      <c r="M1829" s="5">
        <v>0</v>
      </c>
    </row>
    <row r="1830" spans="1:13" hidden="1" x14ac:dyDescent="0.25">
      <c r="A1830" t="s">
        <v>1841</v>
      </c>
      <c r="B1830" s="1">
        <v>2.085026878432323E-2</v>
      </c>
      <c r="C1830" s="2">
        <v>5.9409772919415562E-6</v>
      </c>
      <c r="D1830" s="2"/>
      <c r="E1830" s="2">
        <v>0.39661688477185791</v>
      </c>
      <c r="F1830" s="3">
        <v>125.81662793488459</v>
      </c>
      <c r="G1830" s="3">
        <v>1</v>
      </c>
      <c r="H1830" s="2">
        <v>5.4188793757450959E-5</v>
      </c>
      <c r="I1830" s="4">
        <v>0</v>
      </c>
      <c r="J1830" s="4">
        <v>0.39661688477185791</v>
      </c>
      <c r="K1830" s="5">
        <v>1</v>
      </c>
      <c r="L1830" s="5">
        <v>0</v>
      </c>
      <c r="M1830" s="5">
        <v>0</v>
      </c>
    </row>
    <row r="1831" spans="1:13" hidden="1" x14ac:dyDescent="0.25">
      <c r="A1831" t="s">
        <v>1842</v>
      </c>
      <c r="B1831" s="1">
        <v>2.082927005616407E-2</v>
      </c>
      <c r="C1831" s="2">
        <v>5.9349940133352388E-6</v>
      </c>
      <c r="D1831" s="2"/>
      <c r="E1831" s="2">
        <v>-0.18631874580894589</v>
      </c>
      <c r="F1831" s="3">
        <v>73.301871638813353</v>
      </c>
      <c r="G1831" s="3">
        <v>1</v>
      </c>
      <c r="H1831" s="2">
        <v>5.4188793757450959E-5</v>
      </c>
      <c r="I1831" s="4">
        <v>1.3877787807814459E-16</v>
      </c>
      <c r="J1831" s="4">
        <v>-0.18631874580894611</v>
      </c>
      <c r="K1831" s="5">
        <v>1</v>
      </c>
      <c r="L1831" s="5">
        <v>0</v>
      </c>
      <c r="M1831" s="5">
        <v>0</v>
      </c>
    </row>
    <row r="1832" spans="1:13" hidden="1" x14ac:dyDescent="0.25">
      <c r="A1832" t="s">
        <v>1843</v>
      </c>
      <c r="B1832" s="1">
        <v>2.0825743034867419E-2</v>
      </c>
      <c r="C1832" s="2">
        <v>5.9339890405145822E-6</v>
      </c>
      <c r="D1832" s="2"/>
      <c r="E1832" s="2">
        <v>-0.1689457820118139</v>
      </c>
      <c r="F1832" s="3">
        <v>74.866944885473302</v>
      </c>
      <c r="G1832" s="3">
        <v>1</v>
      </c>
      <c r="H1832" s="2">
        <v>5.4188793757450959E-5</v>
      </c>
      <c r="I1832" s="4">
        <v>-8.3266726846886741E-17</v>
      </c>
      <c r="J1832" s="4">
        <v>-0.16894578201181379</v>
      </c>
      <c r="K1832" s="5">
        <v>1</v>
      </c>
      <c r="L1832" s="5">
        <v>0</v>
      </c>
      <c r="M1832" s="5">
        <v>0</v>
      </c>
    </row>
    <row r="1833" spans="1:13" hidden="1" x14ac:dyDescent="0.25">
      <c r="A1833" t="s">
        <v>1844</v>
      </c>
      <c r="B1833" s="1">
        <v>2.0824105975988921E-2</v>
      </c>
      <c r="C1833" s="2">
        <v>5.9335225846754103E-6</v>
      </c>
      <c r="D1833" s="2"/>
      <c r="E1833" s="2">
        <v>0.76622963474884831</v>
      </c>
      <c r="F1833" s="3">
        <v>159.11382658033921</v>
      </c>
      <c r="G1833" s="3">
        <v>1</v>
      </c>
      <c r="H1833" s="2">
        <v>5.4188793757450959E-5</v>
      </c>
      <c r="I1833" s="4">
        <v>1.110223024625157E-16</v>
      </c>
      <c r="J1833" s="4">
        <v>0.76622963474884809</v>
      </c>
      <c r="K1833" s="5">
        <v>1</v>
      </c>
      <c r="L1833" s="5">
        <v>0</v>
      </c>
      <c r="M1833" s="5">
        <v>0</v>
      </c>
    </row>
    <row r="1834" spans="1:13" hidden="1" x14ac:dyDescent="0.25">
      <c r="A1834" t="s">
        <v>1845</v>
      </c>
      <c r="B1834" s="1">
        <v>2.0816879393890049E-2</v>
      </c>
      <c r="C1834" s="2">
        <v>5.9314634764407959E-6</v>
      </c>
      <c r="D1834" s="2"/>
      <c r="E1834" s="2">
        <v>-0.25424306978730637</v>
      </c>
      <c r="F1834" s="3">
        <v>67.182792390312102</v>
      </c>
      <c r="G1834" s="3">
        <v>1</v>
      </c>
      <c r="H1834" s="2">
        <v>5.4188793757450959E-5</v>
      </c>
      <c r="I1834" s="4">
        <v>5.5511151231257827E-17</v>
      </c>
      <c r="J1834" s="4">
        <v>-0.25424306978730637</v>
      </c>
      <c r="K1834" s="5">
        <v>1</v>
      </c>
      <c r="L1834" s="5">
        <v>0</v>
      </c>
      <c r="M1834" s="5">
        <v>0</v>
      </c>
    </row>
    <row r="1835" spans="1:13" hidden="1" x14ac:dyDescent="0.25">
      <c r="A1835" t="s">
        <v>1846</v>
      </c>
      <c r="B1835" s="1">
        <v>2.0787008711142741E-2</v>
      </c>
      <c r="C1835" s="2">
        <v>5.92295226491963E-6</v>
      </c>
      <c r="D1835" s="2"/>
      <c r="E1835" s="2">
        <v>-0.3172039540295456</v>
      </c>
      <c r="F1835" s="3">
        <v>61.510853125127618</v>
      </c>
      <c r="G1835" s="3">
        <v>1</v>
      </c>
      <c r="H1835" s="2">
        <v>5.4188793757450959E-5</v>
      </c>
      <c r="I1835" s="4">
        <v>-5.5511151231257827E-17</v>
      </c>
      <c r="J1835" s="4">
        <v>-0.31720395402954549</v>
      </c>
      <c r="K1835" s="5">
        <v>1</v>
      </c>
      <c r="L1835" s="5">
        <v>0</v>
      </c>
      <c r="M1835" s="5">
        <v>0</v>
      </c>
    </row>
    <row r="1836" spans="1:13" hidden="1" x14ac:dyDescent="0.25">
      <c r="A1836" t="s">
        <v>1847</v>
      </c>
      <c r="B1836" s="1">
        <v>2.0717383824637191E-2</v>
      </c>
      <c r="C1836" s="2">
        <v>5.903113677994818E-6</v>
      </c>
      <c r="D1836" s="2"/>
      <c r="E1836" s="2">
        <v>2.5816960283948861E-2</v>
      </c>
      <c r="F1836" s="3">
        <v>92.412480637038158</v>
      </c>
      <c r="G1836" s="3">
        <v>2</v>
      </c>
      <c r="H1836" s="2">
        <v>1.083775875149019E-4</v>
      </c>
      <c r="I1836" s="4">
        <v>2.4980018054066022E-16</v>
      </c>
      <c r="J1836" s="4">
        <v>2.5816960283948611E-2</v>
      </c>
      <c r="K1836" s="5">
        <v>2</v>
      </c>
      <c r="L1836" s="5">
        <v>0</v>
      </c>
      <c r="M1836" s="5">
        <v>0</v>
      </c>
    </row>
    <row r="1837" spans="1:13" hidden="1" x14ac:dyDescent="0.25">
      <c r="A1837" t="s">
        <v>1848</v>
      </c>
      <c r="B1837" s="1">
        <v>2.069380609472727E-2</v>
      </c>
      <c r="C1837" s="2">
        <v>5.8963955507879551E-6</v>
      </c>
      <c r="D1837" s="2"/>
      <c r="E1837" s="2">
        <v>0.83424421919444969</v>
      </c>
      <c r="F1837" s="3">
        <v>165.24103709787201</v>
      </c>
      <c r="G1837" s="3">
        <v>1</v>
      </c>
      <c r="H1837" s="2">
        <v>5.4188793757450959E-5</v>
      </c>
      <c r="I1837" s="4">
        <v>0</v>
      </c>
      <c r="J1837" s="4">
        <v>0.83424421919444969</v>
      </c>
      <c r="K1837" s="5">
        <v>1</v>
      </c>
      <c r="L1837" s="5">
        <v>0</v>
      </c>
      <c r="M1837" s="5">
        <v>0</v>
      </c>
    </row>
    <row r="1838" spans="1:13" hidden="1" x14ac:dyDescent="0.25">
      <c r="A1838" t="s">
        <v>1849</v>
      </c>
      <c r="B1838" s="1">
        <v>2.0656755005294861E-2</v>
      </c>
      <c r="C1838" s="2">
        <v>5.8858383880368853E-6</v>
      </c>
      <c r="D1838" s="2"/>
      <c r="E1838" s="2">
        <v>-0.88055191487498918</v>
      </c>
      <c r="F1838" s="3">
        <v>10.76068565944832</v>
      </c>
      <c r="G1838" s="3">
        <v>1</v>
      </c>
      <c r="H1838" s="2">
        <v>5.4188793757450959E-5</v>
      </c>
      <c r="I1838" s="4">
        <v>1.110223024625157E-16</v>
      </c>
      <c r="J1838" s="4">
        <v>-0.88055191487498929</v>
      </c>
      <c r="K1838" s="5">
        <v>0</v>
      </c>
      <c r="L1838" s="5">
        <v>0</v>
      </c>
      <c r="M1838" s="5">
        <v>0</v>
      </c>
    </row>
    <row r="1839" spans="1:13" hidden="1" x14ac:dyDescent="0.25">
      <c r="A1839" t="s">
        <v>1850</v>
      </c>
      <c r="B1839" s="1">
        <v>2.0636139442145741E-2</v>
      </c>
      <c r="C1839" s="2">
        <v>5.8799642866621526E-6</v>
      </c>
      <c r="D1839" s="2"/>
      <c r="E1839" s="2">
        <v>2.6916680391330718</v>
      </c>
      <c r="F1839" s="3">
        <v>332.57024829295551</v>
      </c>
      <c r="G1839" s="3">
        <v>1</v>
      </c>
      <c r="H1839" s="2">
        <v>5.4188793757450959E-5</v>
      </c>
      <c r="I1839" s="4">
        <v>0</v>
      </c>
      <c r="J1839" s="4">
        <v>2.6916680391330718</v>
      </c>
      <c r="K1839" s="5">
        <v>1</v>
      </c>
      <c r="L1839" s="5">
        <v>0</v>
      </c>
      <c r="M1839" s="5">
        <v>0</v>
      </c>
    </row>
    <row r="1840" spans="1:13" hidden="1" x14ac:dyDescent="0.25">
      <c r="A1840" t="s">
        <v>1851</v>
      </c>
      <c r="B1840" s="1">
        <v>2.0615202731799519E-2</v>
      </c>
      <c r="C1840" s="2">
        <v>5.8739986791190818E-6</v>
      </c>
      <c r="D1840" s="2"/>
      <c r="E1840" s="2">
        <v>5.1206191373218017E-2</v>
      </c>
      <c r="F1840" s="3">
        <v>94.699713074467269</v>
      </c>
      <c r="G1840" s="3">
        <v>1</v>
      </c>
      <c r="H1840" s="2">
        <v>5.4188793757450959E-5</v>
      </c>
      <c r="I1840" s="4">
        <v>-3.4694469519536142E-17</v>
      </c>
      <c r="J1840" s="4">
        <v>5.1206191373218059E-2</v>
      </c>
      <c r="K1840" s="5">
        <v>1</v>
      </c>
      <c r="L1840" s="5">
        <v>0</v>
      </c>
      <c r="M1840" s="5">
        <v>0</v>
      </c>
    </row>
    <row r="1841" spans="1:13" hidden="1" x14ac:dyDescent="0.25">
      <c r="A1841" t="s">
        <v>1852</v>
      </c>
      <c r="B1841" s="1">
        <v>2.05900991656356E-2</v>
      </c>
      <c r="C1841" s="2">
        <v>5.8668457873233316E-6</v>
      </c>
      <c r="D1841" s="2"/>
      <c r="E1841" s="2">
        <v>0.20410108803026469</v>
      </c>
      <c r="F1841" s="3">
        <v>108.47351212816029</v>
      </c>
      <c r="G1841" s="3">
        <v>1</v>
      </c>
      <c r="H1841" s="2">
        <v>5.4188793757450959E-5</v>
      </c>
      <c r="I1841" s="4">
        <v>1.110223024625157E-16</v>
      </c>
      <c r="J1841" s="4">
        <v>0.20410108803026461</v>
      </c>
      <c r="K1841" s="5">
        <v>1</v>
      </c>
      <c r="L1841" s="5">
        <v>1</v>
      </c>
      <c r="M1841" s="5">
        <v>0</v>
      </c>
    </row>
    <row r="1842" spans="1:13" hidden="1" x14ac:dyDescent="0.25">
      <c r="A1842" t="s">
        <v>1853</v>
      </c>
      <c r="B1842" s="1">
        <v>2.057409209906615E-2</v>
      </c>
      <c r="C1842" s="2">
        <v>5.8622848092379426E-6</v>
      </c>
      <c r="D1842" s="2"/>
      <c r="E1842" s="2">
        <v>3.6841142917867051</v>
      </c>
      <c r="F1842" s="3">
        <v>421.97647148629022</v>
      </c>
      <c r="G1842" s="3">
        <v>1</v>
      </c>
      <c r="H1842" s="2">
        <v>5.4188793757450959E-5</v>
      </c>
      <c r="I1842" s="4">
        <v>0</v>
      </c>
      <c r="J1842" s="4">
        <v>3.6841142917867051</v>
      </c>
      <c r="K1842" s="5">
        <v>1</v>
      </c>
      <c r="L1842" s="5">
        <v>0</v>
      </c>
      <c r="M1842" s="5">
        <v>0</v>
      </c>
    </row>
    <row r="1843" spans="1:13" hidden="1" x14ac:dyDescent="0.25">
      <c r="A1843" t="s">
        <v>1854</v>
      </c>
      <c r="B1843" s="1">
        <v>2.0530899842105429E-2</v>
      </c>
      <c r="C1843" s="2">
        <v>5.8499778111629708E-6</v>
      </c>
      <c r="D1843" s="2"/>
      <c r="E1843" s="2">
        <v>-7.5578322014887678E-2</v>
      </c>
      <c r="F1843" s="3">
        <v>83.278112689432234</v>
      </c>
      <c r="G1843" s="3">
        <v>1</v>
      </c>
      <c r="H1843" s="2">
        <v>5.4188793757450959E-5</v>
      </c>
      <c r="I1843" s="4">
        <v>4.163336342344337E-17</v>
      </c>
      <c r="J1843" s="4">
        <v>-7.5578322014887719E-2</v>
      </c>
      <c r="K1843" s="5">
        <v>1</v>
      </c>
      <c r="L1843" s="5">
        <v>0</v>
      </c>
      <c r="M1843" s="5">
        <v>0</v>
      </c>
    </row>
    <row r="1844" spans="1:13" hidden="1" x14ac:dyDescent="0.25">
      <c r="A1844" t="s">
        <v>1855</v>
      </c>
      <c r="B1844" s="1">
        <v>2.0496102618519009E-2</v>
      </c>
      <c r="C1844" s="2">
        <v>5.8400628543205464E-6</v>
      </c>
      <c r="D1844" s="2"/>
      <c r="E1844" s="2" t="s">
        <v>303</v>
      </c>
      <c r="F1844" s="3" t="s">
        <v>303</v>
      </c>
      <c r="G1844" s="3">
        <v>1</v>
      </c>
      <c r="H1844" s="2">
        <v>5.4188793757450959E-5</v>
      </c>
      <c r="I1844" s="4" t="s">
        <v>303</v>
      </c>
      <c r="J1844" s="4">
        <v>0</v>
      </c>
      <c r="K1844" s="5">
        <v>1</v>
      </c>
      <c r="L1844" s="5">
        <v>0</v>
      </c>
      <c r="M1844" s="5">
        <v>0</v>
      </c>
    </row>
    <row r="1845" spans="1:13" hidden="1" x14ac:dyDescent="0.25">
      <c r="A1845" t="s">
        <v>1856</v>
      </c>
      <c r="B1845" s="1">
        <v>2.043077593574761E-2</v>
      </c>
      <c r="C1845" s="2">
        <v>5.8214489773045066E-6</v>
      </c>
      <c r="D1845" s="2"/>
      <c r="E1845" s="2" t="s">
        <v>303</v>
      </c>
      <c r="F1845" s="3" t="s">
        <v>303</v>
      </c>
      <c r="G1845" s="3">
        <v>1</v>
      </c>
      <c r="H1845" s="2">
        <v>5.4188793757450959E-5</v>
      </c>
      <c r="I1845" s="4" t="s">
        <v>303</v>
      </c>
      <c r="J1845" s="4">
        <v>0</v>
      </c>
      <c r="K1845" s="5">
        <v>1</v>
      </c>
      <c r="L1845" s="5">
        <v>0</v>
      </c>
      <c r="M1845" s="5">
        <v>0</v>
      </c>
    </row>
    <row r="1846" spans="1:13" hidden="1" x14ac:dyDescent="0.25">
      <c r="A1846" t="s">
        <v>1857</v>
      </c>
      <c r="B1846" s="1">
        <v>2.0368034611868618E-2</v>
      </c>
      <c r="C1846" s="2">
        <v>5.8035717602629832E-6</v>
      </c>
      <c r="D1846" s="2"/>
      <c r="E1846" s="2">
        <v>0.54566628886513424</v>
      </c>
      <c r="F1846" s="3">
        <v>139.24399919409959</v>
      </c>
      <c r="G1846" s="3">
        <v>1</v>
      </c>
      <c r="H1846" s="2">
        <v>5.4188793757450959E-5</v>
      </c>
      <c r="I1846" s="4">
        <v>-4.4408920985006262E-16</v>
      </c>
      <c r="J1846" s="4">
        <v>0.54566628886513469</v>
      </c>
      <c r="K1846" s="5">
        <v>1</v>
      </c>
      <c r="L1846" s="5">
        <v>0</v>
      </c>
      <c r="M1846" s="5">
        <v>0</v>
      </c>
    </row>
    <row r="1847" spans="1:13" hidden="1" x14ac:dyDescent="0.25">
      <c r="A1847" t="s">
        <v>1858</v>
      </c>
      <c r="B1847" s="1">
        <v>2.0361084226685141E-2</v>
      </c>
      <c r="C1847" s="2">
        <v>5.8015913502753507E-6</v>
      </c>
      <c r="D1847" s="2"/>
      <c r="E1847" s="2">
        <v>-3.3748931415245258E-2</v>
      </c>
      <c r="F1847" s="3">
        <v>87.046385099140267</v>
      </c>
      <c r="G1847" s="3">
        <v>1</v>
      </c>
      <c r="H1847" s="2">
        <v>5.4188793757450959E-5</v>
      </c>
      <c r="I1847" s="4">
        <v>4.8572257327350599E-17</v>
      </c>
      <c r="J1847" s="4">
        <v>-3.3748931415245313E-2</v>
      </c>
      <c r="K1847" s="5">
        <v>1</v>
      </c>
      <c r="L1847" s="5">
        <v>0</v>
      </c>
      <c r="M1847" s="5">
        <v>0</v>
      </c>
    </row>
    <row r="1848" spans="1:13" hidden="1" x14ac:dyDescent="0.25">
      <c r="A1848" t="s">
        <v>1859</v>
      </c>
      <c r="B1848" s="1">
        <v>2.0357742951329211E-2</v>
      </c>
      <c r="C1848" s="2">
        <v>5.8006393030273752E-6</v>
      </c>
      <c r="D1848" s="2"/>
      <c r="E1848" s="2">
        <v>0.63264993472273123</v>
      </c>
      <c r="F1848" s="3">
        <v>147.080070150003</v>
      </c>
      <c r="G1848" s="3">
        <v>2</v>
      </c>
      <c r="H1848" s="2">
        <v>1.083775875149019E-4</v>
      </c>
      <c r="I1848" s="4">
        <v>-1.110223024625157E-16</v>
      </c>
      <c r="J1848" s="4">
        <v>0.63264993472273134</v>
      </c>
      <c r="K1848" s="5">
        <v>2</v>
      </c>
      <c r="L1848" s="5">
        <v>0</v>
      </c>
      <c r="M1848" s="5">
        <v>0</v>
      </c>
    </row>
    <row r="1849" spans="1:13" hidden="1" x14ac:dyDescent="0.25">
      <c r="A1849" t="s">
        <v>1860</v>
      </c>
      <c r="B1849" s="1">
        <v>2.0322478234293059E-2</v>
      </c>
      <c r="C1849" s="2">
        <v>5.7905911408053087E-6</v>
      </c>
      <c r="D1849" s="2"/>
      <c r="E1849" s="2">
        <v>1.276038721051592</v>
      </c>
      <c r="F1849" s="3">
        <v>205.04085268789879</v>
      </c>
      <c r="G1849" s="3">
        <v>1</v>
      </c>
      <c r="H1849" s="2">
        <v>5.4188793757450959E-5</v>
      </c>
      <c r="I1849" s="4">
        <v>0</v>
      </c>
      <c r="J1849" s="4">
        <v>1.276038721051592</v>
      </c>
      <c r="K1849" s="5">
        <v>1</v>
      </c>
      <c r="L1849" s="5">
        <v>0</v>
      </c>
      <c r="M1849" s="5">
        <v>0</v>
      </c>
    </row>
    <row r="1850" spans="1:13" hidden="1" x14ac:dyDescent="0.25">
      <c r="A1850" t="s">
        <v>1861</v>
      </c>
      <c r="B1850" s="1">
        <v>2.0319908413457169E-2</v>
      </c>
      <c r="C1850" s="2">
        <v>5.7898589081713656E-6</v>
      </c>
      <c r="D1850" s="2"/>
      <c r="E1850" s="2">
        <v>-0.47645057055774731</v>
      </c>
      <c r="F1850" s="3">
        <v>47.164848490584667</v>
      </c>
      <c r="G1850" s="3">
        <v>2</v>
      </c>
      <c r="H1850" s="2">
        <v>1.083775875149019E-4</v>
      </c>
      <c r="I1850" s="4">
        <v>0</v>
      </c>
      <c r="J1850" s="4">
        <v>-0.47645057055774731</v>
      </c>
      <c r="K1850" s="5">
        <v>2</v>
      </c>
      <c r="L1850" s="5">
        <v>0</v>
      </c>
      <c r="M1850" s="5">
        <v>1</v>
      </c>
    </row>
    <row r="1851" spans="1:13" hidden="1" x14ac:dyDescent="0.25">
      <c r="A1851" t="s">
        <v>1862</v>
      </c>
      <c r="B1851" s="1">
        <v>2.0188478666239931E-2</v>
      </c>
      <c r="C1851" s="2">
        <v>5.7524099356051088E-6</v>
      </c>
      <c r="D1851" s="2"/>
      <c r="E1851" s="2">
        <v>-0.28545403845594841</v>
      </c>
      <c r="F1851" s="3">
        <v>64.371098735962988</v>
      </c>
      <c r="G1851" s="3">
        <v>1</v>
      </c>
      <c r="H1851" s="2">
        <v>5.4188793757450959E-5</v>
      </c>
      <c r="I1851" s="4">
        <v>0</v>
      </c>
      <c r="J1851" s="4">
        <v>-0.28545403845594841</v>
      </c>
      <c r="K1851" s="5">
        <v>1</v>
      </c>
      <c r="L1851" s="5">
        <v>0</v>
      </c>
      <c r="M1851" s="5">
        <v>0</v>
      </c>
    </row>
    <row r="1852" spans="1:13" hidden="1" x14ac:dyDescent="0.25">
      <c r="A1852" t="s">
        <v>1863</v>
      </c>
      <c r="B1852" s="1">
        <v>2.0183958329155639E-2</v>
      </c>
      <c r="C1852" s="2">
        <v>5.7511219320667617E-6</v>
      </c>
      <c r="D1852" s="2"/>
      <c r="E1852" s="2">
        <v>-0.71357543391222544</v>
      </c>
      <c r="F1852" s="3">
        <v>25.803048392017018</v>
      </c>
      <c r="G1852" s="3">
        <v>1</v>
      </c>
      <c r="H1852" s="2">
        <v>5.4188793757450959E-5</v>
      </c>
      <c r="I1852" s="4">
        <v>0</v>
      </c>
      <c r="J1852" s="4">
        <v>-0.71357543391222544</v>
      </c>
      <c r="K1852" s="5">
        <v>1</v>
      </c>
      <c r="L1852" s="5">
        <v>0</v>
      </c>
      <c r="M1852" s="5">
        <v>0</v>
      </c>
    </row>
    <row r="1853" spans="1:13" hidden="1" x14ac:dyDescent="0.25">
      <c r="A1853" t="s">
        <v>1864</v>
      </c>
      <c r="B1853" s="1">
        <v>2.0182879550412518E-2</v>
      </c>
      <c r="C1853" s="2">
        <v>5.750814549937437E-6</v>
      </c>
      <c r="D1853" s="2"/>
      <c r="E1853" s="2">
        <v>-0.54516284042386398</v>
      </c>
      <c r="F1853" s="3">
        <v>40.974785785078417</v>
      </c>
      <c r="G1853" s="3">
        <v>1</v>
      </c>
      <c r="H1853" s="2">
        <v>5.4188793757450959E-5</v>
      </c>
      <c r="I1853" s="4">
        <v>0</v>
      </c>
      <c r="J1853" s="4">
        <v>-0.54516284042386398</v>
      </c>
      <c r="K1853" s="5">
        <v>1</v>
      </c>
      <c r="L1853" s="5">
        <v>0</v>
      </c>
      <c r="M1853" s="5">
        <v>1</v>
      </c>
    </row>
    <row r="1854" spans="1:13" hidden="1" x14ac:dyDescent="0.25">
      <c r="A1854" t="s">
        <v>1865</v>
      </c>
      <c r="B1854" s="1">
        <v>2.0166695976128239E-2</v>
      </c>
      <c r="C1854" s="2">
        <v>5.7462032785759074E-6</v>
      </c>
      <c r="D1854" s="2"/>
      <c r="E1854" s="2">
        <v>-0.53048248041186596</v>
      </c>
      <c r="F1854" s="3">
        <v>42.297291200643002</v>
      </c>
      <c r="G1854" s="3">
        <v>1</v>
      </c>
      <c r="H1854" s="2">
        <v>5.4188793757450959E-5</v>
      </c>
      <c r="I1854" s="4">
        <v>0</v>
      </c>
      <c r="J1854" s="4">
        <v>-0.53048248041186596</v>
      </c>
      <c r="K1854" s="5">
        <v>1</v>
      </c>
      <c r="L1854" s="5">
        <v>0</v>
      </c>
      <c r="M1854" s="5">
        <v>0</v>
      </c>
    </row>
    <row r="1855" spans="1:13" hidden="1" x14ac:dyDescent="0.25">
      <c r="A1855" t="s">
        <v>1866</v>
      </c>
      <c r="B1855" s="1">
        <v>2.0136852630858151E-2</v>
      </c>
      <c r="C1855" s="2">
        <v>5.7376998564666216E-6</v>
      </c>
      <c r="D1855" s="2"/>
      <c r="E1855" s="2">
        <v>0.58004349566158298</v>
      </c>
      <c r="F1855" s="3">
        <v>142.34092884181459</v>
      </c>
      <c r="G1855" s="3">
        <v>1</v>
      </c>
      <c r="H1855" s="2">
        <v>5.4188793757450959E-5</v>
      </c>
      <c r="I1855" s="4">
        <v>0</v>
      </c>
      <c r="J1855" s="4">
        <v>0.58004349566158298</v>
      </c>
      <c r="K1855" s="5">
        <v>1</v>
      </c>
      <c r="L1855" s="5">
        <v>0</v>
      </c>
      <c r="M1855" s="5">
        <v>0</v>
      </c>
    </row>
    <row r="1856" spans="1:13" hidden="1" x14ac:dyDescent="0.25">
      <c r="A1856" t="s">
        <v>1867</v>
      </c>
      <c r="B1856" s="1">
        <v>1.9981620414455208E-2</v>
      </c>
      <c r="C1856" s="2">
        <v>5.6934687205437569E-6</v>
      </c>
      <c r="D1856" s="2"/>
      <c r="E1856" s="2">
        <v>-0.5322462648552917</v>
      </c>
      <c r="F1856" s="3">
        <v>42.138397653317703</v>
      </c>
      <c r="G1856" s="3">
        <v>1</v>
      </c>
      <c r="H1856" s="2">
        <v>5.4188793757450959E-5</v>
      </c>
      <c r="I1856" s="4">
        <v>-1.110223024625157E-16</v>
      </c>
      <c r="J1856" s="4">
        <v>-0.53224626485529158</v>
      </c>
      <c r="K1856" s="5">
        <v>1</v>
      </c>
      <c r="L1856" s="5">
        <v>0</v>
      </c>
      <c r="M1856" s="5">
        <v>1</v>
      </c>
    </row>
    <row r="1857" spans="1:13" hidden="1" x14ac:dyDescent="0.25">
      <c r="A1857" t="s">
        <v>1868</v>
      </c>
      <c r="B1857" s="1">
        <v>1.9979311393174722E-2</v>
      </c>
      <c r="C1857" s="2">
        <v>5.6928107989056294E-6</v>
      </c>
      <c r="D1857" s="2"/>
      <c r="E1857" s="2">
        <v>0.44200887104457748</v>
      </c>
      <c r="F1857" s="3">
        <v>129.90584288736821</v>
      </c>
      <c r="G1857" s="3">
        <v>1</v>
      </c>
      <c r="H1857" s="2">
        <v>5.4188793757450959E-5</v>
      </c>
      <c r="I1857" s="4">
        <v>0</v>
      </c>
      <c r="J1857" s="4">
        <v>0.44200887104457748</v>
      </c>
      <c r="K1857" s="5">
        <v>1</v>
      </c>
      <c r="L1857" s="5">
        <v>0</v>
      </c>
      <c r="M1857" s="5">
        <v>0</v>
      </c>
    </row>
    <row r="1858" spans="1:13" hidden="1" x14ac:dyDescent="0.25">
      <c r="A1858" t="s">
        <v>1869</v>
      </c>
      <c r="B1858" s="1">
        <v>1.9942149254959188E-2</v>
      </c>
      <c r="C1858" s="2">
        <v>5.6822219944378198E-6</v>
      </c>
      <c r="D1858" s="2"/>
      <c r="E1858" s="2">
        <v>0.12595186491960389</v>
      </c>
      <c r="F1858" s="3">
        <v>101.433305300702</v>
      </c>
      <c r="G1858" s="3">
        <v>1</v>
      </c>
      <c r="H1858" s="2">
        <v>5.4188793757450959E-5</v>
      </c>
      <c r="I1858" s="4">
        <v>5.5511151231257827E-17</v>
      </c>
      <c r="J1858" s="4">
        <v>0.12595186491960381</v>
      </c>
      <c r="K1858" s="5">
        <v>1</v>
      </c>
      <c r="L1858" s="5">
        <v>1</v>
      </c>
      <c r="M1858" s="5">
        <v>0</v>
      </c>
    </row>
    <row r="1859" spans="1:13" hidden="1" x14ac:dyDescent="0.25">
      <c r="A1859" t="s">
        <v>1870</v>
      </c>
      <c r="B1859" s="1">
        <v>1.9940237097650259E-2</v>
      </c>
      <c r="C1859" s="2">
        <v>5.6816771533487918E-6</v>
      </c>
      <c r="D1859" s="2"/>
      <c r="E1859" s="2">
        <v>-0.41565112950769462</v>
      </c>
      <c r="F1859" s="3">
        <v>52.642070437885572</v>
      </c>
      <c r="G1859" s="3">
        <v>1</v>
      </c>
      <c r="H1859" s="2">
        <v>5.4188793757450959E-5</v>
      </c>
      <c r="I1859" s="4">
        <v>0</v>
      </c>
      <c r="J1859" s="4">
        <v>-0.41565112950769462</v>
      </c>
      <c r="K1859" s="5">
        <v>1</v>
      </c>
      <c r="L1859" s="5">
        <v>0</v>
      </c>
      <c r="M1859" s="5">
        <v>0</v>
      </c>
    </row>
    <row r="1860" spans="1:13" hidden="1" x14ac:dyDescent="0.25">
      <c r="A1860" t="s">
        <v>1871</v>
      </c>
      <c r="B1860" s="1">
        <v>1.9902491737874551E-2</v>
      </c>
      <c r="C1860" s="2">
        <v>5.6709221684791379E-6</v>
      </c>
      <c r="D1860" s="2"/>
      <c r="E1860" s="2">
        <v>-0.2383542398405453</v>
      </c>
      <c r="F1860" s="3">
        <v>68.614164893057435</v>
      </c>
      <c r="G1860" s="3">
        <v>1</v>
      </c>
      <c r="H1860" s="2">
        <v>5.4188793757450959E-5</v>
      </c>
      <c r="I1860" s="4">
        <v>2.775557561562891E-17</v>
      </c>
      <c r="J1860" s="4">
        <v>-0.2383542398405453</v>
      </c>
      <c r="K1860" s="5">
        <v>1</v>
      </c>
      <c r="L1860" s="5">
        <v>0</v>
      </c>
      <c r="M1860" s="5">
        <v>0</v>
      </c>
    </row>
    <row r="1861" spans="1:13" hidden="1" x14ac:dyDescent="0.25">
      <c r="A1861" t="s">
        <v>1872</v>
      </c>
      <c r="B1861" s="1">
        <v>1.9788311952198281E-2</v>
      </c>
      <c r="C1861" s="2">
        <v>5.6383883186320046E-6</v>
      </c>
      <c r="D1861" s="2"/>
      <c r="E1861" s="2">
        <v>0.40515135855894591</v>
      </c>
      <c r="F1861" s="3">
        <v>126.585470646725</v>
      </c>
      <c r="G1861" s="3">
        <v>1</v>
      </c>
      <c r="H1861" s="2">
        <v>5.4188793757450959E-5</v>
      </c>
      <c r="I1861" s="4">
        <v>-5.5511151231257827E-17</v>
      </c>
      <c r="J1861" s="4">
        <v>0.40515135855894602</v>
      </c>
      <c r="K1861" s="5">
        <v>1</v>
      </c>
      <c r="L1861" s="5">
        <v>0</v>
      </c>
      <c r="M1861" s="5">
        <v>0</v>
      </c>
    </row>
    <row r="1862" spans="1:13" hidden="1" x14ac:dyDescent="0.25">
      <c r="A1862" t="s">
        <v>1873</v>
      </c>
      <c r="B1862" s="1">
        <v>1.978004788474343E-2</v>
      </c>
      <c r="C1862" s="2">
        <v>5.6360335942111259E-6</v>
      </c>
      <c r="D1862" s="2"/>
      <c r="E1862" s="2">
        <v>-1.480951777451589E-2</v>
      </c>
      <c r="F1862" s="3">
        <v>88.752574667176148</v>
      </c>
      <c r="G1862" s="3">
        <v>1</v>
      </c>
      <c r="H1862" s="2">
        <v>5.4188793757450959E-5</v>
      </c>
      <c r="I1862" s="4">
        <v>1.821459649775647E-16</v>
      </c>
      <c r="J1862" s="4">
        <v>-1.4809517774516071E-2</v>
      </c>
      <c r="K1862" s="5">
        <v>1</v>
      </c>
      <c r="L1862" s="5">
        <v>0</v>
      </c>
      <c r="M1862" s="5">
        <v>0</v>
      </c>
    </row>
    <row r="1863" spans="1:13" hidden="1" x14ac:dyDescent="0.25">
      <c r="A1863" t="s">
        <v>1874</v>
      </c>
      <c r="B1863" s="1">
        <v>1.9685138189146679E-2</v>
      </c>
      <c r="C1863" s="2">
        <v>5.6089904729853079E-6</v>
      </c>
      <c r="D1863" s="2"/>
      <c r="E1863" s="2">
        <v>-0.20863209340504341</v>
      </c>
      <c r="F1863" s="3">
        <v>71.291735442487365</v>
      </c>
      <c r="G1863" s="3">
        <v>1</v>
      </c>
      <c r="H1863" s="2">
        <v>5.4188793757450959E-5</v>
      </c>
      <c r="I1863" s="4">
        <v>2.775557561562891E-17</v>
      </c>
      <c r="J1863" s="4">
        <v>-0.20863209340504341</v>
      </c>
      <c r="K1863" s="5">
        <v>1</v>
      </c>
      <c r="L1863" s="5">
        <v>0</v>
      </c>
      <c r="M1863" s="5">
        <v>0</v>
      </c>
    </row>
    <row r="1864" spans="1:13" hidden="1" x14ac:dyDescent="0.25">
      <c r="A1864" t="s">
        <v>1875</v>
      </c>
      <c r="B1864" s="1">
        <v>1.9647387083936482E-2</v>
      </c>
      <c r="C1864" s="2">
        <v>5.5982338510386333E-6</v>
      </c>
      <c r="D1864" s="2"/>
      <c r="E1864" s="2">
        <v>-0.44534273273192793</v>
      </c>
      <c r="F1864" s="3">
        <v>49.96725142603907</v>
      </c>
      <c r="G1864" s="3">
        <v>1</v>
      </c>
      <c r="H1864" s="2">
        <v>5.4188793757450959E-5</v>
      </c>
      <c r="I1864" s="4">
        <v>5.5511151231257827E-17</v>
      </c>
      <c r="J1864" s="4">
        <v>-0.44534273273192798</v>
      </c>
      <c r="K1864" s="5">
        <v>1</v>
      </c>
      <c r="L1864" s="5">
        <v>0</v>
      </c>
      <c r="M1864" s="5">
        <v>1</v>
      </c>
    </row>
    <row r="1865" spans="1:13" hidden="1" x14ac:dyDescent="0.25">
      <c r="A1865" t="s">
        <v>1876</v>
      </c>
      <c r="B1865" s="1">
        <v>1.962359839055916E-2</v>
      </c>
      <c r="C1865" s="2">
        <v>5.5914556128959246E-6</v>
      </c>
      <c r="D1865" s="2"/>
      <c r="E1865" s="2">
        <v>1.8779500106574061</v>
      </c>
      <c r="F1865" s="3">
        <v>259.26506377962721</v>
      </c>
      <c r="G1865" s="3">
        <v>1</v>
      </c>
      <c r="H1865" s="2">
        <v>5.4188793757450959E-5</v>
      </c>
      <c r="I1865" s="4">
        <v>0</v>
      </c>
      <c r="J1865" s="4">
        <v>1.8779500106574061</v>
      </c>
      <c r="K1865" s="5">
        <v>1</v>
      </c>
      <c r="L1865" s="5">
        <v>0</v>
      </c>
      <c r="M1865" s="5">
        <v>0</v>
      </c>
    </row>
    <row r="1866" spans="1:13" hidden="1" x14ac:dyDescent="0.25">
      <c r="A1866" t="s">
        <v>1877</v>
      </c>
      <c r="B1866" s="1">
        <v>1.960874052417633E-2</v>
      </c>
      <c r="C1866" s="2">
        <v>5.5872220824939836E-6</v>
      </c>
      <c r="D1866" s="2"/>
      <c r="E1866" s="2">
        <v>-0.4978986946481373</v>
      </c>
      <c r="F1866" s="3">
        <v>45.232657438045123</v>
      </c>
      <c r="G1866" s="3">
        <v>1</v>
      </c>
      <c r="H1866" s="2">
        <v>5.4188793757450959E-5</v>
      </c>
      <c r="I1866" s="4">
        <v>0</v>
      </c>
      <c r="J1866" s="4">
        <v>-0.4978986946481373</v>
      </c>
      <c r="K1866" s="5">
        <v>1</v>
      </c>
      <c r="L1866" s="5">
        <v>0</v>
      </c>
      <c r="M1866" s="5">
        <v>0</v>
      </c>
    </row>
    <row r="1867" spans="1:13" hidden="1" x14ac:dyDescent="0.25">
      <c r="A1867" t="s">
        <v>1878</v>
      </c>
      <c r="B1867" s="1">
        <v>1.9596787594369721E-2</v>
      </c>
      <c r="C1867" s="2">
        <v>5.5838162710251823E-6</v>
      </c>
      <c r="D1867" s="2"/>
      <c r="E1867" s="2">
        <v>-0.3471565909838038</v>
      </c>
      <c r="F1867" s="3">
        <v>58.812518441913333</v>
      </c>
      <c r="G1867" s="3">
        <v>1</v>
      </c>
      <c r="H1867" s="2">
        <v>5.4188793757450959E-5</v>
      </c>
      <c r="I1867" s="4">
        <v>0</v>
      </c>
      <c r="J1867" s="4">
        <v>-0.3471565909838038</v>
      </c>
      <c r="K1867" s="5">
        <v>1</v>
      </c>
      <c r="L1867" s="5">
        <v>0</v>
      </c>
      <c r="M1867" s="5">
        <v>0</v>
      </c>
    </row>
    <row r="1868" spans="1:13" hidden="1" x14ac:dyDescent="0.25">
      <c r="A1868" t="s">
        <v>1879</v>
      </c>
      <c r="B1868" s="1">
        <v>1.953009330716144E-2</v>
      </c>
      <c r="C1868" s="2">
        <v>5.5648127152482629E-6</v>
      </c>
      <c r="D1868" s="2"/>
      <c r="E1868" s="2">
        <v>-0.38611035852933029</v>
      </c>
      <c r="F1868" s="3">
        <v>55.303301468113041</v>
      </c>
      <c r="G1868" s="3">
        <v>1</v>
      </c>
      <c r="H1868" s="2">
        <v>5.4188793757450959E-5</v>
      </c>
      <c r="I1868" s="4">
        <v>-5.5511151231257827E-17</v>
      </c>
      <c r="J1868" s="4">
        <v>-0.38611035852933018</v>
      </c>
      <c r="K1868" s="5">
        <v>1</v>
      </c>
      <c r="L1868" s="5">
        <v>0</v>
      </c>
      <c r="M1868" s="5">
        <v>0</v>
      </c>
    </row>
    <row r="1869" spans="1:13" hidden="1" x14ac:dyDescent="0.25">
      <c r="A1869" t="s">
        <v>1880</v>
      </c>
      <c r="B1869" s="1">
        <v>1.9524926583261128E-2</v>
      </c>
      <c r="C1869" s="2">
        <v>5.563340533297855E-6</v>
      </c>
      <c r="D1869" s="2"/>
      <c r="E1869" s="2">
        <v>-7.0283157829783338E-2</v>
      </c>
      <c r="F1869" s="3">
        <v>83.755136638802739</v>
      </c>
      <c r="G1869" s="3">
        <v>1</v>
      </c>
      <c r="H1869" s="2">
        <v>5.4188793757450959E-5</v>
      </c>
      <c r="I1869" s="4">
        <v>1.387778780781446E-17</v>
      </c>
      <c r="J1869" s="4">
        <v>-7.0283157829783352E-2</v>
      </c>
      <c r="K1869" s="5">
        <v>1</v>
      </c>
      <c r="L1869" s="5">
        <v>0</v>
      </c>
      <c r="M1869" s="5">
        <v>0</v>
      </c>
    </row>
    <row r="1870" spans="1:13" hidden="1" x14ac:dyDescent="0.25">
      <c r="A1870" t="s">
        <v>1881</v>
      </c>
      <c r="B1870" s="1">
        <v>1.9402098606877739E-2</v>
      </c>
      <c r="C1870" s="2">
        <v>5.5283425087612358E-6</v>
      </c>
      <c r="D1870" s="2"/>
      <c r="E1870" s="2">
        <v>0.25013544221308281</v>
      </c>
      <c r="F1870" s="3">
        <v>112.6205958957953</v>
      </c>
      <c r="G1870" s="3">
        <v>2</v>
      </c>
      <c r="H1870" s="2">
        <v>1.083775875149019E-4</v>
      </c>
      <c r="I1870" s="4">
        <v>-5.5511151231257827E-17</v>
      </c>
      <c r="J1870" s="4">
        <v>0.25013544221308293</v>
      </c>
      <c r="K1870" s="5">
        <v>2</v>
      </c>
      <c r="L1870" s="5">
        <v>0</v>
      </c>
      <c r="M1870" s="5">
        <v>0</v>
      </c>
    </row>
    <row r="1871" spans="1:13" hidden="1" x14ac:dyDescent="0.25">
      <c r="A1871" t="s">
        <v>1882</v>
      </c>
      <c r="B1871" s="1">
        <v>1.939307039474911E-2</v>
      </c>
      <c r="C1871" s="2">
        <v>5.5257700525594558E-6</v>
      </c>
      <c r="D1871" s="2"/>
      <c r="E1871" s="2">
        <v>-0.3441636825375225</v>
      </c>
      <c r="F1871" s="3">
        <v>59.082139733575197</v>
      </c>
      <c r="G1871" s="3">
        <v>1</v>
      </c>
      <c r="H1871" s="2">
        <v>5.4188793757450959E-5</v>
      </c>
      <c r="I1871" s="4">
        <v>0</v>
      </c>
      <c r="J1871" s="4">
        <v>-0.3441636825375225</v>
      </c>
      <c r="K1871" s="5">
        <v>1</v>
      </c>
      <c r="L1871" s="5">
        <v>0</v>
      </c>
      <c r="M1871" s="5">
        <v>0</v>
      </c>
    </row>
    <row r="1872" spans="1:13" hidden="1" x14ac:dyDescent="0.25">
      <c r="A1872" t="s">
        <v>1883</v>
      </c>
      <c r="B1872" s="1">
        <v>1.935882793324805E-2</v>
      </c>
      <c r="C1872" s="2">
        <v>5.5160131670102891E-6</v>
      </c>
      <c r="D1872" s="2"/>
      <c r="E1872" s="2">
        <v>-0.79479646053502184</v>
      </c>
      <c r="F1872" s="3">
        <v>18.486112875546411</v>
      </c>
      <c r="G1872" s="3">
        <v>1</v>
      </c>
      <c r="H1872" s="2">
        <v>5.4188793757450959E-5</v>
      </c>
      <c r="I1872" s="4">
        <v>0</v>
      </c>
      <c r="J1872" s="4">
        <v>-0.79479646053502184</v>
      </c>
      <c r="K1872" s="5">
        <v>1</v>
      </c>
      <c r="L1872" s="5">
        <v>0</v>
      </c>
      <c r="M1872" s="5">
        <v>0</v>
      </c>
    </row>
    <row r="1873" spans="1:13" hidden="1" x14ac:dyDescent="0.25">
      <c r="A1873" t="s">
        <v>1884</v>
      </c>
      <c r="B1873" s="1">
        <v>1.9309901382444001E-2</v>
      </c>
      <c r="C1873" s="2">
        <v>5.5020722662810644E-6</v>
      </c>
      <c r="D1873" s="2"/>
      <c r="E1873" s="2">
        <v>-0.62156343393358215</v>
      </c>
      <c r="F1873" s="3">
        <v>34.092107254962563</v>
      </c>
      <c r="G1873" s="3">
        <v>1</v>
      </c>
      <c r="H1873" s="2">
        <v>5.4188793757450959E-5</v>
      </c>
      <c r="I1873" s="4">
        <v>0</v>
      </c>
      <c r="J1873" s="4">
        <v>-0.62156343393358215</v>
      </c>
      <c r="K1873" s="5">
        <v>1</v>
      </c>
      <c r="L1873" s="5">
        <v>0</v>
      </c>
      <c r="M1873" s="5">
        <v>0</v>
      </c>
    </row>
    <row r="1874" spans="1:13" hidden="1" x14ac:dyDescent="0.25">
      <c r="A1874" t="s">
        <v>1885</v>
      </c>
      <c r="B1874" s="1">
        <v>1.9278295676377209E-2</v>
      </c>
      <c r="C1874" s="2">
        <v>5.4930666853947531E-6</v>
      </c>
      <c r="D1874" s="2"/>
      <c r="E1874" s="2">
        <v>-0.55449071016000362</v>
      </c>
      <c r="F1874" s="3">
        <v>40.134468638111763</v>
      </c>
      <c r="G1874" s="3">
        <v>1</v>
      </c>
      <c r="H1874" s="2">
        <v>5.4188793757450959E-5</v>
      </c>
      <c r="I1874" s="4">
        <v>1.110223024625157E-16</v>
      </c>
      <c r="J1874" s="4">
        <v>-0.55449071016000373</v>
      </c>
      <c r="K1874" s="5">
        <v>1</v>
      </c>
      <c r="L1874" s="5">
        <v>0</v>
      </c>
      <c r="M1874" s="5">
        <v>0</v>
      </c>
    </row>
    <row r="1875" spans="1:13" hidden="1" x14ac:dyDescent="0.25">
      <c r="A1875" t="s">
        <v>1886</v>
      </c>
      <c r="B1875" s="1">
        <v>1.9095532457031109E-2</v>
      </c>
      <c r="C1875" s="2">
        <v>5.4409909952840471E-6</v>
      </c>
      <c r="D1875" s="2"/>
      <c r="E1875" s="2">
        <v>-0.43982052009202488</v>
      </c>
      <c r="F1875" s="3">
        <v>50.464729424957511</v>
      </c>
      <c r="G1875" s="3">
        <v>2</v>
      </c>
      <c r="H1875" s="2">
        <v>1.083775875149019E-4</v>
      </c>
      <c r="I1875" s="4">
        <v>0</v>
      </c>
      <c r="J1875" s="4">
        <v>-0.43982052009202488</v>
      </c>
      <c r="K1875" s="5">
        <v>2</v>
      </c>
      <c r="L1875" s="5">
        <v>0</v>
      </c>
      <c r="M1875" s="5">
        <v>0</v>
      </c>
    </row>
    <row r="1876" spans="1:13" hidden="1" x14ac:dyDescent="0.25">
      <c r="A1876" t="s">
        <v>1887</v>
      </c>
      <c r="B1876" s="1">
        <v>1.907406911092481E-2</v>
      </c>
      <c r="C1876" s="2">
        <v>5.4348753306302428E-6</v>
      </c>
      <c r="D1876" s="2"/>
      <c r="E1876" s="2">
        <v>0.58240613921931605</v>
      </c>
      <c r="F1876" s="3">
        <v>142.55377163978389</v>
      </c>
      <c r="G1876" s="3">
        <v>1</v>
      </c>
      <c r="H1876" s="2">
        <v>5.4188793757450959E-5</v>
      </c>
      <c r="I1876" s="4">
        <v>0</v>
      </c>
      <c r="J1876" s="4">
        <v>0.58240613921931605</v>
      </c>
      <c r="K1876" s="5">
        <v>1</v>
      </c>
      <c r="L1876" s="5">
        <v>0</v>
      </c>
      <c r="M1876" s="5">
        <v>0</v>
      </c>
    </row>
    <row r="1877" spans="1:13" hidden="1" x14ac:dyDescent="0.25">
      <c r="A1877" t="s">
        <v>1888</v>
      </c>
      <c r="B1877" s="1">
        <v>1.906168450160101E-2</v>
      </c>
      <c r="C1877" s="2">
        <v>5.4313465184349027E-6</v>
      </c>
      <c r="D1877" s="2"/>
      <c r="E1877" s="2">
        <v>-0.77934679086618719</v>
      </c>
      <c r="F1877" s="3">
        <v>19.877922871283481</v>
      </c>
      <c r="G1877" s="3">
        <v>2</v>
      </c>
      <c r="H1877" s="2">
        <v>1.083775875149019E-4</v>
      </c>
      <c r="I1877" s="4">
        <v>1.110223024625157E-16</v>
      </c>
      <c r="J1877" s="4">
        <v>-0.7793467908661873</v>
      </c>
      <c r="K1877" s="5">
        <v>2</v>
      </c>
      <c r="L1877" s="5">
        <v>0</v>
      </c>
      <c r="M1877" s="5">
        <v>0</v>
      </c>
    </row>
    <row r="1878" spans="1:13" hidden="1" x14ac:dyDescent="0.25">
      <c r="A1878" t="s">
        <v>1889</v>
      </c>
      <c r="B1878" s="1">
        <v>1.9021039102271622E-2</v>
      </c>
      <c r="C1878" s="2">
        <v>5.4197652099666218E-6</v>
      </c>
      <c r="D1878" s="2"/>
      <c r="E1878" s="2">
        <v>-0.25874082203911603</v>
      </c>
      <c r="F1878" s="3">
        <v>66.777604662897772</v>
      </c>
      <c r="G1878" s="3">
        <v>2</v>
      </c>
      <c r="H1878" s="2">
        <v>1.083775875149019E-4</v>
      </c>
      <c r="I1878" s="4">
        <v>-5.5511151231257827E-17</v>
      </c>
      <c r="J1878" s="4">
        <v>-0.25874082203911591</v>
      </c>
      <c r="K1878" s="5">
        <v>2</v>
      </c>
      <c r="L1878" s="5">
        <v>0</v>
      </c>
      <c r="M1878" s="5">
        <v>0</v>
      </c>
    </row>
    <row r="1879" spans="1:13" hidden="1" x14ac:dyDescent="0.25">
      <c r="A1879" t="s">
        <v>1890</v>
      </c>
      <c r="B1879" s="1">
        <v>1.8996706145015311E-2</v>
      </c>
      <c r="C1879" s="2">
        <v>5.4128318918400837E-6</v>
      </c>
      <c r="D1879" s="2"/>
      <c r="E1879" s="2">
        <v>2.067211923151528</v>
      </c>
      <c r="F1879" s="3">
        <v>276.31504784194033</v>
      </c>
      <c r="G1879" s="3">
        <v>1</v>
      </c>
      <c r="H1879" s="2">
        <v>5.4188793757450959E-5</v>
      </c>
      <c r="I1879" s="4">
        <v>0</v>
      </c>
      <c r="J1879" s="4">
        <v>2.067211923151528</v>
      </c>
      <c r="K1879" s="5">
        <v>1</v>
      </c>
      <c r="L1879" s="5">
        <v>0</v>
      </c>
      <c r="M1879" s="5">
        <v>0</v>
      </c>
    </row>
    <row r="1880" spans="1:13" hidden="1" x14ac:dyDescent="0.25">
      <c r="A1880" t="s">
        <v>1891</v>
      </c>
      <c r="B1880" s="1">
        <v>1.8941042666541799E-2</v>
      </c>
      <c r="C1880" s="2">
        <v>5.3969714027009591E-6</v>
      </c>
      <c r="D1880" s="2"/>
      <c r="E1880" s="2">
        <v>-5.311697375411184E-2</v>
      </c>
      <c r="F1880" s="3">
        <v>85.301581779528149</v>
      </c>
      <c r="G1880" s="3">
        <v>1</v>
      </c>
      <c r="H1880" s="2">
        <v>5.4188793757450959E-5</v>
      </c>
      <c r="I1880" s="4">
        <v>3.4694469519536142E-17</v>
      </c>
      <c r="J1880" s="4">
        <v>-5.3116973754111868E-2</v>
      </c>
      <c r="K1880" s="5">
        <v>1</v>
      </c>
      <c r="L1880" s="5">
        <v>0</v>
      </c>
      <c r="M1880" s="5">
        <v>0</v>
      </c>
    </row>
    <row r="1881" spans="1:13" hidden="1" x14ac:dyDescent="0.25">
      <c r="A1881" t="s">
        <v>1892</v>
      </c>
      <c r="B1881" s="1">
        <v>1.893530980767336E-2</v>
      </c>
      <c r="C1881" s="2">
        <v>5.3953379089216876E-6</v>
      </c>
      <c r="D1881" s="2"/>
      <c r="E1881" s="2">
        <v>-0.50415593578591289</v>
      </c>
      <c r="F1881" s="3">
        <v>44.668963135968163</v>
      </c>
      <c r="G1881" s="3">
        <v>1</v>
      </c>
      <c r="H1881" s="2">
        <v>5.4188793757450959E-5</v>
      </c>
      <c r="I1881" s="4">
        <v>1.110223024625157E-16</v>
      </c>
      <c r="J1881" s="4">
        <v>-0.504155935785913</v>
      </c>
      <c r="K1881" s="5">
        <v>1</v>
      </c>
      <c r="L1881" s="5">
        <v>1</v>
      </c>
      <c r="M1881" s="5">
        <v>1</v>
      </c>
    </row>
    <row r="1882" spans="1:13" hidden="1" x14ac:dyDescent="0.25">
      <c r="A1882" t="s">
        <v>1893</v>
      </c>
      <c r="B1882" s="1">
        <v>1.8916345025158741E-2</v>
      </c>
      <c r="C1882" s="2">
        <v>5.3899341731985962E-6</v>
      </c>
      <c r="D1882" s="2"/>
      <c r="E1882" s="2" t="s">
        <v>303</v>
      </c>
      <c r="F1882" s="3" t="s">
        <v>303</v>
      </c>
      <c r="G1882" s="3">
        <v>1</v>
      </c>
      <c r="H1882" s="2">
        <v>5.4188793757450959E-5</v>
      </c>
      <c r="I1882" s="4" t="s">
        <v>303</v>
      </c>
      <c r="J1882" s="4">
        <v>0</v>
      </c>
      <c r="K1882" s="5">
        <v>1</v>
      </c>
      <c r="L1882" s="5">
        <v>0</v>
      </c>
      <c r="M1882" s="5">
        <v>0</v>
      </c>
    </row>
    <row r="1883" spans="1:13" hidden="1" x14ac:dyDescent="0.25">
      <c r="A1883" t="s">
        <v>1894</v>
      </c>
      <c r="B1883" s="1">
        <v>1.8866009317045018E-2</v>
      </c>
      <c r="C1883" s="2">
        <v>5.3755917538288148E-6</v>
      </c>
      <c r="D1883" s="2"/>
      <c r="E1883" s="2">
        <v>-0.4703772499179385</v>
      </c>
      <c r="F1883" s="3">
        <v>47.711973999090112</v>
      </c>
      <c r="G1883" s="3">
        <v>1</v>
      </c>
      <c r="H1883" s="2">
        <v>5.4188793757450959E-5</v>
      </c>
      <c r="I1883" s="4">
        <v>-5.5511151231257827E-17</v>
      </c>
      <c r="J1883" s="4">
        <v>-0.47037724991793839</v>
      </c>
      <c r="K1883" s="5">
        <v>1</v>
      </c>
      <c r="L1883" s="5">
        <v>0</v>
      </c>
      <c r="M1883" s="5">
        <v>0</v>
      </c>
    </row>
    <row r="1884" spans="1:13" hidden="1" x14ac:dyDescent="0.25">
      <c r="A1884" t="s">
        <v>1895</v>
      </c>
      <c r="B1884" s="1">
        <v>1.8827012892839438E-2</v>
      </c>
      <c r="C1884" s="2">
        <v>5.3644802965584672E-6</v>
      </c>
      <c r="D1884" s="2"/>
      <c r="E1884" s="2">
        <v>1.3121183723033309</v>
      </c>
      <c r="F1884" s="3">
        <v>208.29114996488039</v>
      </c>
      <c r="G1884" s="3">
        <v>1</v>
      </c>
      <c r="H1884" s="2">
        <v>5.4188793757450959E-5</v>
      </c>
      <c r="I1884" s="4">
        <v>-2.2204460492503131E-16</v>
      </c>
      <c r="J1884" s="4">
        <v>1.3121183723033309</v>
      </c>
      <c r="K1884" s="5">
        <v>1</v>
      </c>
      <c r="L1884" s="5">
        <v>0</v>
      </c>
      <c r="M1884" s="5">
        <v>0</v>
      </c>
    </row>
    <row r="1885" spans="1:13" hidden="1" x14ac:dyDescent="0.25">
      <c r="A1885" t="s">
        <v>1896</v>
      </c>
      <c r="B1885" s="1">
        <v>1.8823461913137021E-2</v>
      </c>
      <c r="C1885" s="2">
        <v>5.3634684971426191E-6</v>
      </c>
      <c r="D1885" s="2"/>
      <c r="E1885" s="2">
        <v>-4.5132967768418131E-2</v>
      </c>
      <c r="F1885" s="3">
        <v>86.020834655162687</v>
      </c>
      <c r="G1885" s="3">
        <v>1</v>
      </c>
      <c r="H1885" s="2">
        <v>5.4188793757450959E-5</v>
      </c>
      <c r="I1885" s="4">
        <v>2.775557561562891E-17</v>
      </c>
      <c r="J1885" s="4">
        <v>-4.5132967768418158E-2</v>
      </c>
      <c r="K1885" s="5">
        <v>1</v>
      </c>
      <c r="L1885" s="5">
        <v>0</v>
      </c>
      <c r="M1885" s="5">
        <v>0</v>
      </c>
    </row>
    <row r="1886" spans="1:13" hidden="1" x14ac:dyDescent="0.25">
      <c r="A1886" t="s">
        <v>1897</v>
      </c>
      <c r="B1886" s="1">
        <v>1.880027388566138E-2</v>
      </c>
      <c r="C1886" s="2">
        <v>5.3568614099101856E-6</v>
      </c>
      <c r="D1886" s="2"/>
      <c r="E1886" s="2">
        <v>0.29213324174546229</v>
      </c>
      <c r="F1886" s="3">
        <v>116.4040397131113</v>
      </c>
      <c r="G1886" s="3">
        <v>1</v>
      </c>
      <c r="H1886" s="2">
        <v>5.4188793757450959E-5</v>
      </c>
      <c r="I1886" s="4">
        <v>3.3306690738754701E-16</v>
      </c>
      <c r="J1886" s="4">
        <v>0.29213324174546201</v>
      </c>
      <c r="K1886" s="5">
        <v>1</v>
      </c>
      <c r="L1886" s="5">
        <v>0</v>
      </c>
      <c r="M1886" s="5">
        <v>0</v>
      </c>
    </row>
    <row r="1887" spans="1:13" hidden="1" x14ac:dyDescent="0.25">
      <c r="A1887" t="s">
        <v>1898</v>
      </c>
      <c r="B1887" s="1">
        <v>1.878102223592746E-2</v>
      </c>
      <c r="C1887" s="2">
        <v>5.3513759355940172E-6</v>
      </c>
      <c r="D1887" s="2"/>
      <c r="E1887" s="2">
        <v>1.11192569027118</v>
      </c>
      <c r="F1887" s="3">
        <v>190.25644877720271</v>
      </c>
      <c r="G1887" s="3">
        <v>1</v>
      </c>
      <c r="H1887" s="2">
        <v>5.4188793757450959E-5</v>
      </c>
      <c r="I1887" s="4">
        <v>4.4408920985006262E-16</v>
      </c>
      <c r="J1887" s="4">
        <v>1.11192569027118</v>
      </c>
      <c r="K1887" s="5">
        <v>1</v>
      </c>
      <c r="L1887" s="5">
        <v>0</v>
      </c>
      <c r="M1887" s="5">
        <v>0</v>
      </c>
    </row>
    <row r="1888" spans="1:13" hidden="1" x14ac:dyDescent="0.25">
      <c r="A1888" t="s">
        <v>1899</v>
      </c>
      <c r="B1888" s="1">
        <v>1.8739106045994349E-2</v>
      </c>
      <c r="C1888" s="2">
        <v>5.3394325340420659E-6</v>
      </c>
      <c r="D1888" s="2"/>
      <c r="E1888" s="2">
        <v>0.23280933884356519</v>
      </c>
      <c r="F1888" s="3">
        <v>111.0597441511452</v>
      </c>
      <c r="G1888" s="3">
        <v>1</v>
      </c>
      <c r="H1888" s="2">
        <v>5.4188793757450959E-5</v>
      </c>
      <c r="I1888" s="4">
        <v>2.2204460492503131E-16</v>
      </c>
      <c r="J1888" s="4">
        <v>0.232809338843565</v>
      </c>
      <c r="K1888" s="5">
        <v>1</v>
      </c>
      <c r="L1888" s="5">
        <v>0</v>
      </c>
      <c r="M1888" s="5">
        <v>0</v>
      </c>
    </row>
    <row r="1889" spans="1:13" hidden="1" x14ac:dyDescent="0.25">
      <c r="A1889" t="s">
        <v>1900</v>
      </c>
      <c r="B1889" s="1">
        <v>1.871445191353642E-2</v>
      </c>
      <c r="C1889" s="2">
        <v>5.3324077017677107E-6</v>
      </c>
      <c r="D1889" s="2"/>
      <c r="E1889" s="2">
        <v>-0.2913087124398861</v>
      </c>
      <c r="F1889" s="3">
        <v>63.843670386535948</v>
      </c>
      <c r="G1889" s="3">
        <v>1</v>
      </c>
      <c r="H1889" s="2">
        <v>5.4188793757450959E-5</v>
      </c>
      <c r="I1889" s="4">
        <v>5.5511151231257827E-17</v>
      </c>
      <c r="J1889" s="4">
        <v>-0.29130871243988621</v>
      </c>
      <c r="K1889" s="5">
        <v>1</v>
      </c>
      <c r="L1889" s="5">
        <v>0</v>
      </c>
      <c r="M1889" s="5">
        <v>0</v>
      </c>
    </row>
    <row r="1890" spans="1:13" hidden="1" x14ac:dyDescent="0.25">
      <c r="A1890" t="s">
        <v>1901</v>
      </c>
      <c r="B1890" s="1">
        <v>1.8684316698209621E-2</v>
      </c>
      <c r="C1890" s="2">
        <v>5.3238211155804431E-6</v>
      </c>
      <c r="D1890" s="2"/>
      <c r="E1890" s="2">
        <v>-0.32048783944926529</v>
      </c>
      <c r="F1890" s="3">
        <v>61.21501867364799</v>
      </c>
      <c r="G1890" s="3">
        <v>1</v>
      </c>
      <c r="H1890" s="2">
        <v>5.4188793757450959E-5</v>
      </c>
      <c r="I1890" s="4">
        <v>0</v>
      </c>
      <c r="J1890" s="4">
        <v>-0.32048783944926529</v>
      </c>
      <c r="K1890" s="5">
        <v>1</v>
      </c>
      <c r="L1890" s="5">
        <v>0</v>
      </c>
      <c r="M1890" s="5">
        <v>0</v>
      </c>
    </row>
    <row r="1891" spans="1:13" hidden="1" x14ac:dyDescent="0.25">
      <c r="A1891" t="s">
        <v>1902</v>
      </c>
      <c r="B1891" s="1">
        <v>1.86174496024669E-2</v>
      </c>
      <c r="C1891" s="2">
        <v>5.3047683205544024E-6</v>
      </c>
      <c r="D1891" s="2"/>
      <c r="E1891" s="2">
        <v>-0.60027402077823666</v>
      </c>
      <c r="F1891" s="3">
        <v>36.010000560652969</v>
      </c>
      <c r="G1891" s="3">
        <v>1</v>
      </c>
      <c r="H1891" s="2">
        <v>5.4188793757450959E-5</v>
      </c>
      <c r="I1891" s="4">
        <v>0</v>
      </c>
      <c r="J1891" s="4">
        <v>-0.60027402077823666</v>
      </c>
      <c r="K1891" s="5">
        <v>1</v>
      </c>
      <c r="L1891" s="5">
        <v>0</v>
      </c>
      <c r="M1891" s="5">
        <v>0</v>
      </c>
    </row>
    <row r="1892" spans="1:13" hidden="1" x14ac:dyDescent="0.25">
      <c r="A1892" t="s">
        <v>1903</v>
      </c>
      <c r="B1892" s="1">
        <v>1.8612704680487951E-2</v>
      </c>
      <c r="C1892" s="2">
        <v>5.3034163248549411E-6</v>
      </c>
      <c r="D1892" s="2"/>
      <c r="E1892" s="2">
        <v>0.35773932759997618</v>
      </c>
      <c r="F1892" s="3">
        <v>122.3142765033316</v>
      </c>
      <c r="G1892" s="3">
        <v>1</v>
      </c>
      <c r="H1892" s="2">
        <v>5.4188793757450959E-5</v>
      </c>
      <c r="I1892" s="4">
        <v>0</v>
      </c>
      <c r="J1892" s="4">
        <v>0.35773932759997618</v>
      </c>
      <c r="K1892" s="5">
        <v>1</v>
      </c>
      <c r="L1892" s="5">
        <v>0</v>
      </c>
      <c r="M1892" s="5">
        <v>0</v>
      </c>
    </row>
    <row r="1893" spans="1:13" hidden="1" x14ac:dyDescent="0.25">
      <c r="A1893" t="s">
        <v>1904</v>
      </c>
      <c r="B1893" s="1">
        <v>1.8592656302482032E-2</v>
      </c>
      <c r="C1893" s="2">
        <v>5.2977038345410053E-6</v>
      </c>
      <c r="D1893" s="2"/>
      <c r="E1893" s="2">
        <v>-0.79528843920201098</v>
      </c>
      <c r="F1893" s="3">
        <v>18.441792133350472</v>
      </c>
      <c r="G1893" s="3">
        <v>1</v>
      </c>
      <c r="H1893" s="2">
        <v>5.4188793757450959E-5</v>
      </c>
      <c r="I1893" s="4">
        <v>1.110223024625157E-16</v>
      </c>
      <c r="J1893" s="4">
        <v>-0.79528843920201109</v>
      </c>
      <c r="K1893" s="5">
        <v>1</v>
      </c>
      <c r="L1893" s="5">
        <v>0</v>
      </c>
      <c r="M1893" s="5">
        <v>0</v>
      </c>
    </row>
    <row r="1894" spans="1:13" hidden="1" x14ac:dyDescent="0.25">
      <c r="A1894" t="s">
        <v>1905</v>
      </c>
      <c r="B1894" s="1">
        <v>1.857676249463942E-2</v>
      </c>
      <c r="C1894" s="2">
        <v>5.293175127863305E-6</v>
      </c>
      <c r="D1894" s="2"/>
      <c r="E1894" s="2">
        <v>-0.66997730632986419</v>
      </c>
      <c r="F1894" s="3">
        <v>29.730660507048579</v>
      </c>
      <c r="G1894" s="3">
        <v>1</v>
      </c>
      <c r="H1894" s="2">
        <v>5.4188793757450959E-5</v>
      </c>
      <c r="I1894" s="4">
        <v>-1.110223024625157E-16</v>
      </c>
      <c r="J1894" s="4">
        <v>-0.66997730632986408</v>
      </c>
      <c r="K1894" s="5">
        <v>1</v>
      </c>
      <c r="L1894" s="5">
        <v>0</v>
      </c>
      <c r="M1894" s="5">
        <v>0</v>
      </c>
    </row>
    <row r="1895" spans="1:13" hidden="1" x14ac:dyDescent="0.25">
      <c r="A1895" t="s">
        <v>1906</v>
      </c>
      <c r="B1895" s="1">
        <v>1.853874848835825E-2</v>
      </c>
      <c r="C1895" s="2">
        <v>5.2823435961248751E-6</v>
      </c>
      <c r="D1895" s="2"/>
      <c r="E1895" s="2">
        <v>-0.6179193121155957</v>
      </c>
      <c r="F1895" s="3">
        <v>34.420394220358872</v>
      </c>
      <c r="G1895" s="3">
        <v>1</v>
      </c>
      <c r="H1895" s="2">
        <v>5.4188793757450959E-5</v>
      </c>
      <c r="I1895" s="4">
        <v>0</v>
      </c>
      <c r="J1895" s="4">
        <v>-0.6179193121155957</v>
      </c>
      <c r="K1895" s="5">
        <v>1</v>
      </c>
      <c r="L1895" s="5">
        <v>0</v>
      </c>
      <c r="M1895" s="5">
        <v>0</v>
      </c>
    </row>
    <row r="1896" spans="1:13" hidden="1" x14ac:dyDescent="0.25">
      <c r="A1896" t="s">
        <v>1907</v>
      </c>
      <c r="B1896" s="1">
        <v>1.8511973241638679E-2</v>
      </c>
      <c r="C1896" s="2">
        <v>5.2747143835524847E-6</v>
      </c>
      <c r="D1896" s="2"/>
      <c r="E1896" s="2">
        <v>-9.8989414547923538E-2</v>
      </c>
      <c r="F1896" s="3">
        <v>81.169084257301193</v>
      </c>
      <c r="G1896" s="3">
        <v>1</v>
      </c>
      <c r="H1896" s="2">
        <v>5.4188793757450959E-5</v>
      </c>
      <c r="I1896" s="4">
        <v>-4.163336342344337E-17</v>
      </c>
      <c r="J1896" s="4">
        <v>-9.8989414547923496E-2</v>
      </c>
      <c r="K1896" s="5">
        <v>1</v>
      </c>
      <c r="L1896" s="5">
        <v>0</v>
      </c>
      <c r="M1896" s="5">
        <v>0</v>
      </c>
    </row>
    <row r="1897" spans="1:13" hidden="1" x14ac:dyDescent="0.25">
      <c r="A1897" t="s">
        <v>1908</v>
      </c>
      <c r="B1897" s="1">
        <v>1.850687432307643E-2</v>
      </c>
      <c r="C1897" s="2">
        <v>5.2732615217354419E-6</v>
      </c>
      <c r="D1897" s="2"/>
      <c r="E1897" s="2">
        <v>-0.55609598916900549</v>
      </c>
      <c r="F1897" s="3">
        <v>39.989854324759641</v>
      </c>
      <c r="G1897" s="3">
        <v>1</v>
      </c>
      <c r="H1897" s="2">
        <v>5.4188793757450959E-5</v>
      </c>
      <c r="I1897" s="4">
        <v>0</v>
      </c>
      <c r="J1897" s="4">
        <v>-0.55609598916900549</v>
      </c>
      <c r="K1897" s="5">
        <v>1</v>
      </c>
      <c r="L1897" s="5">
        <v>0</v>
      </c>
      <c r="M1897" s="5">
        <v>0</v>
      </c>
    </row>
    <row r="1898" spans="1:13" hidden="1" x14ac:dyDescent="0.25">
      <c r="A1898" t="s">
        <v>1909</v>
      </c>
      <c r="B1898" s="1">
        <v>1.8418051196742481E-2</v>
      </c>
      <c r="C1898" s="2">
        <v>5.2479526788611497E-6</v>
      </c>
      <c r="D1898" s="2"/>
      <c r="E1898" s="2">
        <v>1.922222597916672</v>
      </c>
      <c r="F1898" s="3">
        <v>263.25343575167568</v>
      </c>
      <c r="G1898" s="3">
        <v>1</v>
      </c>
      <c r="H1898" s="2">
        <v>5.4188793757450959E-5</v>
      </c>
      <c r="I1898" s="4">
        <v>-2.2204460492503131E-16</v>
      </c>
      <c r="J1898" s="4">
        <v>1.922222597916672</v>
      </c>
      <c r="K1898" s="5">
        <v>1</v>
      </c>
      <c r="L1898" s="5">
        <v>1</v>
      </c>
      <c r="M1898" s="5">
        <v>0</v>
      </c>
    </row>
    <row r="1899" spans="1:13" hidden="1" x14ac:dyDescent="0.25">
      <c r="A1899" t="s">
        <v>1910</v>
      </c>
      <c r="B1899" s="1">
        <v>1.8397852421786799E-2</v>
      </c>
      <c r="C1899" s="2">
        <v>5.2421973351493706E-6</v>
      </c>
      <c r="D1899" s="2"/>
      <c r="E1899" s="2">
        <v>-0.13126918452201811</v>
      </c>
      <c r="F1899" s="3">
        <v>78.261105803841687</v>
      </c>
      <c r="G1899" s="3">
        <v>1</v>
      </c>
      <c r="H1899" s="2">
        <v>5.4188793757450959E-5</v>
      </c>
      <c r="I1899" s="4">
        <v>-1.9428902930940239E-16</v>
      </c>
      <c r="J1899" s="4">
        <v>-0.13126918452201791</v>
      </c>
      <c r="K1899" s="5">
        <v>1</v>
      </c>
      <c r="L1899" s="5">
        <v>0</v>
      </c>
      <c r="M1899" s="5">
        <v>0</v>
      </c>
    </row>
    <row r="1900" spans="1:13" hidden="1" x14ac:dyDescent="0.25">
      <c r="A1900" t="s">
        <v>1911</v>
      </c>
      <c r="B1900" s="1">
        <v>1.8391655204417282E-2</v>
      </c>
      <c r="C1900" s="2">
        <v>5.2404315292479513E-6</v>
      </c>
      <c r="D1900" s="2"/>
      <c r="E1900" s="2">
        <v>1.172839028246917</v>
      </c>
      <c r="F1900" s="3">
        <v>195.74393132444189</v>
      </c>
      <c r="G1900" s="3">
        <v>1</v>
      </c>
      <c r="H1900" s="2">
        <v>5.4188793757450959E-5</v>
      </c>
      <c r="I1900" s="4">
        <v>0</v>
      </c>
      <c r="J1900" s="4">
        <v>1.172839028246917</v>
      </c>
      <c r="K1900" s="5">
        <v>1</v>
      </c>
      <c r="L1900" s="5">
        <v>0</v>
      </c>
      <c r="M1900" s="5">
        <v>0</v>
      </c>
    </row>
    <row r="1901" spans="1:13" hidden="1" x14ac:dyDescent="0.25">
      <c r="A1901" t="s">
        <v>1912</v>
      </c>
      <c r="B1901" s="1">
        <v>1.8389437665674212E-2</v>
      </c>
      <c r="C1901" s="2">
        <v>5.2397996742127549E-6</v>
      </c>
      <c r="D1901" s="2"/>
      <c r="E1901" s="2">
        <v>-0.38524848241926313</v>
      </c>
      <c r="F1901" s="3">
        <v>55.380945056020849</v>
      </c>
      <c r="G1901" s="3">
        <v>1</v>
      </c>
      <c r="H1901" s="2">
        <v>5.4188793757450959E-5</v>
      </c>
      <c r="I1901" s="4">
        <v>-5.5511151231257827E-17</v>
      </c>
      <c r="J1901" s="4">
        <v>-0.38524848241926302</v>
      </c>
      <c r="K1901" s="5">
        <v>1</v>
      </c>
      <c r="L1901" s="5">
        <v>0</v>
      </c>
      <c r="M1901" s="5">
        <v>0</v>
      </c>
    </row>
    <row r="1902" spans="1:13" hidden="1" x14ac:dyDescent="0.25">
      <c r="A1902" t="s">
        <v>1913</v>
      </c>
      <c r="B1902" s="1">
        <v>1.8329240582498671E-2</v>
      </c>
      <c r="C1902" s="2">
        <v>5.2226474011228317E-6</v>
      </c>
      <c r="D1902" s="2"/>
      <c r="E1902" s="2" t="s">
        <v>303</v>
      </c>
      <c r="F1902" s="3" t="s">
        <v>303</v>
      </c>
      <c r="G1902" s="3">
        <v>1</v>
      </c>
      <c r="H1902" s="2">
        <v>5.4188793757450959E-5</v>
      </c>
      <c r="I1902" s="4" t="s">
        <v>303</v>
      </c>
      <c r="J1902" s="4">
        <v>0</v>
      </c>
      <c r="K1902" s="5">
        <v>1</v>
      </c>
      <c r="L1902" s="5">
        <v>0</v>
      </c>
      <c r="M1902" s="5">
        <v>0</v>
      </c>
    </row>
    <row r="1903" spans="1:13" hidden="1" x14ac:dyDescent="0.25">
      <c r="A1903" t="s">
        <v>1914</v>
      </c>
      <c r="B1903" s="1">
        <v>1.830573769018377E-2</v>
      </c>
      <c r="C1903" s="2">
        <v>5.2159505977874839E-6</v>
      </c>
      <c r="D1903" s="2"/>
      <c r="E1903" s="2">
        <v>0.73725827847459269</v>
      </c>
      <c r="F1903" s="3">
        <v>156.50389225055159</v>
      </c>
      <c r="G1903" s="3">
        <v>1</v>
      </c>
      <c r="H1903" s="2">
        <v>5.4188793757450959E-5</v>
      </c>
      <c r="I1903" s="4">
        <v>0</v>
      </c>
      <c r="J1903" s="4">
        <v>0.73725827847459269</v>
      </c>
      <c r="K1903" s="5">
        <v>1</v>
      </c>
      <c r="L1903" s="5">
        <v>0</v>
      </c>
      <c r="M1903" s="5">
        <v>0</v>
      </c>
    </row>
    <row r="1904" spans="1:13" hidden="1" x14ac:dyDescent="0.25">
      <c r="A1904" t="s">
        <v>1915</v>
      </c>
      <c r="B1904" s="1">
        <v>1.8300408210247501E-2</v>
      </c>
      <c r="C1904" s="2">
        <v>5.2144320408994751E-6</v>
      </c>
      <c r="D1904" s="2"/>
      <c r="E1904" s="2">
        <v>-0.16082762196085779</v>
      </c>
      <c r="F1904" s="3">
        <v>75.598283260215808</v>
      </c>
      <c r="G1904" s="3">
        <v>1</v>
      </c>
      <c r="H1904" s="2">
        <v>5.4188793757450959E-5</v>
      </c>
      <c r="I1904" s="4">
        <v>-2.775557561562891E-17</v>
      </c>
      <c r="J1904" s="4">
        <v>-0.1608276219608577</v>
      </c>
      <c r="K1904" s="5">
        <v>1</v>
      </c>
      <c r="L1904" s="5">
        <v>0</v>
      </c>
      <c r="M1904" s="5">
        <v>0</v>
      </c>
    </row>
    <row r="1905" spans="1:13" hidden="1" x14ac:dyDescent="0.25">
      <c r="A1905" t="s">
        <v>1916</v>
      </c>
      <c r="B1905" s="1">
        <v>1.8279715105844811E-2</v>
      </c>
      <c r="C1905" s="2">
        <v>5.2085358452855082E-6</v>
      </c>
      <c r="D1905" s="2"/>
      <c r="E1905" s="2">
        <v>0.37734030991217898</v>
      </c>
      <c r="F1905" s="3">
        <v>124.0800646200459</v>
      </c>
      <c r="G1905" s="3">
        <v>1</v>
      </c>
      <c r="H1905" s="2">
        <v>5.4188793757450959E-5</v>
      </c>
      <c r="I1905" s="4">
        <v>0</v>
      </c>
      <c r="J1905" s="4">
        <v>0.37734030991217898</v>
      </c>
      <c r="K1905" s="5">
        <v>1</v>
      </c>
      <c r="L1905" s="5">
        <v>0</v>
      </c>
      <c r="M1905" s="5">
        <v>0</v>
      </c>
    </row>
    <row r="1906" spans="1:13" hidden="1" x14ac:dyDescent="0.25">
      <c r="A1906" t="s">
        <v>1917</v>
      </c>
      <c r="B1906" s="1">
        <v>1.8220878183479401E-2</v>
      </c>
      <c r="C1906" s="2">
        <v>5.191771130004552E-6</v>
      </c>
      <c r="D1906" s="2"/>
      <c r="E1906" s="2">
        <v>0.1420547825813552</v>
      </c>
      <c r="F1906" s="3">
        <v>102.8839642625157</v>
      </c>
      <c r="G1906" s="3">
        <v>1</v>
      </c>
      <c r="H1906" s="2">
        <v>5.4188793757450959E-5</v>
      </c>
      <c r="I1906" s="4">
        <v>5.5511151231257827E-17</v>
      </c>
      <c r="J1906" s="4">
        <v>0.14205478258135509</v>
      </c>
      <c r="K1906" s="5">
        <v>1</v>
      </c>
      <c r="L1906" s="5">
        <v>0</v>
      </c>
      <c r="M1906" s="5">
        <v>0</v>
      </c>
    </row>
    <row r="1907" spans="1:13" hidden="1" x14ac:dyDescent="0.25">
      <c r="A1907" t="s">
        <v>1918</v>
      </c>
      <c r="B1907" s="1">
        <v>1.8213572584817341E-2</v>
      </c>
      <c r="C1907" s="2">
        <v>5.1896895071629308E-6</v>
      </c>
      <c r="D1907" s="2"/>
      <c r="E1907" s="2">
        <v>-0.39202076471648822</v>
      </c>
      <c r="F1907" s="3">
        <v>54.770852387551372</v>
      </c>
      <c r="G1907" s="3">
        <v>1</v>
      </c>
      <c r="H1907" s="2">
        <v>5.4188793757450959E-5</v>
      </c>
      <c r="I1907" s="4">
        <v>-5.5511151231257827E-17</v>
      </c>
      <c r="J1907" s="4">
        <v>-0.39202076471648811</v>
      </c>
      <c r="K1907" s="5">
        <v>1</v>
      </c>
      <c r="L1907" s="5">
        <v>0</v>
      </c>
      <c r="M1907" s="5">
        <v>0</v>
      </c>
    </row>
    <row r="1908" spans="1:13" hidden="1" x14ac:dyDescent="0.25">
      <c r="A1908" t="s">
        <v>1919</v>
      </c>
      <c r="B1908" s="1">
        <v>1.820724121004802E-2</v>
      </c>
      <c r="C1908" s="2">
        <v>5.1878854750844787E-6</v>
      </c>
      <c r="D1908" s="2"/>
      <c r="E1908" s="2">
        <v>0.50686144954981094</v>
      </c>
      <c r="F1908" s="3">
        <v>135.74819867540069</v>
      </c>
      <c r="G1908" s="3">
        <v>1</v>
      </c>
      <c r="H1908" s="2">
        <v>5.4188793757450959E-5</v>
      </c>
      <c r="I1908" s="4">
        <v>0</v>
      </c>
      <c r="J1908" s="4">
        <v>0.50686144954981094</v>
      </c>
      <c r="K1908" s="5">
        <v>1</v>
      </c>
      <c r="L1908" s="5">
        <v>0</v>
      </c>
      <c r="M1908" s="5">
        <v>0</v>
      </c>
    </row>
    <row r="1909" spans="1:13" hidden="1" x14ac:dyDescent="0.25">
      <c r="A1909" t="s">
        <v>1920</v>
      </c>
      <c r="B1909" s="1">
        <v>1.8205464856658349E-2</v>
      </c>
      <c r="C1909" s="2">
        <v>5.1873793293239778E-6</v>
      </c>
      <c r="D1909" s="2"/>
      <c r="E1909" s="2">
        <v>-0.56910908979445796</v>
      </c>
      <c r="F1909" s="3">
        <v>38.817546831184387</v>
      </c>
      <c r="G1909" s="3">
        <v>1</v>
      </c>
      <c r="H1909" s="2">
        <v>5.4188793757450959E-5</v>
      </c>
      <c r="I1909" s="4">
        <v>1.110223024625157E-16</v>
      </c>
      <c r="J1909" s="4">
        <v>-0.56910908979445807</v>
      </c>
      <c r="K1909" s="5">
        <v>1</v>
      </c>
      <c r="L1909" s="5">
        <v>0</v>
      </c>
      <c r="M1909" s="5">
        <v>0</v>
      </c>
    </row>
    <row r="1910" spans="1:13" hidden="1" x14ac:dyDescent="0.25">
      <c r="A1910" t="s">
        <v>1921</v>
      </c>
      <c r="B1910" s="1">
        <v>1.8163633002013801E-2</v>
      </c>
      <c r="C1910" s="2">
        <v>5.1754599578715606E-6</v>
      </c>
      <c r="D1910" s="2"/>
      <c r="E1910" s="2">
        <v>-2.3922500830342641E-2</v>
      </c>
      <c r="F1910" s="3">
        <v>87.931615955439568</v>
      </c>
      <c r="G1910" s="3">
        <v>1</v>
      </c>
      <c r="H1910" s="2">
        <v>5.4188793757450959E-5</v>
      </c>
      <c r="I1910" s="4">
        <v>-3.1225022567582528E-17</v>
      </c>
      <c r="J1910" s="4">
        <v>-2.392250083034261E-2</v>
      </c>
      <c r="K1910" s="5">
        <v>1</v>
      </c>
      <c r="L1910" s="5">
        <v>0</v>
      </c>
      <c r="M1910" s="5">
        <v>0</v>
      </c>
    </row>
    <row r="1911" spans="1:13" hidden="1" x14ac:dyDescent="0.25">
      <c r="A1911" t="s">
        <v>1922</v>
      </c>
      <c r="B1911" s="1">
        <v>1.8099270814555951E-2</v>
      </c>
      <c r="C1911" s="2">
        <v>5.1571208996031957E-6</v>
      </c>
      <c r="D1911" s="2"/>
      <c r="E1911" s="2">
        <v>-0.40307108614843828</v>
      </c>
      <c r="F1911" s="3">
        <v>53.775365224733861</v>
      </c>
      <c r="G1911" s="3">
        <v>2</v>
      </c>
      <c r="H1911" s="2">
        <v>1.083775875149019E-4</v>
      </c>
      <c r="I1911" s="4">
        <v>0</v>
      </c>
      <c r="J1911" s="4">
        <v>-0.40307108614843828</v>
      </c>
      <c r="K1911" s="5">
        <v>2</v>
      </c>
      <c r="L1911" s="5">
        <v>0</v>
      </c>
      <c r="M1911" s="5">
        <v>1</v>
      </c>
    </row>
    <row r="1912" spans="1:13" hidden="1" x14ac:dyDescent="0.25">
      <c r="A1912" t="s">
        <v>1923</v>
      </c>
      <c r="B1912" s="1">
        <v>1.80599454490654E-2</v>
      </c>
      <c r="C1912" s="2">
        <v>5.1459157153538536E-6</v>
      </c>
      <c r="D1912" s="2"/>
      <c r="E1912" s="2">
        <v>4.623915829015468E-2</v>
      </c>
      <c r="F1912" s="3">
        <v>94.252249378326937</v>
      </c>
      <c r="G1912" s="3">
        <v>1</v>
      </c>
      <c r="H1912" s="2">
        <v>5.4188793757450959E-5</v>
      </c>
      <c r="I1912" s="4">
        <v>1.595945597898663E-16</v>
      </c>
      <c r="J1912" s="4">
        <v>4.6239158290154521E-2</v>
      </c>
      <c r="K1912" s="5">
        <v>1</v>
      </c>
      <c r="L1912" s="5">
        <v>0</v>
      </c>
      <c r="M1912" s="5">
        <v>1</v>
      </c>
    </row>
    <row r="1913" spans="1:13" hidden="1" x14ac:dyDescent="0.25">
      <c r="A1913" t="s">
        <v>1924</v>
      </c>
      <c r="B1913" s="1">
        <v>1.8013589329387139E-2</v>
      </c>
      <c r="C1913" s="2">
        <v>5.1327072211516984E-6</v>
      </c>
      <c r="D1913" s="2"/>
      <c r="E1913" s="2">
        <v>-0.64492192950060334</v>
      </c>
      <c r="F1913" s="3">
        <v>31.98781711074405</v>
      </c>
      <c r="G1913" s="3">
        <v>2</v>
      </c>
      <c r="H1913" s="2">
        <v>1.083775875149019E-4</v>
      </c>
      <c r="I1913" s="4">
        <v>-1.110223024625157E-16</v>
      </c>
      <c r="J1913" s="4">
        <v>-0.64492192950060334</v>
      </c>
      <c r="K1913" s="5">
        <v>2</v>
      </c>
      <c r="L1913" s="5">
        <v>0</v>
      </c>
      <c r="M1913" s="5">
        <v>0</v>
      </c>
    </row>
    <row r="1914" spans="1:13" hidden="1" x14ac:dyDescent="0.25">
      <c r="A1914" t="s">
        <v>1925</v>
      </c>
      <c r="B1914" s="1">
        <v>1.8001893015362688E-2</v>
      </c>
      <c r="C1914" s="2">
        <v>5.1293745285740913E-6</v>
      </c>
      <c r="D1914" s="2"/>
      <c r="E1914" s="2">
        <v>-0.48661886626498441</v>
      </c>
      <c r="F1914" s="3">
        <v>46.248820128276627</v>
      </c>
      <c r="G1914" s="3">
        <v>1</v>
      </c>
      <c r="H1914" s="2">
        <v>5.4188793757450959E-5</v>
      </c>
      <c r="I1914" s="4">
        <v>-0.38987453805031919</v>
      </c>
      <c r="J1914" s="4">
        <v>-9.6744328214665221E-2</v>
      </c>
      <c r="K1914" s="5">
        <v>1</v>
      </c>
      <c r="L1914" s="5">
        <v>0</v>
      </c>
      <c r="M1914" s="5">
        <v>0</v>
      </c>
    </row>
    <row r="1915" spans="1:13" hidden="1" x14ac:dyDescent="0.25">
      <c r="A1915" t="s">
        <v>1926</v>
      </c>
      <c r="B1915" s="1">
        <v>1.8001165805657169E-2</v>
      </c>
      <c r="C1915" s="2">
        <v>5.1291673208689194E-6</v>
      </c>
      <c r="D1915" s="2"/>
      <c r="E1915" s="2">
        <v>-0.23871891592121491</v>
      </c>
      <c r="F1915" s="3">
        <v>68.581312422735309</v>
      </c>
      <c r="G1915" s="3">
        <v>2</v>
      </c>
      <c r="H1915" s="2">
        <v>1.083775875149019E-4</v>
      </c>
      <c r="I1915" s="4">
        <v>-1.110223024625157E-16</v>
      </c>
      <c r="J1915" s="4">
        <v>-0.23871891592121469</v>
      </c>
      <c r="K1915" s="5">
        <v>2</v>
      </c>
      <c r="L1915" s="5">
        <v>0</v>
      </c>
      <c r="M1915" s="5">
        <v>0</v>
      </c>
    </row>
    <row r="1916" spans="1:13" hidden="1" x14ac:dyDescent="0.25">
      <c r="A1916" t="s">
        <v>1927</v>
      </c>
      <c r="B1916" s="1">
        <v>1.7953220696589729E-2</v>
      </c>
      <c r="C1916" s="2">
        <v>5.1155060675212654E-6</v>
      </c>
      <c r="D1916" s="2"/>
      <c r="E1916" s="2">
        <v>-0.82824325004138044</v>
      </c>
      <c r="F1916" s="3">
        <v>15.47300146552265</v>
      </c>
      <c r="G1916" s="3">
        <v>1</v>
      </c>
      <c r="H1916" s="2">
        <v>5.4188793757450959E-5</v>
      </c>
      <c r="I1916" s="4">
        <v>1.110223024625157E-16</v>
      </c>
      <c r="J1916" s="4">
        <v>-0.82824325004138066</v>
      </c>
      <c r="K1916" s="5">
        <v>1</v>
      </c>
      <c r="L1916" s="5">
        <v>0</v>
      </c>
      <c r="M1916" s="5">
        <v>0</v>
      </c>
    </row>
    <row r="1917" spans="1:13" hidden="1" x14ac:dyDescent="0.25">
      <c r="A1917" t="s">
        <v>1928</v>
      </c>
      <c r="B1917" s="1">
        <v>1.79395611838437E-2</v>
      </c>
      <c r="C1917" s="2">
        <v>5.1116139903551368E-6</v>
      </c>
      <c r="D1917" s="2"/>
      <c r="E1917" s="2">
        <v>-0.62678189942021634</v>
      </c>
      <c r="F1917" s="3">
        <v>33.62199283941893</v>
      </c>
      <c r="G1917" s="3">
        <v>1</v>
      </c>
      <c r="H1917" s="2">
        <v>5.4188793757450959E-5</v>
      </c>
      <c r="I1917" s="4">
        <v>-2.2204460492503131E-16</v>
      </c>
      <c r="J1917" s="4">
        <v>-0.62678189942021612</v>
      </c>
      <c r="K1917" s="5">
        <v>1</v>
      </c>
      <c r="L1917" s="5">
        <v>0</v>
      </c>
      <c r="M1917" s="5">
        <v>0</v>
      </c>
    </row>
    <row r="1918" spans="1:13" hidden="1" x14ac:dyDescent="0.25">
      <c r="A1918" t="s">
        <v>1929</v>
      </c>
      <c r="B1918" s="1">
        <v>1.7933228625481652E-2</v>
      </c>
      <c r="C1918" s="2">
        <v>5.1098096210293504E-6</v>
      </c>
      <c r="D1918" s="2"/>
      <c r="E1918" s="2">
        <v>-0.44069196186667953</v>
      </c>
      <c r="F1918" s="3">
        <v>50.386224097745632</v>
      </c>
      <c r="G1918" s="3">
        <v>1</v>
      </c>
      <c r="H1918" s="2">
        <v>5.4188793757450959E-5</v>
      </c>
      <c r="I1918" s="4">
        <v>0</v>
      </c>
      <c r="J1918" s="4">
        <v>-0.44069196186667953</v>
      </c>
      <c r="K1918" s="5">
        <v>1</v>
      </c>
      <c r="L1918" s="5">
        <v>0</v>
      </c>
      <c r="M1918" s="5">
        <v>0</v>
      </c>
    </row>
    <row r="1919" spans="1:13" hidden="1" x14ac:dyDescent="0.25">
      <c r="A1919" t="s">
        <v>1930</v>
      </c>
      <c r="B1919" s="1">
        <v>1.7929812359101641E-2</v>
      </c>
      <c r="C1919" s="2">
        <v>5.1088362061925039E-6</v>
      </c>
      <c r="D1919" s="2"/>
      <c r="E1919" s="2">
        <v>0.42213359638711417</v>
      </c>
      <c r="F1919" s="3">
        <v>128.1153446741877</v>
      </c>
      <c r="G1919" s="3">
        <v>1</v>
      </c>
      <c r="H1919" s="2">
        <v>5.4188793757450959E-5</v>
      </c>
      <c r="I1919" s="4">
        <v>-4.9960036108132044E-16</v>
      </c>
      <c r="J1919" s="4">
        <v>0.42213359638711467</v>
      </c>
      <c r="K1919" s="5">
        <v>1</v>
      </c>
      <c r="L1919" s="5">
        <v>0</v>
      </c>
      <c r="M1919" s="5">
        <v>0</v>
      </c>
    </row>
    <row r="1920" spans="1:13" hidden="1" x14ac:dyDescent="0.25">
      <c r="A1920" t="s">
        <v>1931</v>
      </c>
      <c r="B1920" s="1">
        <v>1.791872666280506E-2</v>
      </c>
      <c r="C1920" s="2">
        <v>5.1056775001516098E-6</v>
      </c>
      <c r="D1920" s="2"/>
      <c r="E1920" s="2">
        <v>0.1580607089005186</v>
      </c>
      <c r="F1920" s="3">
        <v>104.32588559284559</v>
      </c>
      <c r="G1920" s="3">
        <v>1</v>
      </c>
      <c r="H1920" s="2">
        <v>5.4188793757450959E-5</v>
      </c>
      <c r="I1920" s="4">
        <v>-5.5511151231257827E-17</v>
      </c>
      <c r="J1920" s="4">
        <v>0.15806070890051871</v>
      </c>
      <c r="K1920" s="5">
        <v>1</v>
      </c>
      <c r="L1920" s="5">
        <v>0</v>
      </c>
      <c r="M1920" s="5">
        <v>0</v>
      </c>
    </row>
    <row r="1921" spans="1:13" hidden="1" x14ac:dyDescent="0.25">
      <c r="A1921" t="s">
        <v>1932</v>
      </c>
      <c r="B1921" s="1">
        <v>1.791080277869141E-2</v>
      </c>
      <c r="C1921" s="2">
        <v>5.1034197059682272E-6</v>
      </c>
      <c r="D1921" s="2"/>
      <c r="E1921" s="2">
        <v>-0.52761537222128529</v>
      </c>
      <c r="F1921" s="3">
        <v>42.555579560462093</v>
      </c>
      <c r="G1921" s="3">
        <v>1</v>
      </c>
      <c r="H1921" s="2">
        <v>5.4188793757450959E-5</v>
      </c>
      <c r="I1921" s="4">
        <v>-1.110223024625157E-16</v>
      </c>
      <c r="J1921" s="4">
        <v>-0.52761537222128518</v>
      </c>
      <c r="K1921" s="5">
        <v>1</v>
      </c>
      <c r="L1921" s="5">
        <v>0</v>
      </c>
      <c r="M1921" s="5">
        <v>0</v>
      </c>
    </row>
    <row r="1922" spans="1:13" hidden="1" x14ac:dyDescent="0.25">
      <c r="A1922" t="s">
        <v>1933</v>
      </c>
      <c r="B1922" s="1">
        <v>1.7865249950912831E-2</v>
      </c>
      <c r="C1922" s="2">
        <v>5.090440097972972E-6</v>
      </c>
      <c r="D1922" s="2"/>
      <c r="E1922" s="2">
        <v>-0.78989106135196319</v>
      </c>
      <c r="F1922" s="3">
        <v>18.928024176073041</v>
      </c>
      <c r="G1922" s="3">
        <v>1</v>
      </c>
      <c r="H1922" s="2">
        <v>5.4188793757450959E-5</v>
      </c>
      <c r="I1922" s="4">
        <v>0</v>
      </c>
      <c r="J1922" s="4">
        <v>-0.78989106135196319</v>
      </c>
      <c r="K1922" s="5">
        <v>1</v>
      </c>
      <c r="L1922" s="5">
        <v>0</v>
      </c>
      <c r="M1922" s="5">
        <v>0</v>
      </c>
    </row>
    <row r="1923" spans="1:13" hidden="1" x14ac:dyDescent="0.25">
      <c r="A1923" t="s">
        <v>1934</v>
      </c>
      <c r="B1923" s="1">
        <v>1.7847423583466391E-2</v>
      </c>
      <c r="C1923" s="2">
        <v>5.0853607368725171E-6</v>
      </c>
      <c r="D1923" s="2"/>
      <c r="E1923" s="2">
        <v>-0.49911678606676901</v>
      </c>
      <c r="F1923" s="3">
        <v>45.122923582984583</v>
      </c>
      <c r="G1923" s="3">
        <v>2</v>
      </c>
      <c r="H1923" s="2">
        <v>1.083775875149019E-4</v>
      </c>
      <c r="I1923" s="4">
        <v>-1.110223024625157E-16</v>
      </c>
      <c r="J1923" s="4">
        <v>-0.4991167860667689</v>
      </c>
      <c r="K1923" s="5">
        <v>2</v>
      </c>
      <c r="L1923" s="5">
        <v>0</v>
      </c>
      <c r="M1923" s="5">
        <v>0</v>
      </c>
    </row>
    <row r="1924" spans="1:13" hidden="1" x14ac:dyDescent="0.25">
      <c r="A1924" t="s">
        <v>1935</v>
      </c>
      <c r="B1924" s="1">
        <v>1.7823452639267202E-2</v>
      </c>
      <c r="C1924" s="2">
        <v>5.0785305690398182E-6</v>
      </c>
      <c r="D1924" s="2"/>
      <c r="E1924" s="2">
        <v>-0.19133758329985229</v>
      </c>
      <c r="F1924" s="3">
        <v>72.849741053722965</v>
      </c>
      <c r="G1924" s="3">
        <v>1</v>
      </c>
      <c r="H1924" s="2">
        <v>5.4188793757450959E-5</v>
      </c>
      <c r="I1924" s="4">
        <v>-1.3877787807814459E-16</v>
      </c>
      <c r="J1924" s="4">
        <v>-0.19133758329985209</v>
      </c>
      <c r="K1924" s="5">
        <v>1</v>
      </c>
      <c r="L1924" s="5">
        <v>0</v>
      </c>
      <c r="M1924" s="5">
        <v>0</v>
      </c>
    </row>
    <row r="1925" spans="1:13" hidden="1" x14ac:dyDescent="0.25">
      <c r="A1925" t="s">
        <v>1936</v>
      </c>
      <c r="B1925" s="1">
        <v>1.7630391578222559E-2</v>
      </c>
      <c r="C1925" s="2">
        <v>5.0235206604631621E-6</v>
      </c>
      <c r="D1925" s="2"/>
      <c r="E1925" s="2">
        <v>0.57867561735400841</v>
      </c>
      <c r="F1925" s="3">
        <v>142.217701177907</v>
      </c>
      <c r="G1925" s="3">
        <v>1</v>
      </c>
      <c r="H1925" s="2">
        <v>5.4188793757450959E-5</v>
      </c>
      <c r="I1925" s="4">
        <v>1.110223024625157E-16</v>
      </c>
      <c r="J1925" s="4">
        <v>0.5786756173540083</v>
      </c>
      <c r="K1925" s="5">
        <v>1</v>
      </c>
      <c r="L1925" s="5">
        <v>0</v>
      </c>
      <c r="M1925" s="5">
        <v>0</v>
      </c>
    </row>
    <row r="1926" spans="1:13" hidden="1" x14ac:dyDescent="0.25">
      <c r="A1926" t="s">
        <v>1937</v>
      </c>
      <c r="B1926" s="1">
        <v>1.7593000781199582E-2</v>
      </c>
      <c r="C1926" s="2">
        <v>5.012866703032736E-6</v>
      </c>
      <c r="D1926" s="2"/>
      <c r="E1926" s="2">
        <v>0.1275553245596153</v>
      </c>
      <c r="F1926" s="3">
        <v>101.57775571307759</v>
      </c>
      <c r="G1926" s="3">
        <v>1</v>
      </c>
      <c r="H1926" s="2">
        <v>5.4188793757450959E-5</v>
      </c>
      <c r="I1926" s="4">
        <v>0</v>
      </c>
      <c r="J1926" s="4">
        <v>0.1275553245596153</v>
      </c>
      <c r="K1926" s="5">
        <v>1</v>
      </c>
      <c r="L1926" s="5">
        <v>0</v>
      </c>
      <c r="M1926" s="5">
        <v>0</v>
      </c>
    </row>
    <row r="1927" spans="1:13" hidden="1" x14ac:dyDescent="0.25">
      <c r="A1927" t="s">
        <v>1938</v>
      </c>
      <c r="B1927" s="1">
        <v>1.7572779445562271E-2</v>
      </c>
      <c r="C1927" s="2">
        <v>5.0071049309866949E-6</v>
      </c>
      <c r="D1927" s="2"/>
      <c r="E1927" s="2">
        <v>1.0373509553243729</v>
      </c>
      <c r="F1927" s="3">
        <v>183.538255847953</v>
      </c>
      <c r="G1927" s="3">
        <v>1</v>
      </c>
      <c r="H1927" s="2">
        <v>5.4188793757450959E-5</v>
      </c>
      <c r="I1927" s="4">
        <v>-2.2204460492503131E-16</v>
      </c>
      <c r="J1927" s="4">
        <v>1.0373509553243729</v>
      </c>
      <c r="K1927" s="5">
        <v>1</v>
      </c>
      <c r="L1927" s="5">
        <v>0</v>
      </c>
      <c r="M1927" s="5">
        <v>0</v>
      </c>
    </row>
    <row r="1928" spans="1:13" hidden="1" x14ac:dyDescent="0.25">
      <c r="A1928" t="s">
        <v>1939</v>
      </c>
      <c r="B1928" s="1">
        <v>1.745850844161442E-2</v>
      </c>
      <c r="C1928" s="2">
        <v>4.974545089835293E-6</v>
      </c>
      <c r="D1928" s="2"/>
      <c r="E1928" s="2">
        <v>-0.65871134536053311</v>
      </c>
      <c r="F1928" s="3">
        <v>30.745573927516631</v>
      </c>
      <c r="G1928" s="3">
        <v>2</v>
      </c>
      <c r="H1928" s="2">
        <v>1.083775875149019E-4</v>
      </c>
      <c r="I1928" s="4">
        <v>0</v>
      </c>
      <c r="J1928" s="4">
        <v>-0.65871134536053311</v>
      </c>
      <c r="K1928" s="5">
        <v>2</v>
      </c>
      <c r="L1928" s="5">
        <v>0</v>
      </c>
      <c r="M1928" s="5">
        <v>0</v>
      </c>
    </row>
    <row r="1929" spans="1:13" hidden="1" x14ac:dyDescent="0.25">
      <c r="A1929" t="s">
        <v>1940</v>
      </c>
      <c r="B1929" s="1">
        <v>1.7429764404974912E-2</v>
      </c>
      <c r="C1929" s="2">
        <v>4.966354899544679E-6</v>
      </c>
      <c r="D1929" s="2"/>
      <c r="E1929" s="2">
        <v>0.7905554453431336</v>
      </c>
      <c r="F1929" s="3">
        <v>161.30525895819969</v>
      </c>
      <c r="G1929" s="3">
        <v>1</v>
      </c>
      <c r="H1929" s="2">
        <v>5.4188793757450959E-5</v>
      </c>
      <c r="I1929" s="4">
        <v>-1.110223024625157E-16</v>
      </c>
      <c r="J1929" s="4">
        <v>0.79055544534313371</v>
      </c>
      <c r="K1929" s="5">
        <v>1</v>
      </c>
      <c r="L1929" s="5">
        <v>0</v>
      </c>
      <c r="M1929" s="5">
        <v>0</v>
      </c>
    </row>
    <row r="1930" spans="1:13" hidden="1" x14ac:dyDescent="0.25">
      <c r="A1930" t="s">
        <v>1941</v>
      </c>
      <c r="B1930" s="1">
        <v>1.7387154899918291E-2</v>
      </c>
      <c r="C1930" s="2">
        <v>4.9542139480499632E-6</v>
      </c>
      <c r="D1930" s="2"/>
      <c r="E1930" s="2">
        <v>0.26946973807469782</v>
      </c>
      <c r="F1930" s="3">
        <v>114.36235910611271</v>
      </c>
      <c r="G1930" s="3">
        <v>1</v>
      </c>
      <c r="H1930" s="2">
        <v>5.4188793757450959E-5</v>
      </c>
      <c r="I1930" s="4">
        <v>0</v>
      </c>
      <c r="J1930" s="4">
        <v>0.26946973807469782</v>
      </c>
      <c r="K1930" s="5">
        <v>1</v>
      </c>
      <c r="L1930" s="5">
        <v>0</v>
      </c>
      <c r="M1930" s="5">
        <v>0</v>
      </c>
    </row>
    <row r="1931" spans="1:13" hidden="1" x14ac:dyDescent="0.25">
      <c r="A1931" t="s">
        <v>1942</v>
      </c>
      <c r="B1931" s="1">
        <v>1.7384914899488738E-2</v>
      </c>
      <c r="C1931" s="2">
        <v>4.9535756928877149E-6</v>
      </c>
      <c r="D1931" s="2"/>
      <c r="E1931" s="2">
        <v>0.27851551033987149</v>
      </c>
      <c r="F1931" s="3">
        <v>115.17726301847451</v>
      </c>
      <c r="G1931" s="3">
        <v>1</v>
      </c>
      <c r="H1931" s="2">
        <v>5.4188793757450959E-5</v>
      </c>
      <c r="I1931" s="4">
        <v>-5.5511151231257827E-17</v>
      </c>
      <c r="J1931" s="4">
        <v>0.2785155103398716</v>
      </c>
      <c r="K1931" s="5">
        <v>1</v>
      </c>
      <c r="L1931" s="5">
        <v>0</v>
      </c>
      <c r="M1931" s="5">
        <v>0</v>
      </c>
    </row>
    <row r="1932" spans="1:13" hidden="1" x14ac:dyDescent="0.25">
      <c r="A1932" t="s">
        <v>1943</v>
      </c>
      <c r="B1932" s="1">
        <v>1.7383846501721159E-2</v>
      </c>
      <c r="C1932" s="2">
        <v>4.9532712686646202E-6</v>
      </c>
      <c r="D1932" s="2"/>
      <c r="E1932" s="2">
        <v>-0.2053522114332775</v>
      </c>
      <c r="F1932" s="3">
        <v>71.587209236490239</v>
      </c>
      <c r="G1932" s="3">
        <v>1</v>
      </c>
      <c r="H1932" s="2">
        <v>5.4188793757450959E-5</v>
      </c>
      <c r="I1932" s="4">
        <v>-5.5511151231257827E-17</v>
      </c>
      <c r="J1932" s="4">
        <v>-0.2053522114332775</v>
      </c>
      <c r="K1932" s="5">
        <v>1</v>
      </c>
      <c r="L1932" s="5">
        <v>0</v>
      </c>
      <c r="M1932" s="5">
        <v>0</v>
      </c>
    </row>
    <row r="1933" spans="1:13" hidden="1" x14ac:dyDescent="0.25">
      <c r="A1933" t="s">
        <v>1944</v>
      </c>
      <c r="B1933" s="1">
        <v>1.7363888008754928E-2</v>
      </c>
      <c r="C1933" s="2">
        <v>4.9475843897701443E-6</v>
      </c>
      <c r="D1933" s="2"/>
      <c r="E1933" s="2">
        <v>-0.42034125513280679</v>
      </c>
      <c r="F1933" s="3">
        <v>52.219552425124313</v>
      </c>
      <c r="G1933" s="3">
        <v>1</v>
      </c>
      <c r="H1933" s="2">
        <v>5.4188793757450959E-5</v>
      </c>
      <c r="I1933" s="4">
        <v>-5.5511151231257827E-17</v>
      </c>
      <c r="J1933" s="4">
        <v>-0.42034125513280679</v>
      </c>
      <c r="K1933" s="5">
        <v>1</v>
      </c>
      <c r="L1933" s="5">
        <v>0</v>
      </c>
      <c r="M1933" s="5">
        <v>0</v>
      </c>
    </row>
    <row r="1934" spans="1:13" hidden="1" x14ac:dyDescent="0.25">
      <c r="A1934" t="s">
        <v>1945</v>
      </c>
      <c r="B1934" s="1">
        <v>1.7322806300683249E-2</v>
      </c>
      <c r="C1934" s="2">
        <v>4.9358787615457458E-6</v>
      </c>
      <c r="D1934" s="2"/>
      <c r="E1934" s="2">
        <v>-0.7958469116095328</v>
      </c>
      <c r="F1934" s="3">
        <v>18.391481188469871</v>
      </c>
      <c r="G1934" s="3">
        <v>1</v>
      </c>
      <c r="H1934" s="2">
        <v>5.4188793757450959E-5</v>
      </c>
      <c r="I1934" s="4">
        <v>1.110223024625157E-16</v>
      </c>
      <c r="J1934" s="4">
        <v>-0.79584691160953291</v>
      </c>
      <c r="K1934" s="5">
        <v>1</v>
      </c>
      <c r="L1934" s="5">
        <v>0</v>
      </c>
      <c r="M1934" s="5">
        <v>0</v>
      </c>
    </row>
    <row r="1935" spans="1:13" hidden="1" x14ac:dyDescent="0.25">
      <c r="A1935" t="s">
        <v>1946</v>
      </c>
      <c r="B1935" s="1">
        <v>1.7270743255855561E-2</v>
      </c>
      <c r="C1935" s="2">
        <v>4.921044162995959E-6</v>
      </c>
      <c r="D1935" s="2"/>
      <c r="E1935" s="2">
        <v>0.14767901179354451</v>
      </c>
      <c r="F1935" s="3">
        <v>103.3906325993561</v>
      </c>
      <c r="G1935" s="3">
        <v>2</v>
      </c>
      <c r="H1935" s="2">
        <v>1.083775875149019E-4</v>
      </c>
      <c r="I1935" s="4">
        <v>2.775557561562891E-17</v>
      </c>
      <c r="J1935" s="4">
        <v>0.14767901179354451</v>
      </c>
      <c r="K1935" s="5">
        <v>2</v>
      </c>
      <c r="L1935" s="5">
        <v>0</v>
      </c>
      <c r="M1935" s="5">
        <v>0</v>
      </c>
    </row>
    <row r="1936" spans="1:13" hidden="1" x14ac:dyDescent="0.25">
      <c r="A1936" t="s">
        <v>1947</v>
      </c>
      <c r="B1936" s="1">
        <v>1.7263988884327269E-2</v>
      </c>
      <c r="C1936" s="2">
        <v>4.9191196042151561E-6</v>
      </c>
      <c r="D1936" s="2"/>
      <c r="E1936" s="2">
        <v>3.6788582194579027E-2</v>
      </c>
      <c r="F1936" s="3">
        <v>93.400878018469996</v>
      </c>
      <c r="G1936" s="3">
        <v>1</v>
      </c>
      <c r="H1936" s="2">
        <v>5.4188793757450959E-5</v>
      </c>
      <c r="I1936" s="4">
        <v>-4.8572257327350599E-17</v>
      </c>
      <c r="J1936" s="4">
        <v>3.6788582194579082E-2</v>
      </c>
      <c r="K1936" s="5">
        <v>1</v>
      </c>
      <c r="L1936" s="5">
        <v>0</v>
      </c>
      <c r="M1936" s="5">
        <v>1</v>
      </c>
    </row>
    <row r="1937" spans="1:13" hidden="1" x14ac:dyDescent="0.25">
      <c r="A1937" t="s">
        <v>1948</v>
      </c>
      <c r="B1937" s="1">
        <v>1.7259537010175369E-2</v>
      </c>
      <c r="C1937" s="2">
        <v>4.9178511081820071E-6</v>
      </c>
      <c r="D1937" s="2"/>
      <c r="E1937" s="2">
        <v>-0.40042278163210898</v>
      </c>
      <c r="F1937" s="3">
        <v>54.013942280204397</v>
      </c>
      <c r="G1937" s="3">
        <v>1</v>
      </c>
      <c r="H1937" s="2">
        <v>5.4188793757450959E-5</v>
      </c>
      <c r="I1937" s="4">
        <v>-5.5511151231257827E-17</v>
      </c>
      <c r="J1937" s="4">
        <v>-0.40042278163210893</v>
      </c>
      <c r="K1937" s="5">
        <v>1</v>
      </c>
      <c r="L1937" s="5">
        <v>0</v>
      </c>
      <c r="M1937" s="5">
        <v>0</v>
      </c>
    </row>
    <row r="1938" spans="1:13" hidden="1" x14ac:dyDescent="0.25">
      <c r="A1938" t="s">
        <v>1949</v>
      </c>
      <c r="B1938" s="1">
        <v>1.7148641942313352E-2</v>
      </c>
      <c r="C1938" s="2">
        <v>4.8862531903435616E-6</v>
      </c>
      <c r="D1938" s="2"/>
      <c r="E1938" s="2">
        <v>0.82317464633937554</v>
      </c>
      <c r="F1938" s="3">
        <v>164.24381563757689</v>
      </c>
      <c r="G1938" s="3">
        <v>1</v>
      </c>
      <c r="H1938" s="2">
        <v>5.4188793757450959E-5</v>
      </c>
      <c r="I1938" s="4">
        <v>0</v>
      </c>
      <c r="J1938" s="4">
        <v>0.82317464633937554</v>
      </c>
      <c r="K1938" s="5">
        <v>1</v>
      </c>
      <c r="L1938" s="5">
        <v>0</v>
      </c>
      <c r="M1938" s="5">
        <v>0</v>
      </c>
    </row>
    <row r="1939" spans="1:13" hidden="1" x14ac:dyDescent="0.25">
      <c r="A1939" t="s">
        <v>1950</v>
      </c>
      <c r="B1939" s="1">
        <v>1.7130597758530871E-2</v>
      </c>
      <c r="C1939" s="2">
        <v>4.8811117656831778E-6</v>
      </c>
      <c r="D1939" s="2"/>
      <c r="E1939" s="2">
        <v>0.35712677281301519</v>
      </c>
      <c r="F1939" s="3">
        <v>122.2590934545219</v>
      </c>
      <c r="G1939" s="3">
        <v>1</v>
      </c>
      <c r="H1939" s="2">
        <v>5.4188793757450959E-5</v>
      </c>
      <c r="I1939" s="4">
        <v>5.5511151231257827E-17</v>
      </c>
      <c r="J1939" s="4">
        <v>0.35712677281301519</v>
      </c>
      <c r="K1939" s="5">
        <v>1</v>
      </c>
      <c r="L1939" s="5">
        <v>0</v>
      </c>
      <c r="M1939" s="5">
        <v>0</v>
      </c>
    </row>
    <row r="1940" spans="1:13" hidden="1" x14ac:dyDescent="0.25">
      <c r="A1940" t="s">
        <v>1951</v>
      </c>
      <c r="B1940" s="1">
        <v>1.712720764805814E-2</v>
      </c>
      <c r="C1940" s="2">
        <v>4.8801458035872474E-6</v>
      </c>
      <c r="D1940" s="2"/>
      <c r="E1940" s="2">
        <v>0.30783330370802808</v>
      </c>
      <c r="F1940" s="3">
        <v>117.81840672817241</v>
      </c>
      <c r="G1940" s="3">
        <v>1</v>
      </c>
      <c r="H1940" s="2">
        <v>5.4188793757450959E-5</v>
      </c>
      <c r="I1940" s="4">
        <v>-2.2204460492503131E-16</v>
      </c>
      <c r="J1940" s="4">
        <v>0.30783330370802831</v>
      </c>
      <c r="K1940" s="5">
        <v>1</v>
      </c>
      <c r="L1940" s="5">
        <v>0</v>
      </c>
      <c r="M1940" s="5">
        <v>0</v>
      </c>
    </row>
    <row r="1941" spans="1:13" hidden="1" x14ac:dyDescent="0.25">
      <c r="A1941" t="s">
        <v>1952</v>
      </c>
      <c r="B1941" s="1">
        <v>1.7118939205255469E-2</v>
      </c>
      <c r="C1941" s="2">
        <v>4.8777898324753842E-6</v>
      </c>
      <c r="D1941" s="2"/>
      <c r="E1941" s="2">
        <v>-0.46821228686055122</v>
      </c>
      <c r="F1941" s="3">
        <v>47.907008410068578</v>
      </c>
      <c r="G1941" s="3">
        <v>1</v>
      </c>
      <c r="H1941" s="2">
        <v>5.4188793757450959E-5</v>
      </c>
      <c r="I1941" s="4">
        <v>0</v>
      </c>
      <c r="J1941" s="4">
        <v>-0.46821228686055122</v>
      </c>
      <c r="K1941" s="5">
        <v>1</v>
      </c>
      <c r="L1941" s="5">
        <v>0</v>
      </c>
      <c r="M1941" s="5">
        <v>0</v>
      </c>
    </row>
    <row r="1942" spans="1:13" hidden="1" x14ac:dyDescent="0.25">
      <c r="A1942" t="s">
        <v>1953</v>
      </c>
      <c r="B1942" s="1">
        <v>1.7097825670872969E-2</v>
      </c>
      <c r="C1942" s="2">
        <v>4.8717738415250274E-6</v>
      </c>
      <c r="D1942" s="2"/>
      <c r="E1942" s="2">
        <v>-0.57488392180090164</v>
      </c>
      <c r="F1942" s="3">
        <v>38.29731118326734</v>
      </c>
      <c r="G1942" s="3">
        <v>1</v>
      </c>
      <c r="H1942" s="2">
        <v>5.4188793757450959E-5</v>
      </c>
      <c r="I1942" s="4">
        <v>-0.57488392180090164</v>
      </c>
      <c r="J1942" s="4">
        <v>0</v>
      </c>
      <c r="K1942" s="5">
        <v>1</v>
      </c>
      <c r="L1942" s="5">
        <v>0</v>
      </c>
      <c r="M1942" s="5">
        <v>0</v>
      </c>
    </row>
    <row r="1943" spans="1:13" hidden="1" x14ac:dyDescent="0.25">
      <c r="A1943" t="s">
        <v>1954</v>
      </c>
      <c r="B1943" s="1">
        <v>1.7046630076320561E-2</v>
      </c>
      <c r="C1943" s="2">
        <v>4.8571864101672114E-6</v>
      </c>
      <c r="D1943" s="2"/>
      <c r="E1943" s="2">
        <v>-0.7353913004862348</v>
      </c>
      <c r="F1943" s="3">
        <v>23.83772862698525</v>
      </c>
      <c r="G1943" s="3">
        <v>2</v>
      </c>
      <c r="H1943" s="2">
        <v>1.083775875149019E-4</v>
      </c>
      <c r="I1943" s="4">
        <v>-2.2204460492503131E-16</v>
      </c>
      <c r="J1943" s="4">
        <v>-0.73539130048623458</v>
      </c>
      <c r="K1943" s="5">
        <v>2</v>
      </c>
      <c r="L1943" s="5">
        <v>0</v>
      </c>
      <c r="M1943" s="5">
        <v>0</v>
      </c>
    </row>
    <row r="1944" spans="1:13" hidden="1" x14ac:dyDescent="0.25">
      <c r="A1944" t="s">
        <v>1955</v>
      </c>
      <c r="B1944" s="1">
        <v>1.70428531892192E-2</v>
      </c>
      <c r="C1944" s="2">
        <v>4.8561102417621172E-6</v>
      </c>
      <c r="D1944" s="2"/>
      <c r="E1944" s="2">
        <v>-0.17087194786966939</v>
      </c>
      <c r="F1944" s="3">
        <v>74.693422929866784</v>
      </c>
      <c r="G1944" s="3">
        <v>1</v>
      </c>
      <c r="H1944" s="2">
        <v>5.4188793757450959E-5</v>
      </c>
      <c r="I1944" s="4">
        <v>0</v>
      </c>
      <c r="J1944" s="4">
        <v>-0.17087194786966939</v>
      </c>
      <c r="K1944" s="5">
        <v>1</v>
      </c>
      <c r="L1944" s="5">
        <v>0</v>
      </c>
      <c r="M1944" s="5">
        <v>0</v>
      </c>
    </row>
    <row r="1945" spans="1:13" hidden="1" x14ac:dyDescent="0.25">
      <c r="A1945" t="s">
        <v>1956</v>
      </c>
      <c r="B1945" s="1">
        <v>1.7000437846214699E-2</v>
      </c>
      <c r="C1945" s="2">
        <v>4.8440246138871831E-6</v>
      </c>
      <c r="D1945" s="2"/>
      <c r="E1945" s="2">
        <v>-0.54895971976232349</v>
      </c>
      <c r="F1945" s="3">
        <v>40.63273739639763</v>
      </c>
      <c r="G1945" s="3">
        <v>1</v>
      </c>
      <c r="H1945" s="2">
        <v>5.4188793757450959E-5</v>
      </c>
      <c r="I1945" s="4">
        <v>-1.110223024625157E-16</v>
      </c>
      <c r="J1945" s="4">
        <v>-0.54895971976232338</v>
      </c>
      <c r="K1945" s="5">
        <v>1</v>
      </c>
      <c r="L1945" s="5">
        <v>0</v>
      </c>
      <c r="M1945" s="5">
        <v>1</v>
      </c>
    </row>
    <row r="1946" spans="1:13" hidden="1" x14ac:dyDescent="0.25">
      <c r="A1946" t="s">
        <v>1957</v>
      </c>
      <c r="B1946" s="1">
        <v>1.697901827229515E-2</v>
      </c>
      <c r="C1946" s="2">
        <v>4.8379214214739153E-6</v>
      </c>
      <c r="D1946" s="2"/>
      <c r="E1946" s="2">
        <v>8.977585490529183E-2</v>
      </c>
      <c r="F1946" s="3">
        <v>98.174327379292421</v>
      </c>
      <c r="G1946" s="3">
        <v>1</v>
      </c>
      <c r="H1946" s="2">
        <v>5.4188793757450959E-5</v>
      </c>
      <c r="I1946" s="4">
        <v>6.9388939039072284E-17</v>
      </c>
      <c r="J1946" s="4">
        <v>8.977585490529176E-2</v>
      </c>
      <c r="K1946" s="5">
        <v>1</v>
      </c>
      <c r="L1946" s="5">
        <v>0</v>
      </c>
      <c r="M1946" s="5">
        <v>0</v>
      </c>
    </row>
    <row r="1947" spans="1:13" hidden="1" x14ac:dyDescent="0.25">
      <c r="A1947" t="s">
        <v>1958</v>
      </c>
      <c r="B1947" s="1">
        <v>1.6975518269851358E-2</v>
      </c>
      <c r="C1947" s="2">
        <v>4.8369241472778182E-6</v>
      </c>
      <c r="D1947" s="2"/>
      <c r="E1947" s="2">
        <v>-0.70463954599651346</v>
      </c>
      <c r="F1947" s="3">
        <v>26.60805318425296</v>
      </c>
      <c r="G1947" s="3">
        <v>1</v>
      </c>
      <c r="H1947" s="2">
        <v>5.4188793757450959E-5</v>
      </c>
      <c r="I1947" s="4">
        <v>1.110223024625157E-16</v>
      </c>
      <c r="J1947" s="4">
        <v>-0.70463954599651346</v>
      </c>
      <c r="K1947" s="5">
        <v>1</v>
      </c>
      <c r="L1947" s="5">
        <v>0</v>
      </c>
      <c r="M1947" s="5">
        <v>0</v>
      </c>
    </row>
    <row r="1948" spans="1:13" hidden="1" x14ac:dyDescent="0.25">
      <c r="A1948" t="s">
        <v>1959</v>
      </c>
      <c r="B1948" s="1">
        <v>1.6962368752681679E-2</v>
      </c>
      <c r="C1948" s="2">
        <v>4.8331773858469154E-6</v>
      </c>
      <c r="D1948" s="2"/>
      <c r="E1948" s="2">
        <v>-0.60853454400748497</v>
      </c>
      <c r="F1948" s="3">
        <v>35.26583715477264</v>
      </c>
      <c r="G1948" s="3">
        <v>2</v>
      </c>
      <c r="H1948" s="2">
        <v>1.083775875149019E-4</v>
      </c>
      <c r="I1948" s="4">
        <v>0</v>
      </c>
      <c r="J1948" s="4">
        <v>-0.60853454400748497</v>
      </c>
      <c r="K1948" s="5">
        <v>2</v>
      </c>
      <c r="L1948" s="5">
        <v>0</v>
      </c>
      <c r="M1948" s="5">
        <v>0</v>
      </c>
    </row>
    <row r="1949" spans="1:13" hidden="1" x14ac:dyDescent="0.25">
      <c r="A1949" t="s">
        <v>1960</v>
      </c>
      <c r="B1949" s="1">
        <v>1.694721894467904E-2</v>
      </c>
      <c r="C1949" s="2">
        <v>4.828860670976138E-6</v>
      </c>
      <c r="D1949" s="2"/>
      <c r="E1949" s="2">
        <v>-0.76169650078492224</v>
      </c>
      <c r="F1949" s="3">
        <v>21.46797953199761</v>
      </c>
      <c r="G1949" s="3">
        <v>2</v>
      </c>
      <c r="H1949" s="2">
        <v>1.083775875149019E-4</v>
      </c>
      <c r="I1949" s="4">
        <v>-0.30885837156766571</v>
      </c>
      <c r="J1949" s="4">
        <v>-0.45283812921725658</v>
      </c>
      <c r="K1949" s="5">
        <v>2</v>
      </c>
      <c r="L1949" s="5">
        <v>0</v>
      </c>
      <c r="M1949" s="5">
        <v>0</v>
      </c>
    </row>
    <row r="1950" spans="1:13" hidden="1" x14ac:dyDescent="0.25">
      <c r="A1950" t="s">
        <v>1961</v>
      </c>
      <c r="B1950" s="1">
        <v>1.6920476562779001E-2</v>
      </c>
      <c r="C1950" s="2">
        <v>4.821240822750487E-6</v>
      </c>
      <c r="D1950" s="2"/>
      <c r="E1950" s="2">
        <v>-0.28262948027890822</v>
      </c>
      <c r="F1950" s="3">
        <v>64.625553904818503</v>
      </c>
      <c r="G1950" s="3">
        <v>1</v>
      </c>
      <c r="H1950" s="2">
        <v>5.4188793757450959E-5</v>
      </c>
      <c r="I1950" s="4">
        <v>0</v>
      </c>
      <c r="J1950" s="4">
        <v>-0.28262948027890822</v>
      </c>
      <c r="K1950" s="5">
        <v>1</v>
      </c>
      <c r="L1950" s="5">
        <v>0</v>
      </c>
      <c r="M1950" s="5">
        <v>0</v>
      </c>
    </row>
    <row r="1951" spans="1:13" hidden="1" x14ac:dyDescent="0.25">
      <c r="A1951" t="s">
        <v>1962</v>
      </c>
      <c r="B1951" s="1">
        <v>1.686418758248286E-2</v>
      </c>
      <c r="C1951" s="2">
        <v>4.8052021060708568E-6</v>
      </c>
      <c r="D1951" s="2"/>
      <c r="E1951" s="2">
        <v>-0.3720958732561177</v>
      </c>
      <c r="F1951" s="3">
        <v>56.565820415538447</v>
      </c>
      <c r="G1951" s="3">
        <v>1</v>
      </c>
      <c r="H1951" s="2">
        <v>5.4188793757450959E-5</v>
      </c>
      <c r="I1951" s="4">
        <v>0</v>
      </c>
      <c r="J1951" s="4">
        <v>-0.3720958732561177</v>
      </c>
      <c r="K1951" s="5">
        <v>1</v>
      </c>
      <c r="L1951" s="5">
        <v>0</v>
      </c>
      <c r="M1951" s="5">
        <v>0</v>
      </c>
    </row>
    <row r="1952" spans="1:13" hidden="1" x14ac:dyDescent="0.25">
      <c r="A1952" t="s">
        <v>1963</v>
      </c>
      <c r="B1952" s="1">
        <v>1.6818297084994351E-2</v>
      </c>
      <c r="C1952" s="2">
        <v>4.7921262840603446E-6</v>
      </c>
      <c r="D1952" s="2"/>
      <c r="E1952" s="2">
        <v>-0.29961123725785072</v>
      </c>
      <c r="F1952" s="3">
        <v>63.095723195483167</v>
      </c>
      <c r="G1952" s="3">
        <v>1</v>
      </c>
      <c r="H1952" s="2">
        <v>5.4188793757450959E-5</v>
      </c>
      <c r="I1952" s="4">
        <v>0</v>
      </c>
      <c r="J1952" s="4">
        <v>-0.29961123725785072</v>
      </c>
      <c r="K1952" s="5">
        <v>1</v>
      </c>
      <c r="L1952" s="5">
        <v>0</v>
      </c>
      <c r="M1952" s="5">
        <v>0</v>
      </c>
    </row>
    <row r="1953" spans="1:13" hidden="1" x14ac:dyDescent="0.25">
      <c r="A1953" t="s">
        <v>1964</v>
      </c>
      <c r="B1953" s="1">
        <v>1.6817673012789851E-2</v>
      </c>
      <c r="C1953" s="2">
        <v>4.7919484638684891E-6</v>
      </c>
      <c r="D1953" s="2"/>
      <c r="E1953" s="2">
        <v>-0.21228420952249991</v>
      </c>
      <c r="F1953" s="3">
        <v>70.962728296909233</v>
      </c>
      <c r="G1953" s="3">
        <v>1</v>
      </c>
      <c r="H1953" s="2">
        <v>5.4188793757450959E-5</v>
      </c>
      <c r="I1953" s="4">
        <v>2.775557561562891E-17</v>
      </c>
      <c r="J1953" s="4">
        <v>-0.21228420952249999</v>
      </c>
      <c r="K1953" s="5">
        <v>1</v>
      </c>
      <c r="L1953" s="5">
        <v>0</v>
      </c>
      <c r="M1953" s="5">
        <v>0</v>
      </c>
    </row>
    <row r="1954" spans="1:13" hidden="1" x14ac:dyDescent="0.25">
      <c r="A1954" t="s">
        <v>1965</v>
      </c>
      <c r="B1954" s="1">
        <v>1.6814489152930549E-2</v>
      </c>
      <c r="C1954" s="2">
        <v>4.7910412698500103E-6</v>
      </c>
      <c r="D1954" s="2"/>
      <c r="E1954" s="2">
        <v>0.25551549959588221</v>
      </c>
      <c r="F1954" s="3">
        <v>113.1052675945128</v>
      </c>
      <c r="G1954" s="3">
        <v>1</v>
      </c>
      <c r="H1954" s="2">
        <v>5.4188793757450959E-5</v>
      </c>
      <c r="I1954" s="4">
        <v>0</v>
      </c>
      <c r="J1954" s="4">
        <v>0.25551549959588221</v>
      </c>
      <c r="K1954" s="5">
        <v>1</v>
      </c>
      <c r="L1954" s="5">
        <v>0</v>
      </c>
      <c r="M1954" s="5">
        <v>0</v>
      </c>
    </row>
    <row r="1955" spans="1:13" hidden="1" x14ac:dyDescent="0.25">
      <c r="A1955" t="s">
        <v>1966</v>
      </c>
      <c r="B1955" s="1">
        <v>1.681280155014404E-2</v>
      </c>
      <c r="C1955" s="2">
        <v>4.7905604122679719E-6</v>
      </c>
      <c r="D1955" s="2"/>
      <c r="E1955" s="2">
        <v>-0.78264655630029589</v>
      </c>
      <c r="F1955" s="3">
        <v>19.580657841465761</v>
      </c>
      <c r="G1955" s="3">
        <v>1</v>
      </c>
      <c r="H1955" s="2">
        <v>5.4188793757450959E-5</v>
      </c>
      <c r="I1955" s="4">
        <v>0</v>
      </c>
      <c r="J1955" s="4">
        <v>-0.78264655630029589</v>
      </c>
      <c r="K1955" s="5">
        <v>1</v>
      </c>
      <c r="L1955" s="5">
        <v>0</v>
      </c>
      <c r="M1955" s="5">
        <v>0</v>
      </c>
    </row>
    <row r="1956" spans="1:13" hidden="1" x14ac:dyDescent="0.25">
      <c r="A1956" t="s">
        <v>1967</v>
      </c>
      <c r="B1956" s="1">
        <v>1.678195633870453E-2</v>
      </c>
      <c r="C1956" s="2">
        <v>4.7817715231355209E-6</v>
      </c>
      <c r="D1956" s="2"/>
      <c r="E1956" s="2">
        <v>1.610218852053928</v>
      </c>
      <c r="F1956" s="3">
        <v>235.1460430690249</v>
      </c>
      <c r="G1956" s="3">
        <v>1</v>
      </c>
      <c r="H1956" s="2">
        <v>5.4188793757450959E-5</v>
      </c>
      <c r="I1956" s="4">
        <v>0</v>
      </c>
      <c r="J1956" s="4">
        <v>1.610218852053928</v>
      </c>
      <c r="K1956" s="5">
        <v>1</v>
      </c>
      <c r="L1956" s="5">
        <v>0</v>
      </c>
      <c r="M1956" s="5">
        <v>0</v>
      </c>
    </row>
    <row r="1957" spans="1:13" hidden="1" x14ac:dyDescent="0.25">
      <c r="A1957" t="s">
        <v>1968</v>
      </c>
      <c r="B1957" s="1">
        <v>1.6780840215403901E-2</v>
      </c>
      <c r="C1957" s="2">
        <v>4.7814535002240336E-6</v>
      </c>
      <c r="D1957" s="2"/>
      <c r="E1957" s="2">
        <v>0.24721143731432821</v>
      </c>
      <c r="F1957" s="3">
        <v>112.35718189841511</v>
      </c>
      <c r="G1957" s="3">
        <v>1</v>
      </c>
      <c r="H1957" s="2">
        <v>5.4188793757450959E-5</v>
      </c>
      <c r="I1957" s="4">
        <v>2.775557561562891E-17</v>
      </c>
      <c r="J1957" s="4">
        <v>0.2472114373143281</v>
      </c>
      <c r="K1957" s="5">
        <v>1</v>
      </c>
      <c r="L1957" s="5">
        <v>0</v>
      </c>
      <c r="M1957" s="5">
        <v>0</v>
      </c>
    </row>
    <row r="1958" spans="1:13" hidden="1" x14ac:dyDescent="0.25">
      <c r="A1958" t="s">
        <v>1969</v>
      </c>
      <c r="B1958" s="1">
        <v>1.675205109382865E-2</v>
      </c>
      <c r="C1958" s="2">
        <v>4.7732504636443762E-6</v>
      </c>
      <c r="D1958" s="2"/>
      <c r="E1958" s="2">
        <v>-0.15862120699937529</v>
      </c>
      <c r="F1958" s="3">
        <v>75.79705193708466</v>
      </c>
      <c r="G1958" s="3">
        <v>1</v>
      </c>
      <c r="H1958" s="2">
        <v>5.4188793757450959E-5</v>
      </c>
      <c r="I1958" s="4">
        <v>0</v>
      </c>
      <c r="J1958" s="4">
        <v>-0.15862120699937529</v>
      </c>
      <c r="K1958" s="5">
        <v>1</v>
      </c>
      <c r="L1958" s="5">
        <v>0</v>
      </c>
      <c r="M1958" s="5">
        <v>0</v>
      </c>
    </row>
    <row r="1959" spans="1:13" hidden="1" x14ac:dyDescent="0.25">
      <c r="A1959" t="s">
        <v>1970</v>
      </c>
      <c r="B1959" s="1">
        <v>1.673823692891269E-2</v>
      </c>
      <c r="C1959" s="2">
        <v>4.7693143206180288E-6</v>
      </c>
      <c r="D1959" s="2"/>
      <c r="E1959" s="2">
        <v>-0.34510810664561059</v>
      </c>
      <c r="F1959" s="3">
        <v>58.997059667656131</v>
      </c>
      <c r="G1959" s="3">
        <v>1</v>
      </c>
      <c r="H1959" s="2">
        <v>5.4188793757450959E-5</v>
      </c>
      <c r="I1959" s="4">
        <v>5.5511151231257827E-17</v>
      </c>
      <c r="J1959" s="4">
        <v>-0.3451081066456107</v>
      </c>
      <c r="K1959" s="5">
        <v>1</v>
      </c>
      <c r="L1959" s="5">
        <v>0</v>
      </c>
      <c r="M1959" s="5">
        <v>0</v>
      </c>
    </row>
    <row r="1960" spans="1:13" hidden="1" x14ac:dyDescent="0.25">
      <c r="A1960" t="s">
        <v>1971</v>
      </c>
      <c r="B1960" s="1">
        <v>1.67089001001214E-2</v>
      </c>
      <c r="C1960" s="2">
        <v>4.7609552229263163E-6</v>
      </c>
      <c r="D1960" s="2"/>
      <c r="E1960" s="2">
        <v>-0.61592311077023287</v>
      </c>
      <c r="F1960" s="3">
        <v>34.600225443002053</v>
      </c>
      <c r="G1960" s="3">
        <v>1</v>
      </c>
      <c r="H1960" s="2">
        <v>5.4188793757450959E-5</v>
      </c>
      <c r="I1960" s="4">
        <v>0</v>
      </c>
      <c r="J1960" s="4">
        <v>-0.61592311077023287</v>
      </c>
      <c r="K1960" s="5">
        <v>1</v>
      </c>
      <c r="L1960" s="5">
        <v>0</v>
      </c>
      <c r="M1960" s="5">
        <v>0</v>
      </c>
    </row>
    <row r="1961" spans="1:13" hidden="1" x14ac:dyDescent="0.25">
      <c r="A1961" t="s">
        <v>1972</v>
      </c>
      <c r="B1961" s="1">
        <v>1.667877786279583E-2</v>
      </c>
      <c r="C1961" s="2">
        <v>4.752372334629538E-6</v>
      </c>
      <c r="D1961" s="2"/>
      <c r="E1961" s="2">
        <v>5.076993133390495E-2</v>
      </c>
      <c r="F1961" s="3">
        <v>94.660411840429816</v>
      </c>
      <c r="G1961" s="3">
        <v>1</v>
      </c>
      <c r="H1961" s="2">
        <v>5.4188793757450959E-5</v>
      </c>
      <c r="I1961" s="4">
        <v>-2.775557561562891E-17</v>
      </c>
      <c r="J1961" s="4">
        <v>5.0769931333904977E-2</v>
      </c>
      <c r="K1961" s="5">
        <v>1</v>
      </c>
      <c r="L1961" s="5">
        <v>0</v>
      </c>
      <c r="M1961" s="5">
        <v>0</v>
      </c>
    </row>
    <row r="1962" spans="1:13" hidden="1" x14ac:dyDescent="0.25">
      <c r="A1962" t="s">
        <v>1973</v>
      </c>
      <c r="B1962" s="1">
        <v>1.6630104855498571E-2</v>
      </c>
      <c r="C1962" s="2">
        <v>4.738503677391846E-6</v>
      </c>
      <c r="D1962" s="2"/>
      <c r="E1962" s="2" t="s">
        <v>303</v>
      </c>
      <c r="F1962" s="3" t="s">
        <v>303</v>
      </c>
      <c r="G1962" s="3">
        <v>1</v>
      </c>
      <c r="H1962" s="2">
        <v>5.4188793757450959E-5</v>
      </c>
      <c r="I1962" s="4" t="s">
        <v>303</v>
      </c>
      <c r="J1962" s="4">
        <v>0</v>
      </c>
      <c r="K1962" s="5">
        <v>1</v>
      </c>
      <c r="L1962" s="5">
        <v>0</v>
      </c>
      <c r="M1962" s="5">
        <v>0</v>
      </c>
    </row>
    <row r="1963" spans="1:13" hidden="1" x14ac:dyDescent="0.25">
      <c r="A1963" t="s">
        <v>1974</v>
      </c>
      <c r="B1963" s="1">
        <v>1.6628554301431071E-2</v>
      </c>
      <c r="C1963" s="2">
        <v>4.7380618698257064E-6</v>
      </c>
      <c r="D1963" s="2"/>
      <c r="E1963" s="2">
        <v>1.8856665013978939</v>
      </c>
      <c r="F1963" s="3">
        <v>259.96021708548</v>
      </c>
      <c r="G1963" s="3">
        <v>1</v>
      </c>
      <c r="H1963" s="2">
        <v>5.4188793757450959E-5</v>
      </c>
      <c r="I1963" s="4">
        <v>0</v>
      </c>
      <c r="J1963" s="4">
        <v>1.8856665013978939</v>
      </c>
      <c r="K1963" s="5">
        <v>1</v>
      </c>
      <c r="L1963" s="5">
        <v>0</v>
      </c>
      <c r="M1963" s="5">
        <v>0</v>
      </c>
    </row>
    <row r="1964" spans="1:13" hidden="1" x14ac:dyDescent="0.25">
      <c r="A1964" t="s">
        <v>1975</v>
      </c>
      <c r="B1964" s="1">
        <v>1.6586600398443709E-2</v>
      </c>
      <c r="C1964" s="2">
        <v>4.726107722493867E-6</v>
      </c>
      <c r="D1964" s="2"/>
      <c r="E1964" s="2">
        <v>-0.55244531640777694</v>
      </c>
      <c r="F1964" s="3">
        <v>40.318731443115922</v>
      </c>
      <c r="G1964" s="3">
        <v>2</v>
      </c>
      <c r="H1964" s="2">
        <v>1.083775875149019E-4</v>
      </c>
      <c r="I1964" s="4">
        <v>2.2204460492503131E-16</v>
      </c>
      <c r="J1964" s="4">
        <v>-0.55244531640777716</v>
      </c>
      <c r="K1964" s="5">
        <v>2</v>
      </c>
      <c r="L1964" s="5">
        <v>0</v>
      </c>
      <c r="M1964" s="5">
        <v>0</v>
      </c>
    </row>
    <row r="1965" spans="1:13" hidden="1" x14ac:dyDescent="0.25">
      <c r="A1965" t="s">
        <v>1976</v>
      </c>
      <c r="B1965" s="1">
        <v>1.6556578721632239E-2</v>
      </c>
      <c r="C1965" s="2">
        <v>4.7175534874358966E-6</v>
      </c>
      <c r="D1965" s="2"/>
      <c r="E1965" s="2">
        <v>0.34897130284467059</v>
      </c>
      <c r="F1965" s="3">
        <v>121.524393951867</v>
      </c>
      <c r="G1965" s="3">
        <v>1</v>
      </c>
      <c r="H1965" s="2">
        <v>5.4188793757450959E-5</v>
      </c>
      <c r="I1965" s="4">
        <v>0</v>
      </c>
      <c r="J1965" s="4">
        <v>0.34897130284467059</v>
      </c>
      <c r="K1965" s="5">
        <v>1</v>
      </c>
      <c r="L1965" s="5">
        <v>0</v>
      </c>
      <c r="M1965" s="5">
        <v>0</v>
      </c>
    </row>
    <row r="1966" spans="1:13" hidden="1" x14ac:dyDescent="0.25">
      <c r="A1966" t="s">
        <v>1977</v>
      </c>
      <c r="B1966" s="1">
        <v>1.6516068298115531E-2</v>
      </c>
      <c r="C1966" s="2">
        <v>4.7060106383393614E-6</v>
      </c>
      <c r="D1966" s="2"/>
      <c r="E1966" s="2">
        <v>-0.52981598217830195</v>
      </c>
      <c r="F1966" s="3">
        <v>42.35733383737891</v>
      </c>
      <c r="G1966" s="3">
        <v>2</v>
      </c>
      <c r="H1966" s="2">
        <v>1.083775875149019E-4</v>
      </c>
      <c r="I1966" s="4">
        <v>0</v>
      </c>
      <c r="J1966" s="4">
        <v>-0.52981598217830195</v>
      </c>
      <c r="K1966" s="5">
        <v>2</v>
      </c>
      <c r="L1966" s="5">
        <v>0</v>
      </c>
      <c r="M1966" s="5">
        <v>0</v>
      </c>
    </row>
    <row r="1967" spans="1:13" hidden="1" x14ac:dyDescent="0.25">
      <c r="A1967" t="s">
        <v>1978</v>
      </c>
      <c r="B1967" s="1">
        <v>1.6496556867413279E-2</v>
      </c>
      <c r="C1967" s="2">
        <v>4.7004511432587716E-6</v>
      </c>
      <c r="D1967" s="2"/>
      <c r="E1967" s="2">
        <v>0.1070916068869894</v>
      </c>
      <c r="F1967" s="3">
        <v>99.734246601413119</v>
      </c>
      <c r="G1967" s="3">
        <v>1</v>
      </c>
      <c r="H1967" s="2">
        <v>5.4188793757450959E-5</v>
      </c>
      <c r="I1967" s="4">
        <v>5.5511151231257827E-17</v>
      </c>
      <c r="J1967" s="4">
        <v>0.10709160688698929</v>
      </c>
      <c r="K1967" s="5">
        <v>1</v>
      </c>
      <c r="L1967" s="5">
        <v>0</v>
      </c>
      <c r="M1967" s="5">
        <v>0</v>
      </c>
    </row>
    <row r="1968" spans="1:13" hidden="1" x14ac:dyDescent="0.25">
      <c r="A1968" t="s">
        <v>1979</v>
      </c>
      <c r="B1968" s="1">
        <v>1.645278126385865E-2</v>
      </c>
      <c r="C1968" s="2">
        <v>4.6879779291554303E-6</v>
      </c>
      <c r="D1968" s="2"/>
      <c r="E1968" s="2">
        <v>-0.64516405877669214</v>
      </c>
      <c r="F1968" s="3">
        <v>31.96600447953935</v>
      </c>
      <c r="G1968" s="3">
        <v>1</v>
      </c>
      <c r="H1968" s="2">
        <v>5.4188793757450959E-5</v>
      </c>
      <c r="I1968" s="4">
        <v>0</v>
      </c>
      <c r="J1968" s="4">
        <v>-0.64516405877669214</v>
      </c>
      <c r="K1968" s="5">
        <v>1</v>
      </c>
      <c r="L1968" s="5">
        <v>0</v>
      </c>
      <c r="M1968" s="5">
        <v>0</v>
      </c>
    </row>
    <row r="1969" spans="1:13" hidden="1" x14ac:dyDescent="0.25">
      <c r="A1969" t="s">
        <v>1980</v>
      </c>
      <c r="B1969" s="1">
        <v>1.644782869888764E-2</v>
      </c>
      <c r="C1969" s="2">
        <v>4.6865667686407159E-6</v>
      </c>
      <c r="D1969" s="2"/>
      <c r="E1969" s="2">
        <v>-0.65158578788432076</v>
      </c>
      <c r="F1969" s="3">
        <v>31.387491996522151</v>
      </c>
      <c r="G1969" s="3">
        <v>1</v>
      </c>
      <c r="H1969" s="2">
        <v>5.4188793757450959E-5</v>
      </c>
      <c r="I1969" s="4">
        <v>-1.110223024625157E-16</v>
      </c>
      <c r="J1969" s="4">
        <v>-0.65158578788432064</v>
      </c>
      <c r="K1969" s="5">
        <v>1</v>
      </c>
      <c r="L1969" s="5">
        <v>0</v>
      </c>
      <c r="M1969" s="5">
        <v>0</v>
      </c>
    </row>
    <row r="1970" spans="1:13" hidden="1" x14ac:dyDescent="0.25">
      <c r="A1970" t="s">
        <v>1981</v>
      </c>
      <c r="B1970" s="1">
        <v>1.6409714067555481E-2</v>
      </c>
      <c r="C1970" s="2">
        <v>4.6757065652746394E-6</v>
      </c>
      <c r="D1970" s="2"/>
      <c r="E1970" s="2">
        <v>-0.26272074649979432</v>
      </c>
      <c r="F1970" s="3">
        <v>66.419066340371387</v>
      </c>
      <c r="G1970" s="3">
        <v>1</v>
      </c>
      <c r="H1970" s="2">
        <v>5.4188793757450959E-5</v>
      </c>
      <c r="I1970" s="4">
        <v>-5.5511151231257827E-17</v>
      </c>
      <c r="J1970" s="4">
        <v>-0.26272074649979421</v>
      </c>
      <c r="K1970" s="5">
        <v>1</v>
      </c>
      <c r="L1970" s="5">
        <v>0</v>
      </c>
      <c r="M1970" s="5">
        <v>0</v>
      </c>
    </row>
    <row r="1971" spans="1:13" hidden="1" x14ac:dyDescent="0.25">
      <c r="A1971" t="s">
        <v>1982</v>
      </c>
      <c r="B1971" s="1">
        <v>1.6393166887522619E-2</v>
      </c>
      <c r="C1971" s="2">
        <v>4.6709916898052739E-6</v>
      </c>
      <c r="D1971" s="2"/>
      <c r="E1971" s="2">
        <v>-0.45614481852524541</v>
      </c>
      <c r="F1971" s="3">
        <v>48.99412699657141</v>
      </c>
      <c r="G1971" s="3">
        <v>1</v>
      </c>
      <c r="H1971" s="2">
        <v>5.4188793757450959E-5</v>
      </c>
      <c r="I1971" s="4">
        <v>0</v>
      </c>
      <c r="J1971" s="4">
        <v>-0.45614481852524541</v>
      </c>
      <c r="K1971" s="5">
        <v>1</v>
      </c>
      <c r="L1971" s="5">
        <v>0</v>
      </c>
      <c r="M1971" s="5">
        <v>0</v>
      </c>
    </row>
    <row r="1972" spans="1:13" hidden="1" x14ac:dyDescent="0.25">
      <c r="A1972" t="s">
        <v>1983</v>
      </c>
      <c r="B1972" s="1">
        <v>1.6363206739351582E-2</v>
      </c>
      <c r="C1972" s="2">
        <v>4.6624549864280411E-6</v>
      </c>
      <c r="D1972" s="2"/>
      <c r="E1972" s="2">
        <v>-0.51192203166399819</v>
      </c>
      <c r="F1972" s="3">
        <v>43.969341066198261</v>
      </c>
      <c r="G1972" s="3">
        <v>1</v>
      </c>
      <c r="H1972" s="2">
        <v>5.4188793757450959E-5</v>
      </c>
      <c r="I1972" s="4">
        <v>-2.2204460492503131E-16</v>
      </c>
      <c r="J1972" s="4">
        <v>-0.51192203166399797</v>
      </c>
      <c r="K1972" s="5">
        <v>1</v>
      </c>
      <c r="L1972" s="5">
        <v>0</v>
      </c>
      <c r="M1972" s="5">
        <v>0</v>
      </c>
    </row>
    <row r="1973" spans="1:13" hidden="1" x14ac:dyDescent="0.25">
      <c r="A1973" t="s">
        <v>1984</v>
      </c>
      <c r="B1973" s="1">
        <v>1.6357432716931661E-2</v>
      </c>
      <c r="C1973" s="2">
        <v>4.6608097637004703E-6</v>
      </c>
      <c r="D1973" s="2"/>
      <c r="E1973" s="2">
        <v>-0.50902090475491701</v>
      </c>
      <c r="F1973" s="3">
        <v>44.230694060631933</v>
      </c>
      <c r="G1973" s="3">
        <v>2</v>
      </c>
      <c r="H1973" s="2">
        <v>1.083775875149019E-4</v>
      </c>
      <c r="I1973" s="4">
        <v>-0.31540989219250759</v>
      </c>
      <c r="J1973" s="4">
        <v>-0.1936110125624094</v>
      </c>
      <c r="K1973" s="5">
        <v>2</v>
      </c>
      <c r="L1973" s="5">
        <v>0</v>
      </c>
      <c r="M1973" s="5">
        <v>0</v>
      </c>
    </row>
    <row r="1974" spans="1:13" hidden="1" x14ac:dyDescent="0.25">
      <c r="A1974" t="s">
        <v>1985</v>
      </c>
      <c r="B1974" s="1">
        <v>1.6347410130285629E-2</v>
      </c>
      <c r="C1974" s="2">
        <v>4.6579539751115328E-6</v>
      </c>
      <c r="D1974" s="2"/>
      <c r="E1974" s="2">
        <v>0.61708370466723061</v>
      </c>
      <c r="F1974" s="3">
        <v>145.67775961187601</v>
      </c>
      <c r="G1974" s="3">
        <v>1</v>
      </c>
      <c r="H1974" s="2">
        <v>5.4188793757450959E-5</v>
      </c>
      <c r="I1974" s="4">
        <v>1.110223024625157E-16</v>
      </c>
      <c r="J1974" s="4">
        <v>0.6170837046672305</v>
      </c>
      <c r="K1974" s="5">
        <v>1</v>
      </c>
      <c r="L1974" s="5">
        <v>0</v>
      </c>
      <c r="M1974" s="5">
        <v>0</v>
      </c>
    </row>
    <row r="1975" spans="1:13" hidden="1" x14ac:dyDescent="0.25">
      <c r="A1975" t="s">
        <v>1986</v>
      </c>
      <c r="B1975" s="1">
        <v>1.6325988098022621E-2</v>
      </c>
      <c r="C1975" s="2">
        <v>4.6518500822294683E-6</v>
      </c>
      <c r="D1975" s="2"/>
      <c r="E1975" s="2">
        <v>-0.6502134891436151</v>
      </c>
      <c r="F1975" s="3">
        <v>31.511117882731519</v>
      </c>
      <c r="G1975" s="3">
        <v>1</v>
      </c>
      <c r="H1975" s="2">
        <v>5.4188793757450959E-5</v>
      </c>
      <c r="I1975" s="4">
        <v>0</v>
      </c>
      <c r="J1975" s="4">
        <v>-0.6502134891436151</v>
      </c>
      <c r="K1975" s="5">
        <v>1</v>
      </c>
      <c r="L1975" s="5">
        <v>0</v>
      </c>
      <c r="M1975" s="5">
        <v>0</v>
      </c>
    </row>
    <row r="1976" spans="1:13" hidden="1" x14ac:dyDescent="0.25">
      <c r="A1976" t="s">
        <v>1987</v>
      </c>
      <c r="B1976" s="1">
        <v>1.6312497402778431E-2</v>
      </c>
      <c r="C1976" s="2">
        <v>4.6480061071264464E-6</v>
      </c>
      <c r="D1976" s="2"/>
      <c r="E1976" s="2">
        <v>1.642456070001241E-2</v>
      </c>
      <c r="F1976" s="3">
        <v>91.566350208032972</v>
      </c>
      <c r="G1976" s="3">
        <v>1</v>
      </c>
      <c r="H1976" s="2">
        <v>5.4188793757450959E-5</v>
      </c>
      <c r="I1976" s="4">
        <v>6.591949208711867E-17</v>
      </c>
      <c r="J1976" s="4">
        <v>1.6424560700012351E-2</v>
      </c>
      <c r="K1976" s="5">
        <v>1</v>
      </c>
      <c r="L1976" s="5">
        <v>0</v>
      </c>
      <c r="M1976" s="5">
        <v>0</v>
      </c>
    </row>
    <row r="1977" spans="1:13" hidden="1" x14ac:dyDescent="0.25">
      <c r="A1977" t="s">
        <v>1988</v>
      </c>
      <c r="B1977" s="1">
        <v>1.6215506828919989E-2</v>
      </c>
      <c r="C1977" s="2">
        <v>4.6203700702587278E-6</v>
      </c>
      <c r="D1977" s="2"/>
      <c r="E1977" s="2">
        <v>1.712777165266085</v>
      </c>
      <c r="F1977" s="3">
        <v>244.38518465161511</v>
      </c>
      <c r="G1977" s="3">
        <v>1</v>
      </c>
      <c r="H1977" s="2">
        <v>5.4188793757450959E-5</v>
      </c>
      <c r="I1977" s="4">
        <v>0</v>
      </c>
      <c r="J1977" s="4">
        <v>1.712777165266085</v>
      </c>
      <c r="K1977" s="5">
        <v>1</v>
      </c>
      <c r="L1977" s="5">
        <v>0</v>
      </c>
      <c r="M1977" s="5">
        <v>0</v>
      </c>
    </row>
    <row r="1978" spans="1:13" hidden="1" x14ac:dyDescent="0.25">
      <c r="A1978" t="s">
        <v>1989</v>
      </c>
      <c r="B1978" s="1">
        <v>1.6213383562108281E-2</v>
      </c>
      <c r="C1978" s="2">
        <v>4.6197650766232216E-6</v>
      </c>
      <c r="D1978" s="2"/>
      <c r="E1978" s="2">
        <v>-0.63670922080993164</v>
      </c>
      <c r="F1978" s="3">
        <v>32.727673061891778</v>
      </c>
      <c r="G1978" s="3">
        <v>1</v>
      </c>
      <c r="H1978" s="2">
        <v>5.4188793757450959E-5</v>
      </c>
      <c r="I1978" s="4">
        <v>0</v>
      </c>
      <c r="J1978" s="4">
        <v>-0.63670922080993164</v>
      </c>
      <c r="K1978" s="5">
        <v>1</v>
      </c>
      <c r="L1978" s="5">
        <v>0</v>
      </c>
      <c r="M1978" s="5">
        <v>0</v>
      </c>
    </row>
    <row r="1979" spans="1:13" hidden="1" x14ac:dyDescent="0.25">
      <c r="A1979" t="s">
        <v>1990</v>
      </c>
      <c r="B1979" s="1">
        <v>1.6209878481905061E-2</v>
      </c>
      <c r="C1979" s="2">
        <v>4.6187663555942916E-6</v>
      </c>
      <c r="D1979" s="2"/>
      <c r="E1979" s="2">
        <v>0.65307296501411649</v>
      </c>
      <c r="F1979" s="3">
        <v>148.91991386912991</v>
      </c>
      <c r="G1979" s="3">
        <v>1</v>
      </c>
      <c r="H1979" s="2">
        <v>5.4188793757450959E-5</v>
      </c>
      <c r="I1979" s="4">
        <v>-2.2204460492503131E-16</v>
      </c>
      <c r="J1979" s="4">
        <v>0.65307296501411671</v>
      </c>
      <c r="K1979" s="5">
        <v>1</v>
      </c>
      <c r="L1979" s="5">
        <v>0</v>
      </c>
      <c r="M1979" s="5">
        <v>0</v>
      </c>
    </row>
    <row r="1980" spans="1:13" hidden="1" x14ac:dyDescent="0.25">
      <c r="A1980" t="s">
        <v>1991</v>
      </c>
      <c r="B1980" s="1">
        <v>1.6201256788094021E-2</v>
      </c>
      <c r="C1980" s="2">
        <v>4.6163097308054569E-6</v>
      </c>
      <c r="D1980" s="2"/>
      <c r="E1980" s="2">
        <v>1.0402305159637779</v>
      </c>
      <c r="F1980" s="3">
        <v>183.79766600798641</v>
      </c>
      <c r="G1980" s="3">
        <v>1</v>
      </c>
      <c r="H1980" s="2">
        <v>5.4188793757450959E-5</v>
      </c>
      <c r="I1980" s="4">
        <v>-2.2204460492503131E-16</v>
      </c>
      <c r="J1980" s="4">
        <v>1.0402305159637779</v>
      </c>
      <c r="K1980" s="5">
        <v>1</v>
      </c>
      <c r="L1980" s="5">
        <v>0</v>
      </c>
      <c r="M1980" s="5">
        <v>0</v>
      </c>
    </row>
    <row r="1981" spans="1:13" hidden="1" x14ac:dyDescent="0.25">
      <c r="A1981" t="s">
        <v>1992</v>
      </c>
      <c r="B1981" s="1">
        <v>1.6185196264274289E-2</v>
      </c>
      <c r="C1981" s="2">
        <v>4.6117335208631908E-6</v>
      </c>
      <c r="D1981" s="2"/>
      <c r="E1981" s="2">
        <v>0.16148986377454211</v>
      </c>
      <c r="F1981" s="3">
        <v>104.6348068923232</v>
      </c>
      <c r="G1981" s="3">
        <v>2</v>
      </c>
      <c r="H1981" s="2">
        <v>1.083775875149019E-4</v>
      </c>
      <c r="I1981" s="4">
        <v>-5.5511151231257827E-17</v>
      </c>
      <c r="J1981" s="4">
        <v>0.16148986377454219</v>
      </c>
      <c r="K1981" s="5">
        <v>2</v>
      </c>
      <c r="L1981" s="5">
        <v>0</v>
      </c>
      <c r="M1981" s="5">
        <v>0</v>
      </c>
    </row>
    <row r="1982" spans="1:13" hidden="1" x14ac:dyDescent="0.25">
      <c r="A1982" t="s">
        <v>1993</v>
      </c>
      <c r="B1982" s="1">
        <v>1.6169093964962869E-2</v>
      </c>
      <c r="C1982" s="2">
        <v>4.6071454076092703E-6</v>
      </c>
      <c r="D1982" s="2"/>
      <c r="E1982" s="2" t="s">
        <v>303</v>
      </c>
      <c r="F1982" s="3" t="s">
        <v>303</v>
      </c>
      <c r="G1982" s="3">
        <v>1</v>
      </c>
      <c r="H1982" s="2">
        <v>5.4188793757450959E-5</v>
      </c>
      <c r="I1982" s="4" t="s">
        <v>303</v>
      </c>
      <c r="J1982" s="4">
        <v>0</v>
      </c>
      <c r="K1982" s="5">
        <v>1</v>
      </c>
      <c r="L1982" s="5">
        <v>0</v>
      </c>
      <c r="M1982" s="5">
        <v>0</v>
      </c>
    </row>
    <row r="1983" spans="1:13" hidden="1" x14ac:dyDescent="0.25">
      <c r="A1983" t="s">
        <v>1994</v>
      </c>
      <c r="B1983" s="1">
        <v>1.610221396757754E-2</v>
      </c>
      <c r="C1983" s="2">
        <v>4.5880889364500039E-6</v>
      </c>
      <c r="D1983" s="2"/>
      <c r="E1983" s="2">
        <v>-0.38571508847346858</v>
      </c>
      <c r="F1983" s="3">
        <v>55.338910049173762</v>
      </c>
      <c r="G1983" s="3">
        <v>2</v>
      </c>
      <c r="H1983" s="2">
        <v>1.083775875149019E-4</v>
      </c>
      <c r="I1983" s="4">
        <v>-1.6653345369377351E-16</v>
      </c>
      <c r="J1983" s="4">
        <v>-0.38571508847346841</v>
      </c>
      <c r="K1983" s="5">
        <v>2</v>
      </c>
      <c r="L1983" s="5">
        <v>0</v>
      </c>
      <c r="M1983" s="5">
        <v>1</v>
      </c>
    </row>
    <row r="1984" spans="1:13" hidden="1" x14ac:dyDescent="0.25">
      <c r="A1984" t="s">
        <v>1995</v>
      </c>
      <c r="B1984" s="1">
        <v>1.601004528905502E-2</v>
      </c>
      <c r="C1984" s="2">
        <v>4.5618268277072023E-6</v>
      </c>
      <c r="D1984" s="2"/>
      <c r="E1984" s="2">
        <v>-0.35878222151826911</v>
      </c>
      <c r="F1984" s="3">
        <v>57.765203571663733</v>
      </c>
      <c r="G1984" s="3">
        <v>2</v>
      </c>
      <c r="H1984" s="2">
        <v>1.083775875149019E-4</v>
      </c>
      <c r="I1984" s="4">
        <v>0</v>
      </c>
      <c r="J1984" s="4">
        <v>-0.35878222151826911</v>
      </c>
      <c r="K1984" s="5">
        <v>2</v>
      </c>
      <c r="L1984" s="5">
        <v>0</v>
      </c>
      <c r="M1984" s="5">
        <v>0</v>
      </c>
    </row>
    <row r="1985" spans="1:13" hidden="1" x14ac:dyDescent="0.25">
      <c r="A1985" t="s">
        <v>1996</v>
      </c>
      <c r="B1985" s="1">
        <v>1.6006515200205251E-2</v>
      </c>
      <c r="C1985" s="2">
        <v>4.5608209808324224E-6</v>
      </c>
      <c r="D1985" s="2"/>
      <c r="E1985" s="2">
        <v>-0.72009728233789416</v>
      </c>
      <c r="F1985" s="3">
        <v>25.215516488481331</v>
      </c>
      <c r="G1985" s="3">
        <v>1</v>
      </c>
      <c r="H1985" s="2">
        <v>5.4188793757450959E-5</v>
      </c>
      <c r="I1985" s="4">
        <v>0</v>
      </c>
      <c r="J1985" s="4">
        <v>-0.72009728233789416</v>
      </c>
      <c r="K1985" s="5">
        <v>1</v>
      </c>
      <c r="L1985" s="5">
        <v>1</v>
      </c>
      <c r="M1985" s="5">
        <v>1</v>
      </c>
    </row>
    <row r="1986" spans="1:13" hidden="1" x14ac:dyDescent="0.25">
      <c r="A1986" t="s">
        <v>1997</v>
      </c>
      <c r="B1986" s="1">
        <v>1.5983834720432469E-2</v>
      </c>
      <c r="C1986" s="2">
        <v>4.5543585118496849E-6</v>
      </c>
      <c r="D1986" s="2"/>
      <c r="E1986" s="2">
        <v>-0.11413180409205451</v>
      </c>
      <c r="F1986" s="3">
        <v>79.804956118731383</v>
      </c>
      <c r="G1986" s="3">
        <v>1</v>
      </c>
      <c r="H1986" s="2">
        <v>5.4188793757450959E-5</v>
      </c>
      <c r="I1986" s="4">
        <v>-2.775557561562891E-17</v>
      </c>
      <c r="J1986" s="4">
        <v>-0.11413180409205451</v>
      </c>
      <c r="K1986" s="5">
        <v>1</v>
      </c>
      <c r="L1986" s="5">
        <v>0</v>
      </c>
      <c r="M1986" s="5">
        <v>0</v>
      </c>
    </row>
    <row r="1987" spans="1:13" hidden="1" x14ac:dyDescent="0.25">
      <c r="A1987" t="s">
        <v>1998</v>
      </c>
      <c r="B1987" s="1">
        <v>1.5975591546200419E-2</v>
      </c>
      <c r="C1987" s="2">
        <v>4.5520097406452146E-6</v>
      </c>
      <c r="D1987" s="2"/>
      <c r="E1987" s="2">
        <v>-0.63027643751563533</v>
      </c>
      <c r="F1987" s="3">
        <v>33.307181380278202</v>
      </c>
      <c r="G1987" s="3">
        <v>1</v>
      </c>
      <c r="H1987" s="2">
        <v>5.4188793757450959E-5</v>
      </c>
      <c r="I1987" s="4">
        <v>0</v>
      </c>
      <c r="J1987" s="4">
        <v>-0.63027643751563533</v>
      </c>
      <c r="K1987" s="5">
        <v>1</v>
      </c>
      <c r="L1987" s="5">
        <v>0</v>
      </c>
      <c r="M1987" s="5">
        <v>0</v>
      </c>
    </row>
    <row r="1988" spans="1:13" hidden="1" x14ac:dyDescent="0.25">
      <c r="A1988" t="s">
        <v>1999</v>
      </c>
      <c r="B1988" s="1">
        <v>1.594568190317772E-2</v>
      </c>
      <c r="C1988" s="2">
        <v>4.54348742796685E-6</v>
      </c>
      <c r="D1988" s="2"/>
      <c r="E1988" s="2">
        <v>0.72007573369410149</v>
      </c>
      <c r="F1988" s="3">
        <v>154.95597322766611</v>
      </c>
      <c r="G1988" s="3">
        <v>2</v>
      </c>
      <c r="H1988" s="2">
        <v>1.083775875149019E-4</v>
      </c>
      <c r="I1988" s="4">
        <v>1.099325261111922</v>
      </c>
      <c r="J1988" s="4">
        <v>-0.37924952741782031</v>
      </c>
      <c r="K1988" s="5">
        <v>1</v>
      </c>
      <c r="L1988" s="5">
        <v>0</v>
      </c>
      <c r="M1988" s="5">
        <v>1</v>
      </c>
    </row>
    <row r="1989" spans="1:13" hidden="1" x14ac:dyDescent="0.25">
      <c r="A1989" t="s">
        <v>2000</v>
      </c>
      <c r="B1989" s="1">
        <v>1.5875327115011769E-2</v>
      </c>
      <c r="C1989" s="2">
        <v>4.5234408663039353E-6</v>
      </c>
      <c r="D1989" s="2"/>
      <c r="E1989" s="2">
        <v>-0.10900097227189499</v>
      </c>
      <c r="F1989" s="3">
        <v>80.267175905096721</v>
      </c>
      <c r="G1989" s="3">
        <v>2</v>
      </c>
      <c r="H1989" s="2">
        <v>1.083775875149019E-4</v>
      </c>
      <c r="I1989" s="4">
        <v>-4.163336342344337E-17</v>
      </c>
      <c r="J1989" s="4">
        <v>-0.1090009722718949</v>
      </c>
      <c r="K1989" s="5">
        <v>1</v>
      </c>
      <c r="L1989" s="5">
        <v>0</v>
      </c>
      <c r="M1989" s="5">
        <v>0</v>
      </c>
    </row>
    <row r="1990" spans="1:13" hidden="1" x14ac:dyDescent="0.25">
      <c r="A1990" t="s">
        <v>2001</v>
      </c>
      <c r="B1990" s="1">
        <v>1.5853410789302639E-2</v>
      </c>
      <c r="C1990" s="2">
        <v>4.5171961317776061E-6</v>
      </c>
      <c r="D1990" s="2"/>
      <c r="E1990" s="2">
        <v>-0.49521361017678678</v>
      </c>
      <c r="F1990" s="3">
        <v>45.474547878859063</v>
      </c>
      <c r="G1990" s="3">
        <v>1</v>
      </c>
      <c r="H1990" s="2">
        <v>5.4188793757450959E-5</v>
      </c>
      <c r="I1990" s="4">
        <v>5.5511151231257827E-17</v>
      </c>
      <c r="J1990" s="4">
        <v>-0.49521361017678678</v>
      </c>
      <c r="K1990" s="5">
        <v>1</v>
      </c>
      <c r="L1990" s="5">
        <v>0</v>
      </c>
      <c r="M1990" s="5">
        <v>0</v>
      </c>
    </row>
    <row r="1991" spans="1:13" hidden="1" x14ac:dyDescent="0.25">
      <c r="A1991" t="s">
        <v>2002</v>
      </c>
      <c r="B1991" s="1">
        <v>1.585215553369981E-2</v>
      </c>
      <c r="C1991" s="2">
        <v>4.5168384651638498E-6</v>
      </c>
      <c r="D1991" s="2"/>
      <c r="E1991" s="2">
        <v>1.1880869131470819</v>
      </c>
      <c r="F1991" s="3">
        <v>197.1175631931354</v>
      </c>
      <c r="G1991" s="3">
        <v>1</v>
      </c>
      <c r="H1991" s="2">
        <v>5.4188793757450959E-5</v>
      </c>
      <c r="I1991" s="4">
        <v>-2.2204460492503131E-16</v>
      </c>
      <c r="J1991" s="4">
        <v>1.1880869131470819</v>
      </c>
      <c r="K1991" s="5">
        <v>1</v>
      </c>
      <c r="L1991" s="5">
        <v>0</v>
      </c>
      <c r="M1991" s="5">
        <v>1</v>
      </c>
    </row>
    <row r="1992" spans="1:13" hidden="1" x14ac:dyDescent="0.25">
      <c r="A1992" t="s">
        <v>2003</v>
      </c>
      <c r="B1992" s="1">
        <v>1.582160918258892E-2</v>
      </c>
      <c r="C1992" s="2">
        <v>4.5081347318844997E-6</v>
      </c>
      <c r="D1992" s="2"/>
      <c r="E1992" s="2">
        <v>-0.1088602992172759</v>
      </c>
      <c r="F1992" s="3">
        <v>80.279848678544084</v>
      </c>
      <c r="G1992" s="3">
        <v>1</v>
      </c>
      <c r="H1992" s="2">
        <v>5.4188793757450959E-5</v>
      </c>
      <c r="I1992" s="4">
        <v>-2.775557561562891E-17</v>
      </c>
      <c r="J1992" s="4">
        <v>-0.1088602992172759</v>
      </c>
      <c r="K1992" s="5">
        <v>1</v>
      </c>
      <c r="L1992" s="5">
        <v>0</v>
      </c>
      <c r="M1992" s="5">
        <v>0</v>
      </c>
    </row>
    <row r="1993" spans="1:13" hidden="1" x14ac:dyDescent="0.25">
      <c r="A1993" t="s">
        <v>2004</v>
      </c>
      <c r="B1993" s="1">
        <v>1.56839885781461E-2</v>
      </c>
      <c r="C1993" s="2">
        <v>4.4689217656462529E-6</v>
      </c>
      <c r="D1993" s="2"/>
      <c r="E1993" s="2">
        <v>-0.36953297665985663</v>
      </c>
      <c r="F1993" s="3">
        <v>56.796703352013942</v>
      </c>
      <c r="G1993" s="3">
        <v>1</v>
      </c>
      <c r="H1993" s="2">
        <v>5.4188793757450959E-5</v>
      </c>
      <c r="I1993" s="4">
        <v>0</v>
      </c>
      <c r="J1993" s="4">
        <v>-0.36953297665985663</v>
      </c>
      <c r="K1993" s="5">
        <v>1</v>
      </c>
      <c r="L1993" s="5">
        <v>0</v>
      </c>
      <c r="M1993" s="5">
        <v>0</v>
      </c>
    </row>
    <row r="1994" spans="1:13" hidden="1" x14ac:dyDescent="0.25">
      <c r="A1994" t="s">
        <v>2005</v>
      </c>
      <c r="B1994" s="1">
        <v>1.561590411805126E-2</v>
      </c>
      <c r="C1994" s="2">
        <v>4.4495221005608007E-6</v>
      </c>
      <c r="D1994" s="2"/>
      <c r="E1994" s="2">
        <v>-0.77540831816261169</v>
      </c>
      <c r="F1994" s="3">
        <v>20.23272694116153</v>
      </c>
      <c r="G1994" s="3">
        <v>2</v>
      </c>
      <c r="H1994" s="2">
        <v>1.083775875149019E-4</v>
      </c>
      <c r="I1994" s="4">
        <v>0</v>
      </c>
      <c r="J1994" s="4">
        <v>-0.77540831816261169</v>
      </c>
      <c r="K1994" s="5">
        <v>2</v>
      </c>
      <c r="L1994" s="5">
        <v>0</v>
      </c>
      <c r="M1994" s="5">
        <v>0</v>
      </c>
    </row>
    <row r="1995" spans="1:13" hidden="1" x14ac:dyDescent="0.25">
      <c r="A1995" t="s">
        <v>2006</v>
      </c>
      <c r="B1995" s="1">
        <v>1.5578463960345561E-2</v>
      </c>
      <c r="C1995" s="2">
        <v>4.4388540785301406E-6</v>
      </c>
      <c r="D1995" s="2"/>
      <c r="E1995" s="2">
        <v>-0.21622579382352311</v>
      </c>
      <c r="F1995" s="3">
        <v>70.607643913437229</v>
      </c>
      <c r="G1995" s="3">
        <v>1</v>
      </c>
      <c r="H1995" s="2">
        <v>5.4188793757450959E-5</v>
      </c>
      <c r="I1995" s="4">
        <v>0</v>
      </c>
      <c r="J1995" s="4">
        <v>-0.21622579382352311</v>
      </c>
      <c r="K1995" s="5">
        <v>1</v>
      </c>
      <c r="L1995" s="5">
        <v>0</v>
      </c>
      <c r="M1995" s="5">
        <v>0</v>
      </c>
    </row>
    <row r="1996" spans="1:13" hidden="1" x14ac:dyDescent="0.25">
      <c r="A1996" t="s">
        <v>2007</v>
      </c>
      <c r="B1996" s="1">
        <v>1.5574214112836309E-2</v>
      </c>
      <c r="C1996" s="2">
        <v>4.4376431470161254E-6</v>
      </c>
      <c r="D1996" s="2"/>
      <c r="E1996" s="2">
        <v>0.197655873735153</v>
      </c>
      <c r="F1996" s="3">
        <v>107.89288394174029</v>
      </c>
      <c r="G1996" s="3">
        <v>1</v>
      </c>
      <c r="H1996" s="2">
        <v>5.4188793757450959E-5</v>
      </c>
      <c r="I1996" s="4">
        <v>-8.3266726846886741E-17</v>
      </c>
      <c r="J1996" s="4">
        <v>0.19765587373515309</v>
      </c>
      <c r="K1996" s="5">
        <v>1</v>
      </c>
      <c r="L1996" s="5">
        <v>0</v>
      </c>
      <c r="M1996" s="5">
        <v>0</v>
      </c>
    </row>
    <row r="1997" spans="1:13" hidden="1" x14ac:dyDescent="0.25">
      <c r="A1997" t="s">
        <v>2008</v>
      </c>
      <c r="B1997" s="1">
        <v>1.5549805643003491E-2</v>
      </c>
      <c r="C1997" s="2">
        <v>4.430688312692029E-6</v>
      </c>
      <c r="D1997" s="2"/>
      <c r="E1997" s="2" t="s">
        <v>303</v>
      </c>
      <c r="F1997" s="3" t="s">
        <v>303</v>
      </c>
      <c r="G1997" s="3">
        <v>1</v>
      </c>
      <c r="H1997" s="2">
        <v>5.4188793757450959E-5</v>
      </c>
      <c r="I1997" s="4" t="s">
        <v>303</v>
      </c>
      <c r="J1997" s="4">
        <v>0</v>
      </c>
      <c r="K1997" s="5">
        <v>1</v>
      </c>
      <c r="L1997" s="5">
        <v>0</v>
      </c>
      <c r="M1997" s="5">
        <v>0</v>
      </c>
    </row>
    <row r="1998" spans="1:13" hidden="1" x14ac:dyDescent="0.25">
      <c r="A1998" t="s">
        <v>2009</v>
      </c>
      <c r="B1998" s="1">
        <v>1.549199417732494E-2</v>
      </c>
      <c r="C1998" s="2">
        <v>4.4142157862050636E-6</v>
      </c>
      <c r="D1998" s="2"/>
      <c r="E1998" s="2">
        <v>-0.17950458782652159</v>
      </c>
      <c r="F1998" s="3">
        <v>73.915736750220944</v>
      </c>
      <c r="G1998" s="3">
        <v>1</v>
      </c>
      <c r="H1998" s="2">
        <v>5.4188793757450959E-5</v>
      </c>
      <c r="I1998" s="4">
        <v>-2.775557561562891E-17</v>
      </c>
      <c r="J1998" s="4">
        <v>-0.17950458782652151</v>
      </c>
      <c r="K1998" s="5">
        <v>1</v>
      </c>
      <c r="L1998" s="5">
        <v>0</v>
      </c>
      <c r="M1998" s="5">
        <v>0</v>
      </c>
    </row>
    <row r="1999" spans="1:13" hidden="1" x14ac:dyDescent="0.25">
      <c r="A1999" t="s">
        <v>2010</v>
      </c>
      <c r="B1999" s="1">
        <v>1.547102184117346E-2</v>
      </c>
      <c r="C1999" s="2">
        <v>4.4082400276129927E-6</v>
      </c>
      <c r="D1999" s="2"/>
      <c r="E1999" s="2">
        <v>1.263768920501841</v>
      </c>
      <c r="F1999" s="3">
        <v>203.93550665676059</v>
      </c>
      <c r="G1999" s="3">
        <v>3</v>
      </c>
      <c r="H1999" s="2">
        <v>1.6256638127235291E-4</v>
      </c>
      <c r="I1999" s="4">
        <v>1.595385856538365</v>
      </c>
      <c r="J1999" s="4">
        <v>-0.33161693603652442</v>
      </c>
      <c r="K1999" s="5">
        <v>3</v>
      </c>
      <c r="L1999" s="5">
        <v>0</v>
      </c>
      <c r="M1999" s="5">
        <v>0</v>
      </c>
    </row>
    <row r="2000" spans="1:13" hidden="1" x14ac:dyDescent="0.25">
      <c r="A2000" t="s">
        <v>2011</v>
      </c>
      <c r="B2000" s="1">
        <v>1.541723502410814E-2</v>
      </c>
      <c r="C2000" s="2">
        <v>4.392914265528277E-6</v>
      </c>
      <c r="D2000" s="2"/>
      <c r="E2000" s="2">
        <v>-4.4670562767882949E-2</v>
      </c>
      <c r="F2000" s="3">
        <v>86.062491202883066</v>
      </c>
      <c r="G2000" s="3">
        <v>1</v>
      </c>
      <c r="H2000" s="2">
        <v>5.4188793757450959E-5</v>
      </c>
      <c r="I2000" s="4">
        <v>-5.5511151231257827E-17</v>
      </c>
      <c r="J2000" s="4">
        <v>-4.4670562767882893E-2</v>
      </c>
      <c r="K2000" s="5">
        <v>1</v>
      </c>
      <c r="L2000" s="5">
        <v>0</v>
      </c>
      <c r="M2000" s="5">
        <v>0</v>
      </c>
    </row>
    <row r="2001" spans="1:13" hidden="1" x14ac:dyDescent="0.25">
      <c r="A2001" t="s">
        <v>2012</v>
      </c>
      <c r="B2001" s="1">
        <v>1.534754506783147E-2</v>
      </c>
      <c r="C2001" s="2">
        <v>4.3730571379296453E-6</v>
      </c>
      <c r="D2001" s="2"/>
      <c r="E2001" s="2">
        <v>-0.70259455045659713</v>
      </c>
      <c r="F2001" s="3">
        <v>26.79228011561802</v>
      </c>
      <c r="G2001" s="3">
        <v>1</v>
      </c>
      <c r="H2001" s="2">
        <v>5.4188793757450959E-5</v>
      </c>
      <c r="I2001" s="4">
        <v>-1.110223024625157E-16</v>
      </c>
      <c r="J2001" s="4">
        <v>-0.70259455045659702</v>
      </c>
      <c r="K2001" s="5">
        <v>1</v>
      </c>
      <c r="L2001" s="5">
        <v>0</v>
      </c>
      <c r="M2001" s="5">
        <v>0</v>
      </c>
    </row>
    <row r="2002" spans="1:13" hidden="1" x14ac:dyDescent="0.25">
      <c r="A2002" t="s">
        <v>2013</v>
      </c>
      <c r="B2002" s="1">
        <v>1.533343601653807E-2</v>
      </c>
      <c r="C2002" s="2">
        <v>4.3690369713691111E-6</v>
      </c>
      <c r="D2002" s="2"/>
      <c r="E2002" s="2">
        <v>-0.31507190101204863</v>
      </c>
      <c r="F2002" s="3">
        <v>61.702922778705997</v>
      </c>
      <c r="G2002" s="3">
        <v>1</v>
      </c>
      <c r="H2002" s="2">
        <v>5.4188793757450959E-5</v>
      </c>
      <c r="I2002" s="4">
        <v>0</v>
      </c>
      <c r="J2002" s="4">
        <v>-0.31507190101204863</v>
      </c>
      <c r="K2002" s="5">
        <v>1</v>
      </c>
      <c r="L2002" s="5">
        <v>0</v>
      </c>
      <c r="M2002" s="5">
        <v>0</v>
      </c>
    </row>
    <row r="2003" spans="1:13" hidden="1" x14ac:dyDescent="0.25">
      <c r="A2003" t="s">
        <v>2014</v>
      </c>
      <c r="B2003" s="1">
        <v>1.530140603287055E-2</v>
      </c>
      <c r="C2003" s="2">
        <v>4.3599104988234398E-6</v>
      </c>
      <c r="D2003" s="2"/>
      <c r="E2003" s="2">
        <v>1.7297006563137951</v>
      </c>
      <c r="F2003" s="3">
        <v>245.9097663745813</v>
      </c>
      <c r="G2003" s="3">
        <v>1</v>
      </c>
      <c r="H2003" s="2">
        <v>5.4188793757450959E-5</v>
      </c>
      <c r="I2003" s="4">
        <v>0</v>
      </c>
      <c r="J2003" s="4">
        <v>1.7297006563137951</v>
      </c>
      <c r="K2003" s="5">
        <v>1</v>
      </c>
      <c r="L2003" s="5">
        <v>0</v>
      </c>
      <c r="M2003" s="5">
        <v>0</v>
      </c>
    </row>
    <row r="2004" spans="1:13" hidden="1" x14ac:dyDescent="0.25">
      <c r="A2004" t="s">
        <v>2015</v>
      </c>
      <c r="B2004" s="1">
        <v>1.516667175270257E-2</v>
      </c>
      <c r="C2004" s="2">
        <v>4.3215199482169209E-6</v>
      </c>
      <c r="D2004" s="2"/>
      <c r="E2004" s="2">
        <v>-0.34105490716021752</v>
      </c>
      <c r="F2004" s="3">
        <v>59.362199096485867</v>
      </c>
      <c r="G2004" s="3">
        <v>1</v>
      </c>
      <c r="H2004" s="2">
        <v>5.4188793757450959E-5</v>
      </c>
      <c r="I2004" s="4">
        <v>0</v>
      </c>
      <c r="J2004" s="4">
        <v>-0.34105490716021752</v>
      </c>
      <c r="K2004" s="5">
        <v>1</v>
      </c>
      <c r="L2004" s="5">
        <v>0</v>
      </c>
      <c r="M2004" s="5">
        <v>0</v>
      </c>
    </row>
    <row r="2005" spans="1:13" hidden="1" x14ac:dyDescent="0.25">
      <c r="A2005" t="s">
        <v>2016</v>
      </c>
      <c r="B2005" s="1">
        <v>1.5157533125847869E-2</v>
      </c>
      <c r="C2005" s="2">
        <v>4.3189160309636272E-6</v>
      </c>
      <c r="D2005" s="2"/>
      <c r="E2005" s="2">
        <v>-0.84440121835885096</v>
      </c>
      <c r="F2005" s="3">
        <v>14.017383170950099</v>
      </c>
      <c r="G2005" s="3">
        <v>1</v>
      </c>
      <c r="H2005" s="2">
        <v>5.4188793757450959E-5</v>
      </c>
      <c r="I2005" s="4">
        <v>0</v>
      </c>
      <c r="J2005" s="4">
        <v>-0.84440121835885096</v>
      </c>
      <c r="K2005" s="5">
        <v>1</v>
      </c>
      <c r="L2005" s="5">
        <v>0</v>
      </c>
      <c r="M2005" s="5">
        <v>0</v>
      </c>
    </row>
    <row r="2006" spans="1:13" hidden="1" x14ac:dyDescent="0.25">
      <c r="A2006" t="s">
        <v>2017</v>
      </c>
      <c r="B2006" s="1">
        <v>1.50679880867545E-2</v>
      </c>
      <c r="C2006" s="2">
        <v>4.2934014896710128E-6</v>
      </c>
      <c r="D2006" s="2"/>
      <c r="E2006" s="2">
        <v>-0.42660384953255209</v>
      </c>
      <c r="F2006" s="3">
        <v>51.655375865259387</v>
      </c>
      <c r="G2006" s="3">
        <v>1</v>
      </c>
      <c r="H2006" s="2">
        <v>5.4188793757450959E-5</v>
      </c>
      <c r="I2006" s="4">
        <v>5.5511151231257827E-17</v>
      </c>
      <c r="J2006" s="4">
        <v>-0.4266038495325522</v>
      </c>
      <c r="K2006" s="5">
        <v>1</v>
      </c>
      <c r="L2006" s="5">
        <v>0</v>
      </c>
      <c r="M2006" s="5">
        <v>0</v>
      </c>
    </row>
    <row r="2007" spans="1:13" hidden="1" x14ac:dyDescent="0.25">
      <c r="A2007" t="s">
        <v>2018</v>
      </c>
      <c r="B2007" s="1">
        <v>1.5065732427110319E-2</v>
      </c>
      <c r="C2007" s="2">
        <v>4.2927587726459708E-6</v>
      </c>
      <c r="D2007" s="2"/>
      <c r="E2007" s="2">
        <v>-0.56296996115465348</v>
      </c>
      <c r="F2007" s="3">
        <v>39.370600766261838</v>
      </c>
      <c r="G2007" s="3">
        <v>1</v>
      </c>
      <c r="H2007" s="2">
        <v>5.4188793757450959E-5</v>
      </c>
      <c r="I2007" s="4">
        <v>0</v>
      </c>
      <c r="J2007" s="4">
        <v>-0.56296996115465348</v>
      </c>
      <c r="K2007" s="5">
        <v>1</v>
      </c>
      <c r="L2007" s="5">
        <v>0</v>
      </c>
      <c r="M2007" s="5">
        <v>0</v>
      </c>
    </row>
    <row r="2008" spans="1:13" hidden="1" x14ac:dyDescent="0.25">
      <c r="A2008" t="s">
        <v>2019</v>
      </c>
      <c r="B2008" s="1">
        <v>1.505644848704351E-2</v>
      </c>
      <c r="C2008" s="2">
        <v>4.2901134505310762E-6</v>
      </c>
      <c r="D2008" s="2"/>
      <c r="E2008" s="2">
        <v>-0.13950779199836799</v>
      </c>
      <c r="F2008" s="3">
        <v>77.518916716157264</v>
      </c>
      <c r="G2008" s="3">
        <v>1</v>
      </c>
      <c r="H2008" s="2">
        <v>5.4188793757450959E-5</v>
      </c>
      <c r="I2008" s="4">
        <v>5.5511151231257827E-17</v>
      </c>
      <c r="J2008" s="4">
        <v>-0.1395077919983681</v>
      </c>
      <c r="K2008" s="5">
        <v>1</v>
      </c>
      <c r="L2008" s="5">
        <v>0</v>
      </c>
      <c r="M2008" s="5">
        <v>0</v>
      </c>
    </row>
    <row r="2009" spans="1:13" hidden="1" x14ac:dyDescent="0.25">
      <c r="A2009" t="s">
        <v>2020</v>
      </c>
      <c r="B2009" s="1">
        <v>1.4998414757477971E-2</v>
      </c>
      <c r="C2009" s="2">
        <v>4.2735775932199791E-6</v>
      </c>
      <c r="D2009" s="2"/>
      <c r="E2009" s="2">
        <v>-0.39010002106240982</v>
      </c>
      <c r="F2009" s="3">
        <v>54.943885874628933</v>
      </c>
      <c r="G2009" s="3">
        <v>1</v>
      </c>
      <c r="H2009" s="2">
        <v>5.4188793757450959E-5</v>
      </c>
      <c r="I2009" s="4">
        <v>5.5511151231257827E-17</v>
      </c>
      <c r="J2009" s="4">
        <v>-0.39010002106240987</v>
      </c>
      <c r="K2009" s="5">
        <v>1</v>
      </c>
      <c r="L2009" s="5">
        <v>0</v>
      </c>
      <c r="M2009" s="5">
        <v>1</v>
      </c>
    </row>
    <row r="2010" spans="1:13" hidden="1" x14ac:dyDescent="0.25">
      <c r="A2010" t="s">
        <v>2021</v>
      </c>
      <c r="B2010" s="1">
        <v>1.499738160716777E-2</v>
      </c>
      <c r="C2010" s="2">
        <v>4.273283212241223E-6</v>
      </c>
      <c r="D2010" s="2"/>
      <c r="E2010" s="2">
        <v>1.0409433197294991</v>
      </c>
      <c r="F2010" s="3">
        <v>183.8618801580229</v>
      </c>
      <c r="G2010" s="3">
        <v>1</v>
      </c>
      <c r="H2010" s="2">
        <v>5.4188793757450959E-5</v>
      </c>
      <c r="I2010" s="4">
        <v>0</v>
      </c>
      <c r="J2010" s="4">
        <v>1.0409433197294991</v>
      </c>
      <c r="K2010" s="5">
        <v>1</v>
      </c>
      <c r="L2010" s="5">
        <v>0</v>
      </c>
      <c r="M2010" s="5">
        <v>0</v>
      </c>
    </row>
    <row r="2011" spans="1:13" hidden="1" x14ac:dyDescent="0.25">
      <c r="A2011" t="s">
        <v>2022</v>
      </c>
      <c r="B2011" s="1">
        <v>1.499024006961275E-2</v>
      </c>
      <c r="C2011" s="2">
        <v>4.2712483361980031E-6</v>
      </c>
      <c r="D2011" s="2"/>
      <c r="E2011" s="2">
        <v>-0.89708579615751882</v>
      </c>
      <c r="F2011" s="3">
        <v>9.2712026005467347</v>
      </c>
      <c r="G2011" s="3">
        <v>1</v>
      </c>
      <c r="H2011" s="2">
        <v>5.4188793757450959E-5</v>
      </c>
      <c r="I2011" s="4">
        <v>0</v>
      </c>
      <c r="J2011" s="4">
        <v>-0.89708579615751882</v>
      </c>
      <c r="K2011" s="5">
        <v>1</v>
      </c>
      <c r="L2011" s="5">
        <v>0</v>
      </c>
      <c r="M2011" s="5">
        <v>0</v>
      </c>
    </row>
    <row r="2012" spans="1:13" hidden="1" x14ac:dyDescent="0.25">
      <c r="A2012" t="s">
        <v>2023</v>
      </c>
      <c r="B2012" s="1">
        <v>1.498753164361691E-2</v>
      </c>
      <c r="C2012" s="2">
        <v>4.2704766100632146E-6</v>
      </c>
      <c r="D2012" s="2"/>
      <c r="E2012" s="2">
        <v>1.285314122949593</v>
      </c>
      <c r="F2012" s="3">
        <v>205.87644317965919</v>
      </c>
      <c r="G2012" s="3">
        <v>1</v>
      </c>
      <c r="H2012" s="2">
        <v>5.4188793757450959E-5</v>
      </c>
      <c r="I2012" s="4">
        <v>0</v>
      </c>
      <c r="J2012" s="4">
        <v>1.285314122949593</v>
      </c>
      <c r="K2012" s="5">
        <v>1</v>
      </c>
      <c r="L2012" s="5">
        <v>0</v>
      </c>
      <c r="M2012" s="5">
        <v>0</v>
      </c>
    </row>
    <row r="2013" spans="1:13" hidden="1" x14ac:dyDescent="0.25">
      <c r="A2013" t="s">
        <v>2024</v>
      </c>
      <c r="B2013" s="1">
        <v>1.4976131705028669E-2</v>
      </c>
      <c r="C2013" s="2">
        <v>4.2672283653051833E-6</v>
      </c>
      <c r="D2013" s="2"/>
      <c r="E2013" s="2">
        <v>-0.80884977721942231</v>
      </c>
      <c r="F2013" s="3">
        <v>17.220095733829591</v>
      </c>
      <c r="G2013" s="3">
        <v>1</v>
      </c>
      <c r="H2013" s="2">
        <v>5.4188793757450959E-5</v>
      </c>
      <c r="I2013" s="4">
        <v>-1.110223024625157E-16</v>
      </c>
      <c r="J2013" s="4">
        <v>-0.80884977721942219</v>
      </c>
      <c r="K2013" s="5">
        <v>1</v>
      </c>
      <c r="L2013" s="5">
        <v>0</v>
      </c>
      <c r="M2013" s="5">
        <v>0</v>
      </c>
    </row>
    <row r="2014" spans="1:13" hidden="1" x14ac:dyDescent="0.25">
      <c r="A2014" t="s">
        <v>2025</v>
      </c>
      <c r="B2014" s="1">
        <v>1.4948077769756251E-2</v>
      </c>
      <c r="C2014" s="2">
        <v>4.2592348092447266E-6</v>
      </c>
      <c r="D2014" s="2"/>
      <c r="E2014" s="2">
        <v>-0.51867461080059818</v>
      </c>
      <c r="F2014" s="3">
        <v>43.361023390754113</v>
      </c>
      <c r="G2014" s="3">
        <v>1</v>
      </c>
      <c r="H2014" s="2">
        <v>5.4188793757450959E-5</v>
      </c>
      <c r="I2014" s="4">
        <v>0</v>
      </c>
      <c r="J2014" s="4">
        <v>-0.51867461080059818</v>
      </c>
      <c r="K2014" s="5">
        <v>1</v>
      </c>
      <c r="L2014" s="5">
        <v>0</v>
      </c>
      <c r="M2014" s="5">
        <v>0</v>
      </c>
    </row>
    <row r="2015" spans="1:13" hidden="1" x14ac:dyDescent="0.25">
      <c r="A2015" t="s">
        <v>2026</v>
      </c>
      <c r="B2015" s="1">
        <v>1.491710361125822E-2</v>
      </c>
      <c r="C2015" s="2">
        <v>4.2504091785453224E-6</v>
      </c>
      <c r="D2015" s="2"/>
      <c r="E2015" s="2">
        <v>-0.88234495688610903</v>
      </c>
      <c r="F2015" s="3">
        <v>10.59915639394646</v>
      </c>
      <c r="G2015" s="3">
        <v>1</v>
      </c>
      <c r="H2015" s="2">
        <v>5.4188793757450959E-5</v>
      </c>
      <c r="I2015" s="4">
        <v>0</v>
      </c>
      <c r="J2015" s="4">
        <v>-0.88234495688610903</v>
      </c>
      <c r="K2015" s="5">
        <v>1</v>
      </c>
      <c r="L2015" s="5">
        <v>0</v>
      </c>
      <c r="M2015" s="5">
        <v>0</v>
      </c>
    </row>
    <row r="2016" spans="1:13" hidden="1" x14ac:dyDescent="0.25">
      <c r="A2016" t="s">
        <v>2027</v>
      </c>
      <c r="B2016" s="1">
        <v>1.49049032320275E-2</v>
      </c>
      <c r="C2016" s="2">
        <v>4.2469328600041794E-6</v>
      </c>
      <c r="D2016" s="2"/>
      <c r="E2016" s="2">
        <v>-0.31032867061288982</v>
      </c>
      <c r="F2016" s="3">
        <v>62.1302248261375</v>
      </c>
      <c r="G2016" s="3">
        <v>1</v>
      </c>
      <c r="H2016" s="2">
        <v>5.4188793757450959E-5</v>
      </c>
      <c r="I2016" s="4">
        <v>-1.6653345369377351E-16</v>
      </c>
      <c r="J2016" s="4">
        <v>-0.31032867061288971</v>
      </c>
      <c r="K2016" s="5">
        <v>1</v>
      </c>
      <c r="L2016" s="5">
        <v>0</v>
      </c>
      <c r="M2016" s="5">
        <v>0</v>
      </c>
    </row>
    <row r="2017" spans="1:13" hidden="1" x14ac:dyDescent="0.25">
      <c r="A2017" t="s">
        <v>2028</v>
      </c>
      <c r="B2017" s="1">
        <v>1.4862121180299189E-2</v>
      </c>
      <c r="C2017" s="2">
        <v>4.2347427438742778E-6</v>
      </c>
      <c r="D2017" s="2"/>
      <c r="E2017" s="2">
        <v>-0.49259016344831758</v>
      </c>
      <c r="F2017" s="3">
        <v>45.710885577867117</v>
      </c>
      <c r="G2017" s="3">
        <v>1</v>
      </c>
      <c r="H2017" s="2">
        <v>5.4188793757450959E-5</v>
      </c>
      <c r="I2017" s="4">
        <v>0</v>
      </c>
      <c r="J2017" s="4">
        <v>-0.49259016344831758</v>
      </c>
      <c r="K2017" s="5">
        <v>1</v>
      </c>
      <c r="L2017" s="5">
        <v>0</v>
      </c>
      <c r="M2017" s="5">
        <v>0</v>
      </c>
    </row>
    <row r="2018" spans="1:13" hidden="1" x14ac:dyDescent="0.25">
      <c r="A2018" t="s">
        <v>2029</v>
      </c>
      <c r="B2018" s="1">
        <v>1.485441308726815E-2</v>
      </c>
      <c r="C2018" s="2">
        <v>4.2325464361846608E-6</v>
      </c>
      <c r="D2018" s="2"/>
      <c r="E2018" s="2">
        <v>-0.13835745784259751</v>
      </c>
      <c r="F2018" s="3">
        <v>77.622546541956638</v>
      </c>
      <c r="G2018" s="3">
        <v>1</v>
      </c>
      <c r="H2018" s="2">
        <v>5.4188793757450959E-5</v>
      </c>
      <c r="I2018" s="4">
        <v>0</v>
      </c>
      <c r="J2018" s="4">
        <v>-0.13835745784259751</v>
      </c>
      <c r="K2018" s="5">
        <v>1</v>
      </c>
      <c r="L2018" s="5">
        <v>0</v>
      </c>
      <c r="M2018" s="5">
        <v>0</v>
      </c>
    </row>
    <row r="2019" spans="1:13" hidden="1" x14ac:dyDescent="0.25">
      <c r="A2019" t="s">
        <v>2030</v>
      </c>
      <c r="B2019" s="1">
        <v>1.484865759758076E-2</v>
      </c>
      <c r="C2019" s="2">
        <v>4.2309064940865266E-6</v>
      </c>
      <c r="D2019" s="2"/>
      <c r="E2019" s="2">
        <v>7.4890629534003486E-3</v>
      </c>
      <c r="F2019" s="3">
        <v>90.761380564849759</v>
      </c>
      <c r="G2019" s="3">
        <v>1</v>
      </c>
      <c r="H2019" s="2">
        <v>5.4188793757450959E-5</v>
      </c>
      <c r="I2019" s="4">
        <v>-1.5005358067199379E-16</v>
      </c>
      <c r="J2019" s="4">
        <v>7.4890629534004986E-3</v>
      </c>
      <c r="K2019" s="5">
        <v>1</v>
      </c>
      <c r="L2019" s="5">
        <v>0</v>
      </c>
      <c r="M2019" s="5">
        <v>0</v>
      </c>
    </row>
    <row r="2020" spans="1:13" hidden="1" x14ac:dyDescent="0.25">
      <c r="A2020" t="s">
        <v>2031</v>
      </c>
      <c r="B2020" s="1">
        <v>1.482655042500346E-2</v>
      </c>
      <c r="C2020" s="2">
        <v>4.2246073805532983E-6</v>
      </c>
      <c r="D2020" s="2"/>
      <c r="E2020" s="2">
        <v>-0.59232467184758597</v>
      </c>
      <c r="F2020" s="3">
        <v>36.726131296030452</v>
      </c>
      <c r="G2020" s="3">
        <v>2</v>
      </c>
      <c r="H2020" s="2">
        <v>1.083775875149019E-4</v>
      </c>
      <c r="I2020" s="4">
        <v>0</v>
      </c>
      <c r="J2020" s="4">
        <v>-0.59232467184758597</v>
      </c>
      <c r="K2020" s="5">
        <v>2</v>
      </c>
      <c r="L2020" s="5">
        <v>0</v>
      </c>
      <c r="M2020" s="5">
        <v>0</v>
      </c>
    </row>
    <row r="2021" spans="1:13" hidden="1" x14ac:dyDescent="0.25">
      <c r="A2021" t="s">
        <v>2032</v>
      </c>
      <c r="B2021" s="1">
        <v>1.480160993155716E-2</v>
      </c>
      <c r="C2021" s="2">
        <v>4.2175009539289252E-6</v>
      </c>
      <c r="D2021" s="2"/>
      <c r="E2021" s="2">
        <v>8.8347707080950855E-2</v>
      </c>
      <c r="F2021" s="3">
        <v>98.045670232575716</v>
      </c>
      <c r="G2021" s="3">
        <v>1</v>
      </c>
      <c r="H2021" s="2">
        <v>5.4188793757450959E-5</v>
      </c>
      <c r="I2021" s="4">
        <v>5.5511151231257827E-17</v>
      </c>
      <c r="J2021" s="4">
        <v>8.8347707080950799E-2</v>
      </c>
      <c r="K2021" s="5">
        <v>1</v>
      </c>
      <c r="L2021" s="5">
        <v>0</v>
      </c>
      <c r="M2021" s="5">
        <v>0</v>
      </c>
    </row>
    <row r="2022" spans="1:13" hidden="1" x14ac:dyDescent="0.25">
      <c r="A2022" t="s">
        <v>2033</v>
      </c>
      <c r="B2022" s="1">
        <v>1.476645960772986E-2</v>
      </c>
      <c r="C2022" s="2">
        <v>4.2074853863685001E-6</v>
      </c>
      <c r="D2022" s="2"/>
      <c r="E2022" s="2">
        <v>-0.85730466058594734</v>
      </c>
      <c r="F2022" s="3">
        <v>12.85495444230769</v>
      </c>
      <c r="G2022" s="3">
        <v>1</v>
      </c>
      <c r="H2022" s="2">
        <v>5.4188793757450959E-5</v>
      </c>
      <c r="I2022" s="4">
        <v>0</v>
      </c>
      <c r="J2022" s="4">
        <v>-0.85730466058594734</v>
      </c>
      <c r="K2022" s="5">
        <v>1</v>
      </c>
      <c r="L2022" s="5">
        <v>0</v>
      </c>
      <c r="M2022" s="5">
        <v>0</v>
      </c>
    </row>
    <row r="2023" spans="1:13" hidden="1" x14ac:dyDescent="0.25">
      <c r="A2023" t="s">
        <v>2034</v>
      </c>
      <c r="B2023" s="1">
        <v>1.47642091984291E-2</v>
      </c>
      <c r="C2023" s="2">
        <v>4.2068441653515586E-6</v>
      </c>
      <c r="D2023" s="2"/>
      <c r="E2023" s="2">
        <v>-0.29827297986483781</v>
      </c>
      <c r="F2023" s="3">
        <v>63.216282408488333</v>
      </c>
      <c r="G2023" s="3">
        <v>2</v>
      </c>
      <c r="H2023" s="2">
        <v>1.083775875149019E-4</v>
      </c>
      <c r="I2023" s="4">
        <v>1.110223024625157E-16</v>
      </c>
      <c r="J2023" s="4">
        <v>-0.29827297986483792</v>
      </c>
      <c r="K2023" s="5">
        <v>2</v>
      </c>
      <c r="L2023" s="5">
        <v>0</v>
      </c>
      <c r="M2023" s="5">
        <v>0</v>
      </c>
    </row>
    <row r="2024" spans="1:13" hidden="1" x14ac:dyDescent="0.25">
      <c r="A2024" t="s">
        <v>2035</v>
      </c>
      <c r="B2024" s="1">
        <v>1.474360744379866E-2</v>
      </c>
      <c r="C2024" s="2">
        <v>4.2009739985110429E-6</v>
      </c>
      <c r="D2024" s="2"/>
      <c r="E2024" s="2">
        <v>-0.77014368359902285</v>
      </c>
      <c r="F2024" s="3">
        <v>20.70700057720482</v>
      </c>
      <c r="G2024" s="3">
        <v>2</v>
      </c>
      <c r="H2024" s="2">
        <v>1.083775875149019E-4</v>
      </c>
      <c r="I2024" s="4">
        <v>0</v>
      </c>
      <c r="J2024" s="4">
        <v>-0.77014368359902285</v>
      </c>
      <c r="K2024" s="5">
        <v>1</v>
      </c>
      <c r="L2024" s="5">
        <v>0</v>
      </c>
      <c r="M2024" s="5">
        <v>0</v>
      </c>
    </row>
    <row r="2025" spans="1:13" hidden="1" x14ac:dyDescent="0.25">
      <c r="A2025" t="s">
        <v>2036</v>
      </c>
      <c r="B2025" s="1">
        <v>1.467239847470064E-2</v>
      </c>
      <c r="C2025" s="2">
        <v>4.180684050560253E-6</v>
      </c>
      <c r="D2025" s="2"/>
      <c r="E2025" s="2">
        <v>-7.4027170886070359E-2</v>
      </c>
      <c r="F2025" s="3">
        <v>83.417850799842569</v>
      </c>
      <c r="G2025" s="3">
        <v>1</v>
      </c>
      <c r="H2025" s="2">
        <v>5.4188793757450959E-5</v>
      </c>
      <c r="I2025" s="4">
        <v>2.775557561562891E-17</v>
      </c>
      <c r="J2025" s="4">
        <v>-7.4027170886070387E-2</v>
      </c>
      <c r="K2025" s="5">
        <v>1</v>
      </c>
      <c r="L2025" s="5">
        <v>0</v>
      </c>
      <c r="M2025" s="5">
        <v>0</v>
      </c>
    </row>
    <row r="2026" spans="1:13" hidden="1" x14ac:dyDescent="0.25">
      <c r="A2026" t="s">
        <v>2037</v>
      </c>
      <c r="B2026" s="1">
        <v>1.4623906335901901E-2</v>
      </c>
      <c r="C2026" s="2">
        <v>4.1668669291398524E-6</v>
      </c>
      <c r="D2026" s="2"/>
      <c r="E2026" s="2">
        <v>-0.92353214688805363</v>
      </c>
      <c r="F2026" s="3">
        <v>6.8887377267651857</v>
      </c>
      <c r="G2026" s="3">
        <v>1</v>
      </c>
      <c r="H2026" s="2">
        <v>5.4188793757450959E-5</v>
      </c>
      <c r="I2026" s="4">
        <v>0</v>
      </c>
      <c r="J2026" s="4">
        <v>-0.92353214688805363</v>
      </c>
      <c r="K2026" s="5">
        <v>1</v>
      </c>
      <c r="L2026" s="5">
        <v>0</v>
      </c>
      <c r="M2026" s="5">
        <v>0</v>
      </c>
    </row>
    <row r="2027" spans="1:13" hidden="1" x14ac:dyDescent="0.25">
      <c r="A2027" t="s">
        <v>2038</v>
      </c>
      <c r="B2027" s="1">
        <v>1.458953238878922E-2</v>
      </c>
      <c r="C2027" s="2">
        <v>4.1570725787003792E-6</v>
      </c>
      <c r="D2027" s="2"/>
      <c r="E2027" s="2">
        <v>2.1768446338660592</v>
      </c>
      <c r="F2027" s="3">
        <v>286.19149865952897</v>
      </c>
      <c r="G2027" s="3">
        <v>1</v>
      </c>
      <c r="H2027" s="2">
        <v>5.4188793757450959E-5</v>
      </c>
      <c r="I2027" s="4">
        <v>-4.4408920985006262E-16</v>
      </c>
      <c r="J2027" s="4">
        <v>2.1768446338660601</v>
      </c>
      <c r="K2027" s="5">
        <v>1</v>
      </c>
      <c r="L2027" s="5">
        <v>0</v>
      </c>
      <c r="M2027" s="5">
        <v>0</v>
      </c>
    </row>
    <row r="2028" spans="1:13" hidden="1" x14ac:dyDescent="0.25">
      <c r="A2028" t="s">
        <v>2039</v>
      </c>
      <c r="B2028" s="1">
        <v>1.4484938681404051E-2</v>
      </c>
      <c r="C2028" s="2">
        <v>4.1272701408093874E-6</v>
      </c>
      <c r="D2028" s="2"/>
      <c r="E2028" s="2">
        <v>-6.8801869485263123E-2</v>
      </c>
      <c r="F2028" s="3">
        <v>83.888581040441352</v>
      </c>
      <c r="G2028" s="3">
        <v>1</v>
      </c>
      <c r="H2028" s="2">
        <v>5.4188793757450959E-5</v>
      </c>
      <c r="I2028" s="4">
        <v>0</v>
      </c>
      <c r="J2028" s="4">
        <v>-6.8801869485263123E-2</v>
      </c>
      <c r="K2028" s="5">
        <v>1</v>
      </c>
      <c r="L2028" s="5">
        <v>0</v>
      </c>
      <c r="M2028" s="5">
        <v>0</v>
      </c>
    </row>
    <row r="2029" spans="1:13" hidden="1" x14ac:dyDescent="0.25">
      <c r="A2029" t="s">
        <v>2040</v>
      </c>
      <c r="B2029" s="1">
        <v>1.447810856330063E-2</v>
      </c>
      <c r="C2029" s="2">
        <v>4.125323999156566E-6</v>
      </c>
      <c r="D2029" s="2"/>
      <c r="E2029" s="2">
        <v>-0.1959050365919576</v>
      </c>
      <c r="F2029" s="3">
        <v>72.43827418852274</v>
      </c>
      <c r="G2029" s="3">
        <v>1</v>
      </c>
      <c r="H2029" s="2">
        <v>5.4188793757450959E-5</v>
      </c>
      <c r="I2029" s="4">
        <v>-5.5511151231257827E-17</v>
      </c>
      <c r="J2029" s="4">
        <v>-0.19590503659195749</v>
      </c>
      <c r="K2029" s="5">
        <v>1</v>
      </c>
      <c r="L2029" s="5">
        <v>0</v>
      </c>
      <c r="M2029" s="5">
        <v>0</v>
      </c>
    </row>
    <row r="2030" spans="1:13" hidden="1" x14ac:dyDescent="0.25">
      <c r="A2030" t="s">
        <v>2041</v>
      </c>
      <c r="B2030" s="1">
        <v>1.4439611534976129E-2</v>
      </c>
      <c r="C2030" s="2">
        <v>4.1143548373942476E-6</v>
      </c>
      <c r="D2030" s="2"/>
      <c r="E2030" s="2">
        <v>0.39286529226903483</v>
      </c>
      <c r="F2030" s="3">
        <v>125.4786592884808</v>
      </c>
      <c r="G2030" s="3">
        <v>1</v>
      </c>
      <c r="H2030" s="2">
        <v>5.4188793757450959E-5</v>
      </c>
      <c r="I2030" s="4">
        <v>-5.5511151231257827E-17</v>
      </c>
      <c r="J2030" s="4">
        <v>0.39286529226903483</v>
      </c>
      <c r="K2030" s="5">
        <v>1</v>
      </c>
      <c r="L2030" s="5">
        <v>0</v>
      </c>
      <c r="M2030" s="5">
        <v>0</v>
      </c>
    </row>
    <row r="2031" spans="1:13" hidden="1" x14ac:dyDescent="0.25">
      <c r="A2031" t="s">
        <v>2042</v>
      </c>
      <c r="B2031" s="1">
        <v>1.443788363059266E-2</v>
      </c>
      <c r="C2031" s="2">
        <v>4.1138624964651668E-6</v>
      </c>
      <c r="D2031" s="2"/>
      <c r="E2031" s="2">
        <v>-0.63138838783447104</v>
      </c>
      <c r="F2031" s="3">
        <v>33.20700942827586</v>
      </c>
      <c r="G2031" s="3">
        <v>1</v>
      </c>
      <c r="H2031" s="2">
        <v>5.4188793757450959E-5</v>
      </c>
      <c r="I2031" s="4">
        <v>0</v>
      </c>
      <c r="J2031" s="4">
        <v>-0.63138838783447104</v>
      </c>
      <c r="K2031" s="5">
        <v>1</v>
      </c>
      <c r="L2031" s="5">
        <v>0</v>
      </c>
      <c r="M2031" s="5">
        <v>0</v>
      </c>
    </row>
    <row r="2032" spans="1:13" hidden="1" x14ac:dyDescent="0.25">
      <c r="A2032" t="s">
        <v>2043</v>
      </c>
      <c r="B2032" s="1">
        <v>1.4396389536363619E-2</v>
      </c>
      <c r="C2032" s="2">
        <v>4.1020393648732274E-6</v>
      </c>
      <c r="D2032" s="2"/>
      <c r="E2032" s="2">
        <v>0.66748729377474714</v>
      </c>
      <c r="F2032" s="3">
        <v>150.21845340304341</v>
      </c>
      <c r="G2032" s="3">
        <v>1</v>
      </c>
      <c r="H2032" s="2">
        <v>5.4188793757450959E-5</v>
      </c>
      <c r="I2032" s="4">
        <v>0</v>
      </c>
      <c r="J2032" s="4">
        <v>0.66748729377474714</v>
      </c>
      <c r="K2032" s="5">
        <v>1</v>
      </c>
      <c r="L2032" s="5">
        <v>0</v>
      </c>
      <c r="M2032" s="5">
        <v>0</v>
      </c>
    </row>
    <row r="2033" spans="1:13" hidden="1" x14ac:dyDescent="0.25">
      <c r="A2033" t="s">
        <v>2044</v>
      </c>
      <c r="B2033" s="1">
        <v>1.439018851510904E-2</v>
      </c>
      <c r="C2033" s="2">
        <v>4.1002724751107307E-6</v>
      </c>
      <c r="D2033" s="2"/>
      <c r="E2033" s="2">
        <v>-0.45386104442599129</v>
      </c>
      <c r="F2033" s="3">
        <v>49.199864704074592</v>
      </c>
      <c r="G2033" s="3">
        <v>1</v>
      </c>
      <c r="H2033" s="2">
        <v>5.4188793757450959E-5</v>
      </c>
      <c r="I2033" s="4">
        <v>-5.5511151231257827E-17</v>
      </c>
      <c r="J2033" s="4">
        <v>-0.45386104442599118</v>
      </c>
      <c r="K2033" s="5">
        <v>1</v>
      </c>
      <c r="L2033" s="5">
        <v>0</v>
      </c>
      <c r="M2033" s="5">
        <v>1</v>
      </c>
    </row>
    <row r="2034" spans="1:13" hidden="1" x14ac:dyDescent="0.25">
      <c r="A2034" t="s">
        <v>2045</v>
      </c>
      <c r="B2034" s="1">
        <v>1.437971747899325E-2</v>
      </c>
      <c r="C2034" s="2">
        <v>4.0972889074440259E-6</v>
      </c>
      <c r="D2034" s="2"/>
      <c r="E2034" s="2">
        <v>-0.6725352377046091</v>
      </c>
      <c r="F2034" s="3">
        <v>29.500224871071101</v>
      </c>
      <c r="G2034" s="3">
        <v>1</v>
      </c>
      <c r="H2034" s="2">
        <v>5.4188793757450959E-5</v>
      </c>
      <c r="I2034" s="4">
        <v>0</v>
      </c>
      <c r="J2034" s="4">
        <v>-0.6725352377046091</v>
      </c>
      <c r="K2034" s="5">
        <v>1</v>
      </c>
      <c r="L2034" s="5">
        <v>0</v>
      </c>
      <c r="M2034" s="5">
        <v>0</v>
      </c>
    </row>
    <row r="2035" spans="1:13" hidden="1" x14ac:dyDescent="0.25">
      <c r="A2035" t="s">
        <v>2046</v>
      </c>
      <c r="B2035" s="1">
        <v>1.4334833443897471E-2</v>
      </c>
      <c r="C2035" s="2">
        <v>4.0844998620828806E-6</v>
      </c>
      <c r="D2035" s="2"/>
      <c r="E2035" s="2">
        <v>-0.55058217659473108</v>
      </c>
      <c r="F2035" s="3">
        <v>40.486575589355773</v>
      </c>
      <c r="G2035" s="3">
        <v>1</v>
      </c>
      <c r="H2035" s="2">
        <v>5.4188793757450959E-5</v>
      </c>
      <c r="I2035" s="4">
        <v>-3.3306690738754701E-16</v>
      </c>
      <c r="J2035" s="4">
        <v>-0.55058217659473074</v>
      </c>
      <c r="K2035" s="5">
        <v>1</v>
      </c>
      <c r="L2035" s="5">
        <v>0</v>
      </c>
      <c r="M2035" s="5">
        <v>1</v>
      </c>
    </row>
    <row r="2036" spans="1:13" hidden="1" x14ac:dyDescent="0.25">
      <c r="A2036" t="s">
        <v>2047</v>
      </c>
      <c r="B2036" s="1">
        <v>1.432165313923345E-2</v>
      </c>
      <c r="C2036" s="2">
        <v>4.0807443282084858E-6</v>
      </c>
      <c r="D2036" s="2"/>
      <c r="E2036" s="2">
        <v>-0.54001683140577117</v>
      </c>
      <c r="F2036" s="3">
        <v>41.438372835355793</v>
      </c>
      <c r="G2036" s="3">
        <v>1</v>
      </c>
      <c r="H2036" s="2">
        <v>5.4188793757450959E-5</v>
      </c>
      <c r="I2036" s="4">
        <v>0</v>
      </c>
      <c r="J2036" s="4">
        <v>-0.54001683140577117</v>
      </c>
      <c r="K2036" s="5">
        <v>1</v>
      </c>
      <c r="L2036" s="5">
        <v>0</v>
      </c>
      <c r="M2036" s="5">
        <v>0</v>
      </c>
    </row>
    <row r="2037" spans="1:13" hidden="1" x14ac:dyDescent="0.25">
      <c r="A2037" t="s">
        <v>2048</v>
      </c>
      <c r="B2037" s="1">
        <v>1.430488605897602E-2</v>
      </c>
      <c r="C2037" s="2">
        <v>4.0759667954058147E-6</v>
      </c>
      <c r="D2037" s="2"/>
      <c r="E2037" s="2">
        <v>-0.43578920680704603</v>
      </c>
      <c r="F2037" s="3">
        <v>50.827897197877562</v>
      </c>
      <c r="G2037" s="3">
        <v>1</v>
      </c>
      <c r="H2037" s="2">
        <v>5.4188793757450959E-5</v>
      </c>
      <c r="I2037" s="4">
        <v>5.5511151231257827E-17</v>
      </c>
      <c r="J2037" s="4">
        <v>-0.43578920680704608</v>
      </c>
      <c r="K2037" s="5">
        <v>1</v>
      </c>
      <c r="L2037" s="5">
        <v>1</v>
      </c>
      <c r="M2037" s="5">
        <v>0</v>
      </c>
    </row>
    <row r="2038" spans="1:13" hidden="1" x14ac:dyDescent="0.25">
      <c r="A2038" t="s">
        <v>2049</v>
      </c>
      <c r="B2038" s="1">
        <v>1.430049840995541E-2</v>
      </c>
      <c r="C2038" s="2">
        <v>4.0747165993787964E-6</v>
      </c>
      <c r="D2038" s="2"/>
      <c r="E2038" s="2">
        <v>-0.84816520441715726</v>
      </c>
      <c r="F2038" s="3">
        <v>13.678298029839709</v>
      </c>
      <c r="G2038" s="3">
        <v>1</v>
      </c>
      <c r="H2038" s="2">
        <v>5.4188793757450959E-5</v>
      </c>
      <c r="I2038" s="4">
        <v>2.2204460492503131E-16</v>
      </c>
      <c r="J2038" s="4">
        <v>-0.84816520441715748</v>
      </c>
      <c r="K2038" s="5">
        <v>1</v>
      </c>
      <c r="L2038" s="5">
        <v>0</v>
      </c>
      <c r="M2038" s="5">
        <v>0</v>
      </c>
    </row>
    <row r="2039" spans="1:13" hidden="1" x14ac:dyDescent="0.25">
      <c r="A2039" t="s">
        <v>2050</v>
      </c>
      <c r="B2039" s="1">
        <v>1.4279360758083819E-2</v>
      </c>
      <c r="C2039" s="2">
        <v>4.0686937365047934E-6</v>
      </c>
      <c r="D2039" s="2"/>
      <c r="E2039" s="2">
        <v>-0.39271093333529561</v>
      </c>
      <c r="F2039" s="3">
        <v>54.708677363554713</v>
      </c>
      <c r="G2039" s="3">
        <v>1</v>
      </c>
      <c r="H2039" s="2">
        <v>5.4188793757450959E-5</v>
      </c>
      <c r="I2039" s="4">
        <v>-1.110223024625157E-16</v>
      </c>
      <c r="J2039" s="4">
        <v>-0.3927109333352955</v>
      </c>
      <c r="K2039" s="5">
        <v>1</v>
      </c>
      <c r="L2039" s="5">
        <v>0</v>
      </c>
      <c r="M2039" s="5">
        <v>0</v>
      </c>
    </row>
    <row r="2040" spans="1:13" hidden="1" x14ac:dyDescent="0.25">
      <c r="A2040" t="s">
        <v>2051</v>
      </c>
      <c r="B2040" s="1">
        <v>1.427338469239676E-2</v>
      </c>
      <c r="C2040" s="2">
        <v>4.0669909445211891E-6</v>
      </c>
      <c r="D2040" s="2"/>
      <c r="E2040" s="2">
        <v>0.1151563411471765</v>
      </c>
      <c r="F2040" s="3">
        <v>100.4607720221433</v>
      </c>
      <c r="G2040" s="3">
        <v>1</v>
      </c>
      <c r="H2040" s="2">
        <v>5.4188793757450959E-5</v>
      </c>
      <c r="I2040" s="4">
        <v>2.775557561562891E-17</v>
      </c>
      <c r="J2040" s="4">
        <v>0.1151563411471765</v>
      </c>
      <c r="K2040" s="5">
        <v>1</v>
      </c>
      <c r="L2040" s="5">
        <v>0</v>
      </c>
      <c r="M2040" s="5">
        <v>0</v>
      </c>
    </row>
    <row r="2041" spans="1:13" hidden="1" x14ac:dyDescent="0.25">
      <c r="A2041" t="s">
        <v>2052</v>
      </c>
      <c r="B2041" s="1">
        <v>1.426772989560731E-2</v>
      </c>
      <c r="C2041" s="2">
        <v>4.0653796933826912E-6</v>
      </c>
      <c r="D2041" s="2"/>
      <c r="E2041" s="2">
        <v>-0.75252156875369458</v>
      </c>
      <c r="F2041" s="3">
        <v>22.294519023455489</v>
      </c>
      <c r="G2041" s="3">
        <v>1</v>
      </c>
      <c r="H2041" s="2">
        <v>5.4188793757450959E-5</v>
      </c>
      <c r="I2041" s="4">
        <v>1.110223024625157E-16</v>
      </c>
      <c r="J2041" s="4">
        <v>-0.75252156875369469</v>
      </c>
      <c r="K2041" s="5">
        <v>1</v>
      </c>
      <c r="L2041" s="5">
        <v>0</v>
      </c>
      <c r="M2041" s="5">
        <v>0</v>
      </c>
    </row>
    <row r="2042" spans="1:13" hidden="1" x14ac:dyDescent="0.25">
      <c r="A2042" t="s">
        <v>2053</v>
      </c>
      <c r="B2042" s="1">
        <v>1.417994396034257E-2</v>
      </c>
      <c r="C2042" s="2">
        <v>4.0403663828419767E-6</v>
      </c>
      <c r="D2042" s="2"/>
      <c r="E2042" s="2">
        <v>11.140271592086741</v>
      </c>
      <c r="F2042" s="3">
        <v>1093.6771927825721</v>
      </c>
      <c r="G2042" s="3">
        <v>1</v>
      </c>
      <c r="H2042" s="2">
        <v>5.4188793757450959E-5</v>
      </c>
      <c r="I2042" s="4">
        <v>0</v>
      </c>
      <c r="J2042" s="4">
        <v>11.140271592086741</v>
      </c>
      <c r="K2042" s="5">
        <v>1</v>
      </c>
      <c r="L2042" s="5">
        <v>0</v>
      </c>
      <c r="M2042" s="5">
        <v>0</v>
      </c>
    </row>
    <row r="2043" spans="1:13" hidden="1" x14ac:dyDescent="0.25">
      <c r="A2043" t="s">
        <v>2054</v>
      </c>
      <c r="B2043" s="1">
        <v>1.415479545977057E-2</v>
      </c>
      <c r="C2043" s="2">
        <v>4.0332006876478221E-6</v>
      </c>
      <c r="D2043" s="2"/>
      <c r="E2043" s="2">
        <v>-0.2188418816421811</v>
      </c>
      <c r="F2043" s="3">
        <v>70.371969154443562</v>
      </c>
      <c r="G2043" s="3">
        <v>1</v>
      </c>
      <c r="H2043" s="2">
        <v>5.4188793757450959E-5</v>
      </c>
      <c r="I2043" s="4">
        <v>2.775557561562891E-17</v>
      </c>
      <c r="J2043" s="4">
        <v>-0.2188418816421811</v>
      </c>
      <c r="K2043" s="5">
        <v>1</v>
      </c>
      <c r="L2043" s="5">
        <v>1</v>
      </c>
      <c r="M2043" s="5">
        <v>0</v>
      </c>
    </row>
    <row r="2044" spans="1:13" hidden="1" x14ac:dyDescent="0.25">
      <c r="A2044" t="s">
        <v>2055</v>
      </c>
      <c r="B2044" s="1">
        <v>1.4132408259019321E-2</v>
      </c>
      <c r="C2044" s="2">
        <v>4.0268217842068611E-6</v>
      </c>
      <c r="D2044" s="2"/>
      <c r="E2044" s="2">
        <v>2.0526207977744622</v>
      </c>
      <c r="F2044" s="3">
        <v>275.00058128154399</v>
      </c>
      <c r="G2044" s="3">
        <v>1</v>
      </c>
      <c r="H2044" s="2">
        <v>5.4188793757450959E-5</v>
      </c>
      <c r="I2044" s="4">
        <v>0</v>
      </c>
      <c r="J2044" s="4">
        <v>2.0526207977744622</v>
      </c>
      <c r="K2044" s="5">
        <v>1</v>
      </c>
      <c r="L2044" s="5">
        <v>0</v>
      </c>
      <c r="M2044" s="5">
        <v>0</v>
      </c>
    </row>
    <row r="2045" spans="1:13" hidden="1" x14ac:dyDescent="0.25">
      <c r="A2045" t="s">
        <v>2056</v>
      </c>
      <c r="B2045" s="1">
        <v>1.4122918908262149E-2</v>
      </c>
      <c r="C2045" s="2">
        <v>4.024117933338232E-6</v>
      </c>
      <c r="D2045" s="2"/>
      <c r="E2045" s="2">
        <v>-0.7472624064020309</v>
      </c>
      <c r="F2045" s="3">
        <v>22.768299685900018</v>
      </c>
      <c r="G2045" s="3">
        <v>1</v>
      </c>
      <c r="H2045" s="2">
        <v>5.4188793757450959E-5</v>
      </c>
      <c r="I2045" s="4">
        <v>1.110223024625157E-16</v>
      </c>
      <c r="J2045" s="4">
        <v>-0.7472624064020309</v>
      </c>
      <c r="K2045" s="5">
        <v>1</v>
      </c>
      <c r="L2045" s="5">
        <v>0</v>
      </c>
      <c r="M2045" s="5">
        <v>0</v>
      </c>
    </row>
    <row r="2046" spans="1:13" hidden="1" x14ac:dyDescent="0.25">
      <c r="A2046" t="s">
        <v>2057</v>
      </c>
      <c r="B2046" s="1">
        <v>1.412066647803008E-2</v>
      </c>
      <c r="C2046" s="2">
        <v>4.0234761364866513E-6</v>
      </c>
      <c r="D2046" s="2"/>
      <c r="E2046" s="2">
        <v>0.32802365955240848</v>
      </c>
      <c r="F2046" s="3">
        <v>119.6372895705923</v>
      </c>
      <c r="G2046" s="3">
        <v>1</v>
      </c>
      <c r="H2046" s="2">
        <v>5.4188793757450959E-5</v>
      </c>
      <c r="I2046" s="4">
        <v>-5.5511151231257827E-17</v>
      </c>
      <c r="J2046" s="4">
        <v>0.32802365955240848</v>
      </c>
      <c r="K2046" s="5">
        <v>1</v>
      </c>
      <c r="L2046" s="5">
        <v>0</v>
      </c>
      <c r="M2046" s="5">
        <v>0</v>
      </c>
    </row>
    <row r="2047" spans="1:13" hidden="1" x14ac:dyDescent="0.25">
      <c r="A2047" t="s">
        <v>2058</v>
      </c>
      <c r="B2047" s="1">
        <v>1.411688780345733E-2</v>
      </c>
      <c r="C2047" s="2">
        <v>4.0223994587678847E-6</v>
      </c>
      <c r="D2047" s="2"/>
      <c r="E2047" s="2">
        <v>0.26461130702679281</v>
      </c>
      <c r="F2047" s="3">
        <v>113.9246790106144</v>
      </c>
      <c r="G2047" s="3">
        <v>1</v>
      </c>
      <c r="H2047" s="2">
        <v>5.4188793757450959E-5</v>
      </c>
      <c r="I2047" s="4">
        <v>-5.5511151231257827E-17</v>
      </c>
      <c r="J2047" s="4">
        <v>0.26461130702679292</v>
      </c>
      <c r="K2047" s="5">
        <v>1</v>
      </c>
      <c r="L2047" s="5">
        <v>0</v>
      </c>
      <c r="M2047" s="5">
        <v>0</v>
      </c>
    </row>
    <row r="2048" spans="1:13" hidden="1" x14ac:dyDescent="0.25">
      <c r="A2048" t="s">
        <v>2059</v>
      </c>
      <c r="B2048" s="1">
        <v>1.4112735555792859E-2</v>
      </c>
      <c r="C2048" s="2">
        <v>4.021216336893522E-6</v>
      </c>
      <c r="D2048" s="2"/>
      <c r="E2048" s="2">
        <v>-0.2865637069948872</v>
      </c>
      <c r="F2048" s="3">
        <v>64.271132342017012</v>
      </c>
      <c r="G2048" s="3">
        <v>1</v>
      </c>
      <c r="H2048" s="2">
        <v>5.4188793757450959E-5</v>
      </c>
      <c r="I2048" s="4">
        <v>-0.2865637069948872</v>
      </c>
      <c r="J2048" s="4">
        <v>0</v>
      </c>
      <c r="K2048" s="5">
        <v>1</v>
      </c>
      <c r="L2048" s="5">
        <v>0</v>
      </c>
      <c r="M2048" s="5">
        <v>0</v>
      </c>
    </row>
    <row r="2049" spans="1:13" hidden="1" x14ac:dyDescent="0.25">
      <c r="A2049" t="s">
        <v>2060</v>
      </c>
      <c r="B2049" s="1">
        <v>1.4035766191401931E-2</v>
      </c>
      <c r="C2049" s="2">
        <v>3.9992850490644883E-6</v>
      </c>
      <c r="D2049" s="2"/>
      <c r="E2049" s="2">
        <v>0.73046198477483637</v>
      </c>
      <c r="F2049" s="3">
        <v>155.89163647369401</v>
      </c>
      <c r="G2049" s="3">
        <v>1</v>
      </c>
      <c r="H2049" s="2">
        <v>5.4188793757450959E-5</v>
      </c>
      <c r="I2049" s="4">
        <v>0</v>
      </c>
      <c r="J2049" s="4">
        <v>0.73046198477483637</v>
      </c>
      <c r="K2049" s="5">
        <v>1</v>
      </c>
      <c r="L2049" s="5">
        <v>0</v>
      </c>
      <c r="M2049" s="5">
        <v>0</v>
      </c>
    </row>
    <row r="2050" spans="1:13" hidden="1" x14ac:dyDescent="0.25">
      <c r="A2050" t="s">
        <v>2061</v>
      </c>
      <c r="B2050" s="1">
        <v>1.3929047274197319E-2</v>
      </c>
      <c r="C2050" s="2">
        <v>3.9688770639065274E-6</v>
      </c>
      <c r="D2050" s="2"/>
      <c r="E2050" s="2">
        <v>-0.26222342162669532</v>
      </c>
      <c r="F2050" s="3">
        <v>66.463868704716049</v>
      </c>
      <c r="G2050" s="3">
        <v>1</v>
      </c>
      <c r="H2050" s="2">
        <v>5.4188793757450959E-5</v>
      </c>
      <c r="I2050" s="4">
        <v>0</v>
      </c>
      <c r="J2050" s="4">
        <v>-0.26222342162669532</v>
      </c>
      <c r="K2050" s="5">
        <v>1</v>
      </c>
      <c r="L2050" s="5">
        <v>0</v>
      </c>
      <c r="M2050" s="5">
        <v>0</v>
      </c>
    </row>
    <row r="2051" spans="1:13" hidden="1" x14ac:dyDescent="0.25">
      <c r="A2051" t="s">
        <v>2062</v>
      </c>
      <c r="B2051" s="1">
        <v>1.392202034632847E-2</v>
      </c>
      <c r="C2051" s="2">
        <v>3.9668748442069758E-6</v>
      </c>
      <c r="D2051" s="2"/>
      <c r="E2051" s="2">
        <v>0.73757959618771118</v>
      </c>
      <c r="F2051" s="3">
        <v>156.53283870795249</v>
      </c>
      <c r="G2051" s="3">
        <v>1</v>
      </c>
      <c r="H2051" s="2">
        <v>5.4188793757450959E-5</v>
      </c>
      <c r="I2051" s="4">
        <v>0</v>
      </c>
      <c r="J2051" s="4">
        <v>0.73757959618771118</v>
      </c>
      <c r="K2051" s="5">
        <v>1</v>
      </c>
      <c r="L2051" s="5">
        <v>0</v>
      </c>
      <c r="M2051" s="5">
        <v>0</v>
      </c>
    </row>
    <row r="2052" spans="1:13" hidden="1" x14ac:dyDescent="0.25">
      <c r="A2052" t="s">
        <v>2063</v>
      </c>
      <c r="B2052" s="1">
        <v>1.3915673570111319E-2</v>
      </c>
      <c r="C2052" s="2">
        <v>3.9650664237125836E-6</v>
      </c>
      <c r="D2052" s="2"/>
      <c r="E2052" s="2">
        <v>-0.76354126993580795</v>
      </c>
      <c r="F2052" s="3">
        <v>21.301790338372999</v>
      </c>
      <c r="G2052" s="3">
        <v>1</v>
      </c>
      <c r="H2052" s="2">
        <v>5.4188793757450959E-5</v>
      </c>
      <c r="I2052" s="4">
        <v>0</v>
      </c>
      <c r="J2052" s="4">
        <v>-0.76354126993580795</v>
      </c>
      <c r="K2052" s="5">
        <v>1</v>
      </c>
      <c r="L2052" s="5">
        <v>0</v>
      </c>
      <c r="M2052" s="5">
        <v>0</v>
      </c>
    </row>
    <row r="2053" spans="1:13" hidden="1" x14ac:dyDescent="0.25">
      <c r="A2053" t="s">
        <v>2064</v>
      </c>
      <c r="B2053" s="1">
        <v>1.38984731050986E-2</v>
      </c>
      <c r="C2053" s="2">
        <v>3.9601654043008704E-6</v>
      </c>
      <c r="D2053" s="2"/>
      <c r="E2053" s="2">
        <v>0.2131971734941005</v>
      </c>
      <c r="F2053" s="3">
        <v>109.29294859133481</v>
      </c>
      <c r="G2053" s="3">
        <v>1</v>
      </c>
      <c r="H2053" s="2">
        <v>5.4188793757450959E-5</v>
      </c>
      <c r="I2053" s="4">
        <v>5.5511151231257827E-17</v>
      </c>
      <c r="J2053" s="4">
        <v>0.21319717349410039</v>
      </c>
      <c r="K2053" s="5">
        <v>1</v>
      </c>
      <c r="L2053" s="5">
        <v>0</v>
      </c>
      <c r="M2053" s="5">
        <v>0</v>
      </c>
    </row>
    <row r="2054" spans="1:13" hidden="1" x14ac:dyDescent="0.25">
      <c r="A2054" t="s">
        <v>2065</v>
      </c>
      <c r="B2054" s="1">
        <v>1.387951303260288E-2</v>
      </c>
      <c r="C2054" s="2">
        <v>3.9547630106283562E-6</v>
      </c>
      <c r="D2054" s="2"/>
      <c r="E2054" s="2">
        <v>0.65575058830292221</v>
      </c>
      <c r="F2054" s="3">
        <v>149.16113215651481</v>
      </c>
      <c r="G2054" s="3">
        <v>1</v>
      </c>
      <c r="H2054" s="2">
        <v>5.4188793757450959E-5</v>
      </c>
      <c r="I2054" s="4">
        <v>-1.110223024625157E-16</v>
      </c>
      <c r="J2054" s="4">
        <v>0.65575058830292232</v>
      </c>
      <c r="K2054" s="5">
        <v>1</v>
      </c>
      <c r="L2054" s="5">
        <v>0</v>
      </c>
      <c r="M2054" s="5">
        <v>0</v>
      </c>
    </row>
    <row r="2055" spans="1:13" hidden="1" x14ac:dyDescent="0.25">
      <c r="A2055" t="s">
        <v>2066</v>
      </c>
      <c r="B2055" s="1">
        <v>1.383109899653194E-2</v>
      </c>
      <c r="C2055" s="2">
        <v>3.9409681434310104E-6</v>
      </c>
      <c r="D2055" s="2"/>
      <c r="E2055" s="2">
        <v>0.59703582409108336</v>
      </c>
      <c r="F2055" s="3">
        <v>143.87171189840859</v>
      </c>
      <c r="G2055" s="3">
        <v>1</v>
      </c>
      <c r="H2055" s="2">
        <v>5.4188793757450959E-5</v>
      </c>
      <c r="I2055" s="4">
        <v>-1.110223024625157E-16</v>
      </c>
      <c r="J2055" s="4">
        <v>0.59703582409108347</v>
      </c>
      <c r="K2055" s="5">
        <v>1</v>
      </c>
      <c r="L2055" s="5">
        <v>0</v>
      </c>
      <c r="M2055" s="5">
        <v>0</v>
      </c>
    </row>
    <row r="2056" spans="1:13" hidden="1" x14ac:dyDescent="0.25">
      <c r="A2056" t="s">
        <v>2067</v>
      </c>
      <c r="B2056" s="1">
        <v>1.3816443477233219E-2</v>
      </c>
      <c r="C2056" s="2">
        <v>3.936792268853282E-6</v>
      </c>
      <c r="D2056" s="2"/>
      <c r="E2056" s="2">
        <v>6.1993351464213697E-2</v>
      </c>
      <c r="F2056" s="3">
        <v>95.671492896436504</v>
      </c>
      <c r="G2056" s="3">
        <v>1</v>
      </c>
      <c r="H2056" s="2">
        <v>5.4188793757450959E-5</v>
      </c>
      <c r="I2056" s="4">
        <v>9.7144514654701197E-17</v>
      </c>
      <c r="J2056" s="4">
        <v>6.1993351464213607E-2</v>
      </c>
      <c r="K2056" s="5">
        <v>1</v>
      </c>
      <c r="L2056" s="5">
        <v>0</v>
      </c>
      <c r="M2056" s="5">
        <v>0</v>
      </c>
    </row>
    <row r="2057" spans="1:13" hidden="1" x14ac:dyDescent="0.25">
      <c r="A2057" t="s">
        <v>2068</v>
      </c>
      <c r="B2057" s="1">
        <v>1.3796915363772529E-2</v>
      </c>
      <c r="C2057" s="2">
        <v>3.9312280202661506E-6</v>
      </c>
      <c r="D2057" s="2"/>
      <c r="E2057" s="2">
        <v>0.27173939547074499</v>
      </c>
      <c r="F2057" s="3">
        <v>114.5668250861906</v>
      </c>
      <c r="G2057" s="3">
        <v>1</v>
      </c>
      <c r="H2057" s="2">
        <v>5.4188793757450959E-5</v>
      </c>
      <c r="I2057" s="4">
        <v>0</v>
      </c>
      <c r="J2057" s="4">
        <v>0.27173939547074499</v>
      </c>
      <c r="K2057" s="5">
        <v>1</v>
      </c>
      <c r="L2057" s="5">
        <v>0</v>
      </c>
      <c r="M2057" s="5">
        <v>0</v>
      </c>
    </row>
    <row r="2058" spans="1:13" hidden="1" x14ac:dyDescent="0.25">
      <c r="A2058" t="s">
        <v>2069</v>
      </c>
      <c r="B2058" s="1">
        <v>1.379439593076162E-2</v>
      </c>
      <c r="C2058" s="2">
        <v>3.9305101449015144E-6</v>
      </c>
      <c r="D2058" s="2"/>
      <c r="E2058" s="2" t="s">
        <v>303</v>
      </c>
      <c r="F2058" s="3" t="s">
        <v>303</v>
      </c>
      <c r="G2058" s="3">
        <v>1</v>
      </c>
      <c r="H2058" s="2">
        <v>5.4188793757450959E-5</v>
      </c>
      <c r="I2058" s="4" t="s">
        <v>303</v>
      </c>
      <c r="J2058" s="4">
        <v>0</v>
      </c>
      <c r="K2058" s="5">
        <v>1</v>
      </c>
      <c r="L2058" s="5">
        <v>0</v>
      </c>
      <c r="M2058" s="5">
        <v>0</v>
      </c>
    </row>
    <row r="2059" spans="1:13" x14ac:dyDescent="0.25">
      <c r="A2059" t="s">
        <v>2070</v>
      </c>
      <c r="B2059" s="1">
        <v>1.374455372982312E-2</v>
      </c>
      <c r="C2059" s="2">
        <v>3.9163083431396736E-6</v>
      </c>
      <c r="D2059" s="2"/>
      <c r="E2059" s="2">
        <v>-0.26943998398816532</v>
      </c>
      <c r="F2059" s="3">
        <v>65.813752304504916</v>
      </c>
      <c r="G2059" s="3">
        <v>2</v>
      </c>
      <c r="H2059" s="2">
        <v>1.083775875149019E-4</v>
      </c>
      <c r="I2059" s="4">
        <v>-5.5511151231257827E-17</v>
      </c>
      <c r="J2059" s="4">
        <v>-0.26943998398816521</v>
      </c>
      <c r="K2059" s="5">
        <v>2</v>
      </c>
      <c r="L2059" s="5">
        <v>0</v>
      </c>
      <c r="M2059" s="5">
        <v>0</v>
      </c>
    </row>
    <row r="2060" spans="1:13" hidden="1" x14ac:dyDescent="0.25">
      <c r="A2060" t="s">
        <v>2071</v>
      </c>
      <c r="B2060" s="1">
        <v>1.3735607465645779E-2</v>
      </c>
      <c r="C2060" s="2">
        <v>3.9137592368008024E-6</v>
      </c>
      <c r="D2060" s="2"/>
      <c r="E2060" s="2">
        <v>0.12827325064759559</v>
      </c>
      <c r="F2060" s="3">
        <v>101.64243131630209</v>
      </c>
      <c r="G2060" s="3">
        <v>1</v>
      </c>
      <c r="H2060" s="2">
        <v>5.4188793757450959E-5</v>
      </c>
      <c r="I2060" s="4">
        <v>-2.775557561562891E-17</v>
      </c>
      <c r="J2060" s="4">
        <v>0.1282732506475957</v>
      </c>
      <c r="K2060" s="5">
        <v>1</v>
      </c>
      <c r="L2060" s="5">
        <v>0</v>
      </c>
      <c r="M2060" s="5">
        <v>0</v>
      </c>
    </row>
    <row r="2061" spans="1:13" hidden="1" x14ac:dyDescent="0.25">
      <c r="A2061" t="s">
        <v>2072</v>
      </c>
      <c r="B2061" s="1">
        <v>1.365021281913738E-2</v>
      </c>
      <c r="C2061" s="2">
        <v>3.8894272888049459E-6</v>
      </c>
      <c r="D2061" s="2"/>
      <c r="E2061" s="2">
        <v>-0.51352318434211885</v>
      </c>
      <c r="F2061" s="3">
        <v>43.825098480442207</v>
      </c>
      <c r="G2061" s="3">
        <v>1</v>
      </c>
      <c r="H2061" s="2">
        <v>5.4188793757450959E-5</v>
      </c>
      <c r="I2061" s="4">
        <v>-1.110223024625157E-16</v>
      </c>
      <c r="J2061" s="4">
        <v>-0.51352318434211874</v>
      </c>
      <c r="K2061" s="5">
        <v>1</v>
      </c>
      <c r="L2061" s="5">
        <v>0</v>
      </c>
      <c r="M2061" s="5">
        <v>0</v>
      </c>
    </row>
    <row r="2062" spans="1:13" hidden="1" x14ac:dyDescent="0.25">
      <c r="A2062" t="s">
        <v>2073</v>
      </c>
      <c r="B2062" s="1">
        <v>1.364004462556578E-2</v>
      </c>
      <c r="C2062" s="2">
        <v>3.8865300116650781E-6</v>
      </c>
      <c r="D2062" s="2"/>
      <c r="E2062" s="2">
        <v>1.0696331266139121</v>
      </c>
      <c r="F2062" s="3">
        <v>186.44645062803369</v>
      </c>
      <c r="G2062" s="3">
        <v>1</v>
      </c>
      <c r="H2062" s="2">
        <v>5.4188793757450959E-5</v>
      </c>
      <c r="I2062" s="4">
        <v>2.2204460492503131E-16</v>
      </c>
      <c r="J2062" s="4">
        <v>1.0696331266139121</v>
      </c>
      <c r="K2062" s="5">
        <v>1</v>
      </c>
      <c r="L2062" s="5">
        <v>0</v>
      </c>
      <c r="M2062" s="5">
        <v>0</v>
      </c>
    </row>
    <row r="2063" spans="1:13" hidden="1" x14ac:dyDescent="0.25">
      <c r="A2063" t="s">
        <v>2074</v>
      </c>
      <c r="B2063" s="1">
        <v>1.359789049202724E-2</v>
      </c>
      <c r="C2063" s="2">
        <v>3.8745188115839442E-6</v>
      </c>
      <c r="D2063" s="2"/>
      <c r="E2063" s="2">
        <v>0.1425184987200685</v>
      </c>
      <c r="F2063" s="3">
        <v>102.9257389263681</v>
      </c>
      <c r="G2063" s="3">
        <v>1</v>
      </c>
      <c r="H2063" s="2">
        <v>5.4188793757450959E-5</v>
      </c>
      <c r="I2063" s="4">
        <v>1.110223024625157E-16</v>
      </c>
      <c r="J2063" s="4">
        <v>0.14251849872006839</v>
      </c>
      <c r="K2063" s="5">
        <v>1</v>
      </c>
      <c r="L2063" s="5">
        <v>0</v>
      </c>
      <c r="M2063" s="5">
        <v>0</v>
      </c>
    </row>
    <row r="2064" spans="1:13" hidden="1" x14ac:dyDescent="0.25">
      <c r="A2064" t="s">
        <v>2075</v>
      </c>
      <c r="B2064" s="1">
        <v>1.3596259984715061E-2</v>
      </c>
      <c r="C2064" s="2">
        <v>3.8740542225171916E-6</v>
      </c>
      <c r="D2064" s="2"/>
      <c r="E2064" s="2">
        <v>0.40895560262682151</v>
      </c>
      <c r="F2064" s="3">
        <v>126.9281824996893</v>
      </c>
      <c r="G2064" s="3">
        <v>1</v>
      </c>
      <c r="H2064" s="2">
        <v>5.4188793757450959E-5</v>
      </c>
      <c r="I2064" s="4">
        <v>-5.5511151231257827E-17</v>
      </c>
      <c r="J2064" s="4">
        <v>0.40895560262682162</v>
      </c>
      <c r="K2064" s="5">
        <v>1</v>
      </c>
      <c r="L2064" s="5">
        <v>0</v>
      </c>
      <c r="M2064" s="5">
        <v>0</v>
      </c>
    </row>
    <row r="2065" spans="1:13" hidden="1" x14ac:dyDescent="0.25">
      <c r="A2065" t="s">
        <v>2076</v>
      </c>
      <c r="B2065" s="1">
        <v>1.357097320694515E-2</v>
      </c>
      <c r="C2065" s="2">
        <v>3.8668491272701544E-6</v>
      </c>
      <c r="D2065" s="2"/>
      <c r="E2065" s="2">
        <v>-0.17295235334310291</v>
      </c>
      <c r="F2065" s="3">
        <v>74.506006033895758</v>
      </c>
      <c r="G2065" s="3">
        <v>1</v>
      </c>
      <c r="H2065" s="2">
        <v>5.4188793757450959E-5</v>
      </c>
      <c r="I2065" s="4">
        <v>-2.775557561562891E-17</v>
      </c>
      <c r="J2065" s="4">
        <v>-0.17295235334310291</v>
      </c>
      <c r="K2065" s="5">
        <v>1</v>
      </c>
      <c r="L2065" s="5">
        <v>0</v>
      </c>
      <c r="M2065" s="5">
        <v>0</v>
      </c>
    </row>
    <row r="2066" spans="1:13" hidden="1" x14ac:dyDescent="0.25">
      <c r="A2066" t="s">
        <v>2077</v>
      </c>
      <c r="B2066" s="1">
        <v>1.355869212024681E-2</v>
      </c>
      <c r="C2066" s="2">
        <v>3.8633498123236689E-6</v>
      </c>
      <c r="D2066" s="2"/>
      <c r="E2066" s="2">
        <v>-0.77278856474952384</v>
      </c>
      <c r="F2066" s="3">
        <v>20.468731921517659</v>
      </c>
      <c r="G2066" s="3">
        <v>2</v>
      </c>
      <c r="H2066" s="2">
        <v>1.083775875149019E-4</v>
      </c>
      <c r="I2066" s="4">
        <v>1.110223024625157E-16</v>
      </c>
      <c r="J2066" s="4">
        <v>-0.77278856474952395</v>
      </c>
      <c r="K2066" s="5">
        <v>2</v>
      </c>
      <c r="L2066" s="5">
        <v>0</v>
      </c>
      <c r="M2066" s="5">
        <v>0</v>
      </c>
    </row>
    <row r="2067" spans="1:13" hidden="1" x14ac:dyDescent="0.25">
      <c r="A2067" t="s">
        <v>2078</v>
      </c>
      <c r="B2067" s="1">
        <v>1.355800482031367E-2</v>
      </c>
      <c r="C2067" s="2">
        <v>3.8631539763208921E-6</v>
      </c>
      <c r="D2067" s="2"/>
      <c r="E2067" s="2">
        <v>7.0702703969052427E-2</v>
      </c>
      <c r="F2067" s="3">
        <v>96.456089857566667</v>
      </c>
      <c r="G2067" s="3">
        <v>1</v>
      </c>
      <c r="H2067" s="2">
        <v>5.4188793757450959E-5</v>
      </c>
      <c r="I2067" s="4">
        <v>1.8041124150158789E-16</v>
      </c>
      <c r="J2067" s="4">
        <v>7.0702703969052247E-2</v>
      </c>
      <c r="K2067" s="5">
        <v>1</v>
      </c>
      <c r="L2067" s="5">
        <v>0</v>
      </c>
      <c r="M2067" s="5">
        <v>0</v>
      </c>
    </row>
    <row r="2068" spans="1:13" hidden="1" x14ac:dyDescent="0.25">
      <c r="A2068" t="s">
        <v>2079</v>
      </c>
      <c r="B2068" s="1">
        <v>1.3534611809634471E-2</v>
      </c>
      <c r="C2068" s="2">
        <v>3.8564884821407987E-6</v>
      </c>
      <c r="D2068" s="2"/>
      <c r="E2068" s="2">
        <v>2.65762518280559E-2</v>
      </c>
      <c r="F2068" s="3">
        <v>92.480882718339529</v>
      </c>
      <c r="G2068" s="3">
        <v>1</v>
      </c>
      <c r="H2068" s="2">
        <v>5.4188793757450959E-5</v>
      </c>
      <c r="I2068" s="4">
        <v>5.2041704279304213E-17</v>
      </c>
      <c r="J2068" s="4">
        <v>2.6576251828055841E-2</v>
      </c>
      <c r="K2068" s="5">
        <v>1</v>
      </c>
      <c r="L2068" s="5">
        <v>0</v>
      </c>
      <c r="M2068" s="5">
        <v>0</v>
      </c>
    </row>
    <row r="2069" spans="1:13" hidden="1" x14ac:dyDescent="0.25">
      <c r="A2069" t="s">
        <v>2080</v>
      </c>
      <c r="B2069" s="1">
        <v>1.3495366400764489E-2</v>
      </c>
      <c r="C2069" s="2">
        <v>3.8453060803539779E-6</v>
      </c>
      <c r="D2069" s="2"/>
      <c r="E2069" s="2">
        <v>-0.59195467039806959</v>
      </c>
      <c r="F2069" s="3">
        <v>36.759463511340698</v>
      </c>
      <c r="G2069" s="3">
        <v>1</v>
      </c>
      <c r="H2069" s="2">
        <v>5.4188793757450959E-5</v>
      </c>
      <c r="I2069" s="4">
        <v>1.110223024625157E-16</v>
      </c>
      <c r="J2069" s="4">
        <v>-0.59195467039806982</v>
      </c>
      <c r="K2069" s="5">
        <v>1</v>
      </c>
      <c r="L2069" s="5">
        <v>0</v>
      </c>
      <c r="M2069" s="5">
        <v>0</v>
      </c>
    </row>
    <row r="2070" spans="1:13" hidden="1" x14ac:dyDescent="0.25">
      <c r="A2070" t="s">
        <v>2081</v>
      </c>
      <c r="B2070" s="1">
        <v>1.348958655940352E-2</v>
      </c>
      <c r="C2070" s="2">
        <v>3.843659199604779E-6</v>
      </c>
      <c r="D2070" s="2"/>
      <c r="E2070" s="2">
        <v>-0.48119047705031659</v>
      </c>
      <c r="F2070" s="3">
        <v>46.73784588298038</v>
      </c>
      <c r="G2070" s="3">
        <v>1</v>
      </c>
      <c r="H2070" s="2">
        <v>5.4188793757450959E-5</v>
      </c>
      <c r="I2070" s="4">
        <v>5.5511151231257827E-17</v>
      </c>
      <c r="J2070" s="4">
        <v>-0.48119047705031681</v>
      </c>
      <c r="K2070" s="5">
        <v>1</v>
      </c>
      <c r="L2070" s="5">
        <v>0</v>
      </c>
      <c r="M2070" s="5">
        <v>0</v>
      </c>
    </row>
    <row r="2071" spans="1:13" hidden="1" x14ac:dyDescent="0.25">
      <c r="A2071" t="s">
        <v>2082</v>
      </c>
      <c r="B2071" s="1">
        <v>1.3457603234631139E-2</v>
      </c>
      <c r="C2071" s="2">
        <v>3.8345460218247241E-6</v>
      </c>
      <c r="D2071" s="2"/>
      <c r="E2071" s="2">
        <v>0.28941402225505802</v>
      </c>
      <c r="F2071" s="3">
        <v>116.1590741605479</v>
      </c>
      <c r="G2071" s="3">
        <v>1</v>
      </c>
      <c r="H2071" s="2">
        <v>5.4188793757450959E-5</v>
      </c>
      <c r="I2071" s="4">
        <v>5.5511151231257827E-17</v>
      </c>
      <c r="J2071" s="4">
        <v>0.28941402225505802</v>
      </c>
      <c r="K2071" s="5">
        <v>1</v>
      </c>
      <c r="L2071" s="5">
        <v>0</v>
      </c>
      <c r="M2071" s="5">
        <v>0</v>
      </c>
    </row>
    <row r="2072" spans="1:13" hidden="1" x14ac:dyDescent="0.25">
      <c r="A2072" t="s">
        <v>2083</v>
      </c>
      <c r="B2072" s="1">
        <v>1.3449721574413079E-2</v>
      </c>
      <c r="C2072" s="2">
        <v>3.8323002587190916E-6</v>
      </c>
      <c r="D2072" s="2"/>
      <c r="E2072" s="2">
        <v>-0.81678351947418715</v>
      </c>
      <c r="F2072" s="3">
        <v>16.505370952622268</v>
      </c>
      <c r="G2072" s="3">
        <v>1</v>
      </c>
      <c r="H2072" s="2">
        <v>5.4188793757450959E-5</v>
      </c>
      <c r="I2072" s="4">
        <v>0</v>
      </c>
      <c r="J2072" s="4">
        <v>-0.81678351947418715</v>
      </c>
      <c r="K2072" s="5">
        <v>1</v>
      </c>
      <c r="L2072" s="5">
        <v>0</v>
      </c>
      <c r="M2072" s="5">
        <v>0</v>
      </c>
    </row>
    <row r="2073" spans="1:13" hidden="1" x14ac:dyDescent="0.25">
      <c r="A2073" t="s">
        <v>2084</v>
      </c>
      <c r="B2073" s="1">
        <v>1.3401350120901731E-2</v>
      </c>
      <c r="C2073" s="2">
        <v>3.818517524795527E-6</v>
      </c>
      <c r="D2073" s="2"/>
      <c r="E2073" s="2">
        <v>-0.35801742858195729</v>
      </c>
      <c r="F2073" s="3">
        <v>57.834101255319382</v>
      </c>
      <c r="G2073" s="3">
        <v>1</v>
      </c>
      <c r="H2073" s="2">
        <v>5.4188793757450959E-5</v>
      </c>
      <c r="I2073" s="4">
        <v>5.5511151231257827E-17</v>
      </c>
      <c r="J2073" s="4">
        <v>-0.35801742858195729</v>
      </c>
      <c r="K2073" s="5">
        <v>1</v>
      </c>
      <c r="L2073" s="5">
        <v>0</v>
      </c>
      <c r="M2073" s="5">
        <v>0</v>
      </c>
    </row>
    <row r="2074" spans="1:13" hidden="1" x14ac:dyDescent="0.25">
      <c r="A2074" t="s">
        <v>2085</v>
      </c>
      <c r="B2074" s="1">
        <v>1.3355712781482209E-2</v>
      </c>
      <c r="C2074" s="2">
        <v>3.8055138364517189E-6</v>
      </c>
      <c r="D2074" s="2"/>
      <c r="E2074" s="2">
        <v>-0.1294371927995166</v>
      </c>
      <c r="F2074" s="3">
        <v>78.426143920910846</v>
      </c>
      <c r="G2074" s="3">
        <v>1</v>
      </c>
      <c r="H2074" s="2">
        <v>5.4188793757450959E-5</v>
      </c>
      <c r="I2074" s="4">
        <v>-2.775557561562891E-17</v>
      </c>
      <c r="J2074" s="4">
        <v>-0.1294371927995166</v>
      </c>
      <c r="K2074" s="5">
        <v>1</v>
      </c>
      <c r="L2074" s="5">
        <v>0</v>
      </c>
      <c r="M2074" s="5">
        <v>0</v>
      </c>
    </row>
    <row r="2075" spans="1:13" hidden="1" x14ac:dyDescent="0.25">
      <c r="A2075" t="s">
        <v>2086</v>
      </c>
      <c r="B2075" s="1">
        <v>1.3345671172299241E-2</v>
      </c>
      <c r="C2075" s="2">
        <v>3.8026526276707838E-6</v>
      </c>
      <c r="D2075" s="2"/>
      <c r="E2075" s="2">
        <v>1.9947469842104489E-2</v>
      </c>
      <c r="F2075" s="3">
        <v>91.883717521583264</v>
      </c>
      <c r="G2075" s="3">
        <v>1</v>
      </c>
      <c r="H2075" s="2">
        <v>5.4188793757450959E-5</v>
      </c>
      <c r="I2075" s="4">
        <v>-5.8980598183211441E-17</v>
      </c>
      <c r="J2075" s="4">
        <v>1.9947469842104552E-2</v>
      </c>
      <c r="K2075" s="5">
        <v>1</v>
      </c>
      <c r="L2075" s="5">
        <v>0</v>
      </c>
      <c r="M2075" s="5">
        <v>0</v>
      </c>
    </row>
    <row r="2076" spans="1:13" hidden="1" x14ac:dyDescent="0.25">
      <c r="A2076" t="s">
        <v>2087</v>
      </c>
      <c r="B2076" s="1">
        <v>1.333097225748473E-2</v>
      </c>
      <c r="C2076" s="2">
        <v>3.798464388179364E-6</v>
      </c>
      <c r="D2076" s="2"/>
      <c r="E2076" s="2">
        <v>0.23661524706546719</v>
      </c>
      <c r="F2076" s="3">
        <v>111.4026059222798</v>
      </c>
      <c r="G2076" s="3">
        <v>1</v>
      </c>
      <c r="H2076" s="2">
        <v>5.4188793757450959E-5</v>
      </c>
      <c r="I2076" s="4">
        <v>-2.775557561562891E-17</v>
      </c>
      <c r="J2076" s="4">
        <v>0.23661524706546719</v>
      </c>
      <c r="K2076" s="5">
        <v>1</v>
      </c>
      <c r="L2076" s="5">
        <v>0</v>
      </c>
      <c r="M2076" s="5">
        <v>0</v>
      </c>
    </row>
    <row r="2077" spans="1:13" hidden="1" x14ac:dyDescent="0.25">
      <c r="A2077" t="s">
        <v>2088</v>
      </c>
      <c r="B2077" s="1">
        <v>1.332686653163211E-2</v>
      </c>
      <c r="C2077" s="2">
        <v>3.797294522010747E-6</v>
      </c>
      <c r="D2077" s="2"/>
      <c r="E2077" s="2">
        <v>-0.409216099861752</v>
      </c>
      <c r="F2077" s="3">
        <v>53.221781122713622</v>
      </c>
      <c r="G2077" s="3">
        <v>1</v>
      </c>
      <c r="H2077" s="2">
        <v>5.4188793757450959E-5</v>
      </c>
      <c r="I2077" s="4">
        <v>0</v>
      </c>
      <c r="J2077" s="4">
        <v>-0.409216099861752</v>
      </c>
      <c r="K2077" s="5">
        <v>1</v>
      </c>
      <c r="L2077" s="5">
        <v>0</v>
      </c>
      <c r="M2077" s="5">
        <v>0</v>
      </c>
    </row>
    <row r="2078" spans="1:13" hidden="1" x14ac:dyDescent="0.25">
      <c r="A2078" t="s">
        <v>2089</v>
      </c>
      <c r="B2078" s="1">
        <v>1.332328897282772E-2</v>
      </c>
      <c r="C2078" s="2">
        <v>3.79627514927089E-6</v>
      </c>
      <c r="D2078" s="2"/>
      <c r="E2078" s="2">
        <v>-0.2550231540346044</v>
      </c>
      <c r="F2078" s="3">
        <v>67.112517162674294</v>
      </c>
      <c r="G2078" s="3">
        <v>1</v>
      </c>
      <c r="H2078" s="2">
        <v>5.4188793757450959E-5</v>
      </c>
      <c r="I2078" s="4">
        <v>0</v>
      </c>
      <c r="J2078" s="4">
        <v>-0.2550231540346044</v>
      </c>
      <c r="K2078" s="5">
        <v>1</v>
      </c>
      <c r="L2078" s="5">
        <v>0</v>
      </c>
      <c r="M2078" s="5">
        <v>0</v>
      </c>
    </row>
    <row r="2079" spans="1:13" hidden="1" x14ac:dyDescent="0.25">
      <c r="A2079" t="s">
        <v>2090</v>
      </c>
      <c r="B2079" s="1">
        <v>1.319634636876006E-2</v>
      </c>
      <c r="C2079" s="2">
        <v>3.760104722119708E-6</v>
      </c>
      <c r="D2079" s="2"/>
      <c r="E2079" s="2">
        <v>-0.71641919851738212</v>
      </c>
      <c r="F2079" s="3">
        <v>25.54686297913635</v>
      </c>
      <c r="G2079" s="3">
        <v>2</v>
      </c>
      <c r="H2079" s="2">
        <v>1.083775875149019E-4</v>
      </c>
      <c r="I2079" s="4">
        <v>-2.2204460492503131E-16</v>
      </c>
      <c r="J2079" s="4">
        <v>-0.71641919851738189</v>
      </c>
      <c r="K2079" s="5">
        <v>2</v>
      </c>
      <c r="L2079" s="5">
        <v>0</v>
      </c>
      <c r="M2079" s="5">
        <v>0</v>
      </c>
    </row>
    <row r="2080" spans="1:13" hidden="1" x14ac:dyDescent="0.25">
      <c r="A2080" t="s">
        <v>2091</v>
      </c>
      <c r="B2080" s="1">
        <v>1.315055708154864E-2</v>
      </c>
      <c r="C2080" s="2">
        <v>3.7470577384884088E-6</v>
      </c>
      <c r="D2080" s="2"/>
      <c r="E2080" s="2">
        <v>-0.55940435854365766</v>
      </c>
      <c r="F2080" s="3">
        <v>39.691814194198159</v>
      </c>
      <c r="G2080" s="3">
        <v>1</v>
      </c>
      <c r="H2080" s="2">
        <v>5.4188793757450959E-5</v>
      </c>
      <c r="I2080" s="4">
        <v>0</v>
      </c>
      <c r="J2080" s="4">
        <v>-0.55940435854365766</v>
      </c>
      <c r="K2080" s="5">
        <v>1</v>
      </c>
      <c r="L2080" s="5">
        <v>0</v>
      </c>
      <c r="M2080" s="5">
        <v>1</v>
      </c>
    </row>
    <row r="2081" spans="1:13" hidden="1" x14ac:dyDescent="0.25">
      <c r="A2081" t="s">
        <v>2092</v>
      </c>
      <c r="B2081" s="1">
        <v>1.310106130298298E-2</v>
      </c>
      <c r="C2081" s="2">
        <v>3.732954644684333E-6</v>
      </c>
      <c r="D2081" s="2"/>
      <c r="E2081" s="2">
        <v>-0.44635457718424248</v>
      </c>
      <c r="F2081" s="3">
        <v>49.876097682752032</v>
      </c>
      <c r="G2081" s="3">
        <v>1</v>
      </c>
      <c r="H2081" s="2">
        <v>5.4188793757450959E-5</v>
      </c>
      <c r="I2081" s="4">
        <v>0</v>
      </c>
      <c r="J2081" s="4">
        <v>-0.44635457718424248</v>
      </c>
      <c r="K2081" s="5">
        <v>1</v>
      </c>
      <c r="L2081" s="5">
        <v>0</v>
      </c>
      <c r="M2081" s="5">
        <v>0</v>
      </c>
    </row>
    <row r="2082" spans="1:13" hidden="1" x14ac:dyDescent="0.25">
      <c r="A2082" t="s">
        <v>2093</v>
      </c>
      <c r="B2082" s="1">
        <v>1.3094175951340759E-2</v>
      </c>
      <c r="C2082" s="2">
        <v>3.7309927650473541E-6</v>
      </c>
      <c r="D2082" s="2"/>
      <c r="E2082" s="2">
        <v>-0.73893612109700535</v>
      </c>
      <c r="F2082" s="3">
        <v>23.518387381190351</v>
      </c>
      <c r="G2082" s="3">
        <v>1</v>
      </c>
      <c r="H2082" s="2">
        <v>5.4188793757450959E-5</v>
      </c>
      <c r="I2082" s="4">
        <v>-2.3141075139189279E-2</v>
      </c>
      <c r="J2082" s="4">
        <v>-0.71579504595781607</v>
      </c>
      <c r="K2082" s="5">
        <v>1</v>
      </c>
      <c r="L2082" s="5">
        <v>0</v>
      </c>
      <c r="M2082" s="5">
        <v>0</v>
      </c>
    </row>
    <row r="2083" spans="1:13" hidden="1" x14ac:dyDescent="0.25">
      <c r="A2083" t="s">
        <v>2094</v>
      </c>
      <c r="B2083" s="1">
        <v>1.306704923360035E-2</v>
      </c>
      <c r="C2083" s="2">
        <v>3.7232634059792422E-6</v>
      </c>
      <c r="D2083" s="2"/>
      <c r="E2083" s="2">
        <v>-0.14797807988303341</v>
      </c>
      <c r="F2083" s="3">
        <v>76.755856301446343</v>
      </c>
      <c r="G2083" s="3">
        <v>1</v>
      </c>
      <c r="H2083" s="2">
        <v>5.4188793757450959E-5</v>
      </c>
      <c r="I2083" s="4">
        <v>-5.5511151231257827E-17</v>
      </c>
      <c r="J2083" s="4">
        <v>-0.1479780798830333</v>
      </c>
      <c r="K2083" s="5">
        <v>1</v>
      </c>
      <c r="L2083" s="5">
        <v>0</v>
      </c>
      <c r="M2083" s="5">
        <v>1</v>
      </c>
    </row>
    <row r="2084" spans="1:13" hidden="1" x14ac:dyDescent="0.25">
      <c r="A2084" t="s">
        <v>2095</v>
      </c>
      <c r="B2084" s="1">
        <v>1.306585362367968E-2</v>
      </c>
      <c r="C2084" s="2">
        <v>3.7229227345249691E-6</v>
      </c>
      <c r="D2084" s="2"/>
      <c r="E2084" s="2">
        <v>-0.13030320220083991</v>
      </c>
      <c r="F2084" s="3">
        <v>78.348127978369689</v>
      </c>
      <c r="G2084" s="3">
        <v>1</v>
      </c>
      <c r="H2084" s="2">
        <v>5.4188793757450959E-5</v>
      </c>
      <c r="I2084" s="4">
        <v>-5.5511151231257827E-17</v>
      </c>
      <c r="J2084" s="4">
        <v>-0.13030320220083991</v>
      </c>
      <c r="K2084" s="5">
        <v>1</v>
      </c>
      <c r="L2084" s="5">
        <v>0</v>
      </c>
      <c r="M2084" s="5">
        <v>0</v>
      </c>
    </row>
    <row r="2085" spans="1:13" hidden="1" x14ac:dyDescent="0.25">
      <c r="A2085" t="s">
        <v>2096</v>
      </c>
      <c r="B2085" s="1">
        <v>1.297789832543699E-2</v>
      </c>
      <c r="C2085" s="2">
        <v>3.697861166495755E-6</v>
      </c>
      <c r="D2085" s="2"/>
      <c r="E2085" s="2">
        <v>-0.7537077918267503</v>
      </c>
      <c r="F2085" s="3">
        <v>22.18765608297571</v>
      </c>
      <c r="G2085" s="3">
        <v>2</v>
      </c>
      <c r="H2085" s="2">
        <v>1.083775875149019E-4</v>
      </c>
      <c r="I2085" s="4">
        <v>1.110223024625157E-16</v>
      </c>
      <c r="J2085" s="4">
        <v>-0.75370779182675052</v>
      </c>
      <c r="K2085" s="5">
        <v>2</v>
      </c>
      <c r="L2085" s="5">
        <v>0</v>
      </c>
      <c r="M2085" s="5">
        <v>1</v>
      </c>
    </row>
    <row r="2086" spans="1:13" hidden="1" x14ac:dyDescent="0.25">
      <c r="A2086" t="s">
        <v>2097</v>
      </c>
      <c r="B2086" s="1">
        <v>1.294929648407534E-2</v>
      </c>
      <c r="C2086" s="2">
        <v>3.689711492657255E-6</v>
      </c>
      <c r="D2086" s="2"/>
      <c r="E2086" s="2" t="s">
        <v>303</v>
      </c>
      <c r="F2086" s="3" t="s">
        <v>303</v>
      </c>
      <c r="G2086" s="3">
        <v>1</v>
      </c>
      <c r="H2086" s="2">
        <v>5.4188793757450959E-5</v>
      </c>
      <c r="I2086" s="4" t="s">
        <v>303</v>
      </c>
      <c r="J2086" s="4">
        <v>0</v>
      </c>
      <c r="K2086" s="5">
        <v>0</v>
      </c>
      <c r="L2086" s="5">
        <v>0</v>
      </c>
      <c r="M2086" s="5">
        <v>0</v>
      </c>
    </row>
    <row r="2087" spans="1:13" hidden="1" x14ac:dyDescent="0.25">
      <c r="A2087" t="s">
        <v>2098</v>
      </c>
      <c r="B2087" s="1">
        <v>1.2945204608837781E-2</v>
      </c>
      <c r="C2087" s="2">
        <v>3.6885455730175971E-6</v>
      </c>
      <c r="D2087" s="2"/>
      <c r="E2087" s="2">
        <v>-0.63067732293431478</v>
      </c>
      <c r="F2087" s="3">
        <v>33.271066929625</v>
      </c>
      <c r="G2087" s="3">
        <v>1</v>
      </c>
      <c r="H2087" s="2">
        <v>5.4188793757450959E-5</v>
      </c>
      <c r="I2087" s="4">
        <v>1.110223024625157E-16</v>
      </c>
      <c r="J2087" s="4">
        <v>-0.63067732293431489</v>
      </c>
      <c r="K2087" s="5">
        <v>1</v>
      </c>
      <c r="L2087" s="5">
        <v>0</v>
      </c>
      <c r="M2087" s="5">
        <v>0</v>
      </c>
    </row>
    <row r="2088" spans="1:13" hidden="1" x14ac:dyDescent="0.25">
      <c r="A2088" t="s">
        <v>2099</v>
      </c>
      <c r="B2088" s="1">
        <v>1.2877076233970211E-2</v>
      </c>
      <c r="C2088" s="2">
        <v>3.6691333950638289E-6</v>
      </c>
      <c r="D2088" s="2"/>
      <c r="E2088" s="2">
        <v>7.3341802360850084E-2</v>
      </c>
      <c r="F2088" s="3">
        <v>96.693837563515814</v>
      </c>
      <c r="G2088" s="3">
        <v>1</v>
      </c>
      <c r="H2088" s="2">
        <v>5.4188793757450959E-5</v>
      </c>
      <c r="I2088" s="4">
        <v>-1.387778780781446E-17</v>
      </c>
      <c r="J2088" s="4">
        <v>7.3341802360850097E-2</v>
      </c>
      <c r="K2088" s="5">
        <v>1</v>
      </c>
      <c r="L2088" s="5">
        <v>0</v>
      </c>
      <c r="M2088" s="5">
        <v>0</v>
      </c>
    </row>
    <row r="2089" spans="1:13" hidden="1" x14ac:dyDescent="0.25">
      <c r="A2089" t="s">
        <v>2100</v>
      </c>
      <c r="B2089" s="1">
        <v>1.2871354095334429E-2</v>
      </c>
      <c r="C2089" s="2">
        <v>3.6675029558571159E-6</v>
      </c>
      <c r="D2089" s="2"/>
      <c r="E2089" s="2" t="s">
        <v>303</v>
      </c>
      <c r="F2089" s="3" t="s">
        <v>303</v>
      </c>
      <c r="G2089" s="3">
        <v>1</v>
      </c>
      <c r="H2089" s="2">
        <v>5.4188793757450959E-5</v>
      </c>
      <c r="I2089" s="4" t="s">
        <v>303</v>
      </c>
      <c r="J2089" s="4">
        <v>0</v>
      </c>
      <c r="K2089" s="5">
        <v>1</v>
      </c>
      <c r="L2089" s="5">
        <v>0</v>
      </c>
      <c r="M2089" s="5">
        <v>0</v>
      </c>
    </row>
    <row r="2090" spans="1:13" hidden="1" x14ac:dyDescent="0.25">
      <c r="A2090" t="s">
        <v>2101</v>
      </c>
      <c r="B2090" s="1">
        <v>1.286494737394759E-2</v>
      </c>
      <c r="C2090" s="2">
        <v>3.6656774548686768E-6</v>
      </c>
      <c r="D2090" s="2"/>
      <c r="E2090" s="2">
        <v>-0.30246422170110482</v>
      </c>
      <c r="F2090" s="3">
        <v>62.838707197671063</v>
      </c>
      <c r="G2090" s="3">
        <v>1</v>
      </c>
      <c r="H2090" s="2">
        <v>5.4188793757450959E-5</v>
      </c>
      <c r="I2090" s="4">
        <v>-1.110223024625157E-16</v>
      </c>
      <c r="J2090" s="4">
        <v>-0.30246422170110471</v>
      </c>
      <c r="K2090" s="5">
        <v>1</v>
      </c>
      <c r="L2090" s="5">
        <v>0</v>
      </c>
      <c r="M2090" s="5">
        <v>0</v>
      </c>
    </row>
    <row r="2091" spans="1:13" hidden="1" x14ac:dyDescent="0.25">
      <c r="A2091" t="s">
        <v>2102</v>
      </c>
      <c r="B2091" s="1">
        <v>1.2857303131323191E-2</v>
      </c>
      <c r="C2091" s="2">
        <v>3.6634993404129162E-6</v>
      </c>
      <c r="D2091" s="2"/>
      <c r="E2091" s="2">
        <v>0.77336826647624268</v>
      </c>
      <c r="F2091" s="3">
        <v>159.7569224656911</v>
      </c>
      <c r="G2091" s="3">
        <v>1</v>
      </c>
      <c r="H2091" s="2">
        <v>5.4188793757450959E-5</v>
      </c>
      <c r="I2091" s="4">
        <v>3.3306690738754701E-16</v>
      </c>
      <c r="J2091" s="4">
        <v>0.77336826647624235</v>
      </c>
      <c r="K2091" s="5">
        <v>1</v>
      </c>
      <c r="L2091" s="5">
        <v>0</v>
      </c>
      <c r="M2091" s="5">
        <v>0</v>
      </c>
    </row>
    <row r="2092" spans="1:13" hidden="1" x14ac:dyDescent="0.25">
      <c r="A2092" t="s">
        <v>2103</v>
      </c>
      <c r="B2092" s="1">
        <v>1.284776480929967E-2</v>
      </c>
      <c r="C2092" s="2">
        <v>3.660781535902521E-6</v>
      </c>
      <c r="D2092" s="2"/>
      <c r="E2092" s="2">
        <v>-0.52507669939707213</v>
      </c>
      <c r="F2092" s="3">
        <v>42.784280256877182</v>
      </c>
      <c r="G2092" s="3">
        <v>2</v>
      </c>
      <c r="H2092" s="2">
        <v>1.083775875149019E-4</v>
      </c>
      <c r="I2092" s="4">
        <v>1.110223024625157E-16</v>
      </c>
      <c r="J2092" s="4">
        <v>-0.52507669939707224</v>
      </c>
      <c r="K2092" s="5">
        <v>2</v>
      </c>
      <c r="L2092" s="5">
        <v>0</v>
      </c>
      <c r="M2092" s="5">
        <v>0</v>
      </c>
    </row>
    <row r="2093" spans="1:13" hidden="1" x14ac:dyDescent="0.25">
      <c r="A2093" t="s">
        <v>2104</v>
      </c>
      <c r="B2093" s="1">
        <v>1.283770335555832E-2</v>
      </c>
      <c r="C2093" s="2">
        <v>3.6579146727066741E-6</v>
      </c>
      <c r="D2093" s="2"/>
      <c r="E2093" s="2">
        <v>-0.81419962098286824</v>
      </c>
      <c r="F2093" s="3">
        <v>16.738145880842399</v>
      </c>
      <c r="G2093" s="3">
        <v>1</v>
      </c>
      <c r="H2093" s="2">
        <v>5.4188793757450959E-5</v>
      </c>
      <c r="I2093" s="4">
        <v>-1.110223024625157E-16</v>
      </c>
      <c r="J2093" s="4">
        <v>-0.81419962098286813</v>
      </c>
      <c r="K2093" s="5">
        <v>1</v>
      </c>
      <c r="L2093" s="5">
        <v>0</v>
      </c>
      <c r="M2093" s="5">
        <v>0</v>
      </c>
    </row>
    <row r="2094" spans="1:13" hidden="1" x14ac:dyDescent="0.25">
      <c r="A2094" t="s">
        <v>2105</v>
      </c>
      <c r="B2094" s="1">
        <v>1.2795667150806231E-2</v>
      </c>
      <c r="C2094" s="2">
        <v>3.645937074697993E-6</v>
      </c>
      <c r="D2094" s="2"/>
      <c r="E2094" s="2">
        <v>0.2308825159307584</v>
      </c>
      <c r="F2094" s="3">
        <v>110.8861630036162</v>
      </c>
      <c r="G2094" s="3">
        <v>1</v>
      </c>
      <c r="H2094" s="2">
        <v>5.4188793757450959E-5</v>
      </c>
      <c r="I2094" s="4">
        <v>-5.5511151231257827E-17</v>
      </c>
      <c r="J2094" s="4">
        <v>0.2308825159307584</v>
      </c>
      <c r="K2094" s="5">
        <v>1</v>
      </c>
      <c r="L2094" s="5">
        <v>0</v>
      </c>
      <c r="M2094" s="5">
        <v>0</v>
      </c>
    </row>
    <row r="2095" spans="1:13" hidden="1" x14ac:dyDescent="0.25">
      <c r="A2095" t="s">
        <v>2106</v>
      </c>
      <c r="B2095" s="1">
        <v>1.279429553190021E-2</v>
      </c>
      <c r="C2095" s="2">
        <v>3.645546252073202E-6</v>
      </c>
      <c r="D2095" s="2"/>
      <c r="E2095" s="2">
        <v>-2.20548665709086E-3</v>
      </c>
      <c r="F2095" s="3">
        <v>89.888030432369646</v>
      </c>
      <c r="G2095" s="3">
        <v>1</v>
      </c>
      <c r="H2095" s="2">
        <v>5.4188793757450959E-5</v>
      </c>
      <c r="I2095" s="4">
        <v>1.8648277366750679E-17</v>
      </c>
      <c r="J2095" s="4">
        <v>-2.2054866570908791E-3</v>
      </c>
      <c r="K2095" s="5">
        <v>1</v>
      </c>
      <c r="L2095" s="5">
        <v>0</v>
      </c>
      <c r="M2095" s="5">
        <v>0</v>
      </c>
    </row>
    <row r="2096" spans="1:13" hidden="1" x14ac:dyDescent="0.25">
      <c r="A2096" t="s">
        <v>2107</v>
      </c>
      <c r="B2096" s="1">
        <v>1.276293553607474E-2</v>
      </c>
      <c r="C2096" s="2">
        <v>3.6366106827046878E-6</v>
      </c>
      <c r="D2096" s="2"/>
      <c r="E2096" s="2">
        <v>-0.89534050007198451</v>
      </c>
      <c r="F2096" s="3">
        <v>9.4284305924349709</v>
      </c>
      <c r="G2096" s="3">
        <v>1</v>
      </c>
      <c r="H2096" s="2">
        <v>5.4188793757450959E-5</v>
      </c>
      <c r="I2096" s="4">
        <v>-1.110223024625157E-16</v>
      </c>
      <c r="J2096" s="4">
        <v>-0.8953405000719844</v>
      </c>
      <c r="K2096" s="5">
        <v>1</v>
      </c>
      <c r="L2096" s="5">
        <v>0</v>
      </c>
      <c r="M2096" s="5">
        <v>0</v>
      </c>
    </row>
    <row r="2097" spans="1:13" hidden="1" x14ac:dyDescent="0.25">
      <c r="A2097" t="s">
        <v>2108</v>
      </c>
      <c r="B2097" s="1">
        <v>1.2716034194810001E-2</v>
      </c>
      <c r="C2097" s="2">
        <v>3.6232468356340478E-6</v>
      </c>
      <c r="D2097" s="2"/>
      <c r="E2097" s="2" t="s">
        <v>303</v>
      </c>
      <c r="F2097" s="3" t="s">
        <v>303</v>
      </c>
      <c r="G2097" s="3">
        <v>1</v>
      </c>
      <c r="H2097" s="2">
        <v>5.4188793757450959E-5</v>
      </c>
      <c r="I2097" s="4" t="s">
        <v>303</v>
      </c>
      <c r="J2097" s="4">
        <v>0</v>
      </c>
      <c r="K2097" s="5">
        <v>1</v>
      </c>
      <c r="L2097" s="5">
        <v>0</v>
      </c>
      <c r="M2097" s="5">
        <v>0</v>
      </c>
    </row>
    <row r="2098" spans="1:13" hidden="1" x14ac:dyDescent="0.25">
      <c r="A2098" t="s">
        <v>2109</v>
      </c>
      <c r="B2098" s="1">
        <v>1.2690397451290841E-2</v>
      </c>
      <c r="C2098" s="2">
        <v>3.6159420227962789E-6</v>
      </c>
      <c r="D2098" s="2"/>
      <c r="E2098" s="2">
        <v>-0.8084639454059509</v>
      </c>
      <c r="F2098" s="3">
        <v>17.254854054633451</v>
      </c>
      <c r="G2098" s="3">
        <v>1</v>
      </c>
      <c r="H2098" s="2">
        <v>5.4188793757450959E-5</v>
      </c>
      <c r="I2098" s="4">
        <v>1.110223024625157E-16</v>
      </c>
      <c r="J2098" s="4">
        <v>-0.8084639454059509</v>
      </c>
      <c r="K2098" s="5">
        <v>1</v>
      </c>
      <c r="L2098" s="5">
        <v>0</v>
      </c>
      <c r="M2098" s="5">
        <v>0</v>
      </c>
    </row>
    <row r="2099" spans="1:13" hidden="1" x14ac:dyDescent="0.25">
      <c r="A2099" t="s">
        <v>2110</v>
      </c>
      <c r="B2099" s="1">
        <v>1.2685050630625151E-2</v>
      </c>
      <c r="C2099" s="2">
        <v>3.614418524922581E-6</v>
      </c>
      <c r="D2099" s="2"/>
      <c r="E2099" s="2">
        <v>-0.57222269026303541</v>
      </c>
      <c r="F2099" s="3">
        <v>38.537052791649067</v>
      </c>
      <c r="G2099" s="3">
        <v>1</v>
      </c>
      <c r="H2099" s="2">
        <v>5.4188793757450959E-5</v>
      </c>
      <c r="I2099" s="4">
        <v>-0.57222269026303541</v>
      </c>
      <c r="J2099" s="4">
        <v>0</v>
      </c>
      <c r="K2099" s="5">
        <v>1</v>
      </c>
      <c r="L2099" s="5">
        <v>0</v>
      </c>
      <c r="M2099" s="5">
        <v>0</v>
      </c>
    </row>
    <row r="2100" spans="1:13" hidden="1" x14ac:dyDescent="0.25">
      <c r="A2100" t="s">
        <v>2111</v>
      </c>
      <c r="B2100" s="1">
        <v>1.267150929110295E-2</v>
      </c>
      <c r="C2100" s="2">
        <v>3.610560119477741E-6</v>
      </c>
      <c r="D2100" s="2"/>
      <c r="E2100" s="2">
        <v>-0.22824569426352251</v>
      </c>
      <c r="F2100" s="3">
        <v>69.524810562384914</v>
      </c>
      <c r="G2100" s="3">
        <v>1</v>
      </c>
      <c r="H2100" s="2">
        <v>5.4188793757450959E-5</v>
      </c>
      <c r="I2100" s="4">
        <v>-2.775557561562891E-17</v>
      </c>
      <c r="J2100" s="4">
        <v>-0.22824569426352251</v>
      </c>
      <c r="K2100" s="5">
        <v>1</v>
      </c>
      <c r="L2100" s="5">
        <v>0</v>
      </c>
      <c r="M2100" s="5">
        <v>0</v>
      </c>
    </row>
    <row r="2101" spans="1:13" hidden="1" x14ac:dyDescent="0.25">
      <c r="A2101" t="s">
        <v>2112</v>
      </c>
      <c r="B2101" s="1">
        <v>1.264368190792751E-2</v>
      </c>
      <c r="C2101" s="2">
        <v>3.602631116103752E-6</v>
      </c>
      <c r="D2101" s="2"/>
      <c r="E2101" s="2">
        <v>-0.2406947218229025</v>
      </c>
      <c r="F2101" s="3">
        <v>68.40331855862361</v>
      </c>
      <c r="G2101" s="3">
        <v>1</v>
      </c>
      <c r="H2101" s="2">
        <v>5.4188793757450959E-5</v>
      </c>
      <c r="I2101" s="4">
        <v>1.6653345369377351E-16</v>
      </c>
      <c r="J2101" s="4">
        <v>-0.24069472182290269</v>
      </c>
      <c r="K2101" s="5">
        <v>1</v>
      </c>
      <c r="L2101" s="5">
        <v>0</v>
      </c>
      <c r="M2101" s="5">
        <v>0</v>
      </c>
    </row>
    <row r="2102" spans="1:13" hidden="1" x14ac:dyDescent="0.25">
      <c r="A2102" t="s">
        <v>2113</v>
      </c>
      <c r="B2102" s="1">
        <v>1.2610724741034959E-2</v>
      </c>
      <c r="C2102" s="2">
        <v>3.593240456341007E-6</v>
      </c>
      <c r="D2102" s="2"/>
      <c r="E2102" s="2">
        <v>-0.35507219255368971</v>
      </c>
      <c r="F2102" s="3">
        <v>58.099427895423332</v>
      </c>
      <c r="G2102" s="3">
        <v>1</v>
      </c>
      <c r="H2102" s="2">
        <v>5.4188793757450959E-5</v>
      </c>
      <c r="I2102" s="4">
        <v>-1.110223024625157E-16</v>
      </c>
      <c r="J2102" s="4">
        <v>-0.3550721925536896</v>
      </c>
      <c r="K2102" s="5">
        <v>1</v>
      </c>
      <c r="L2102" s="5">
        <v>0</v>
      </c>
      <c r="M2102" s="5">
        <v>0</v>
      </c>
    </row>
    <row r="2103" spans="1:13" hidden="1" x14ac:dyDescent="0.25">
      <c r="A2103" t="s">
        <v>2114</v>
      </c>
      <c r="B2103" s="1">
        <v>1.2592747159240761E-2</v>
      </c>
      <c r="C2103" s="2">
        <v>3.5881180089371798E-6</v>
      </c>
      <c r="D2103" s="2"/>
      <c r="E2103" s="2">
        <v>-0.32681364839101962</v>
      </c>
      <c r="F2103" s="3">
        <v>60.645147323322831</v>
      </c>
      <c r="G2103" s="3">
        <v>2</v>
      </c>
      <c r="H2103" s="2">
        <v>1.083775875149019E-4</v>
      </c>
      <c r="I2103" s="4">
        <v>-5.5511151231257827E-17</v>
      </c>
      <c r="J2103" s="4">
        <v>-0.32681364839101951</v>
      </c>
      <c r="K2103" s="5">
        <v>2</v>
      </c>
      <c r="L2103" s="5">
        <v>0</v>
      </c>
      <c r="M2103" s="5">
        <v>0</v>
      </c>
    </row>
    <row r="2104" spans="1:13" hidden="1" x14ac:dyDescent="0.25">
      <c r="A2104" t="s">
        <v>2115</v>
      </c>
      <c r="B2104" s="1">
        <v>1.2577045003076159E-2</v>
      </c>
      <c r="C2104" s="2">
        <v>3.583643910585097E-6</v>
      </c>
      <c r="D2104" s="2"/>
      <c r="E2104" s="2">
        <v>-0.58279659286478225</v>
      </c>
      <c r="F2104" s="3">
        <v>37.584484636438063</v>
      </c>
      <c r="G2104" s="3">
        <v>1</v>
      </c>
      <c r="H2104" s="2">
        <v>5.4188793757450959E-5</v>
      </c>
      <c r="I2104" s="4">
        <v>0</v>
      </c>
      <c r="J2104" s="4">
        <v>-0.58279659286478225</v>
      </c>
      <c r="K2104" s="5">
        <v>1</v>
      </c>
      <c r="L2104" s="5">
        <v>0</v>
      </c>
      <c r="M2104" s="5">
        <v>0</v>
      </c>
    </row>
    <row r="2105" spans="1:13" hidden="1" x14ac:dyDescent="0.25">
      <c r="A2105" t="s">
        <v>2116</v>
      </c>
      <c r="B2105" s="1">
        <v>1.2463345275328689E-2</v>
      </c>
      <c r="C2105" s="2">
        <v>3.5512468461810392E-6</v>
      </c>
      <c r="D2105" s="2"/>
      <c r="E2105" s="2">
        <v>0.67886901217879925</v>
      </c>
      <c r="F2105" s="3">
        <v>151.24379503059811</v>
      </c>
      <c r="G2105" s="3">
        <v>1</v>
      </c>
      <c r="H2105" s="2">
        <v>5.4188793757450959E-5</v>
      </c>
      <c r="I2105" s="4">
        <v>-1.110223024625157E-16</v>
      </c>
      <c r="J2105" s="4">
        <v>0.67886901217879936</v>
      </c>
      <c r="K2105" s="5">
        <v>1</v>
      </c>
      <c r="L2105" s="5">
        <v>0</v>
      </c>
      <c r="M2105" s="5">
        <v>0</v>
      </c>
    </row>
    <row r="2106" spans="1:13" hidden="1" x14ac:dyDescent="0.25">
      <c r="A2106" t="s">
        <v>2117</v>
      </c>
      <c r="B2106" s="1">
        <v>1.242621760351985E-2</v>
      </c>
      <c r="C2106" s="2">
        <v>3.5406678624086628E-6</v>
      </c>
      <c r="D2106" s="2"/>
      <c r="E2106" s="2">
        <v>-0.91995802738002264</v>
      </c>
      <c r="F2106" s="3">
        <v>7.2107184139815006</v>
      </c>
      <c r="G2106" s="3">
        <v>1</v>
      </c>
      <c r="H2106" s="2">
        <v>5.4188793757450959E-5</v>
      </c>
      <c r="I2106" s="4">
        <v>-0.89185937233100221</v>
      </c>
      <c r="J2106" s="4">
        <v>-2.809865504902042E-2</v>
      </c>
      <c r="K2106" s="5">
        <v>1</v>
      </c>
      <c r="L2106" s="5">
        <v>0</v>
      </c>
      <c r="M2106" s="5">
        <v>0</v>
      </c>
    </row>
    <row r="2107" spans="1:13" hidden="1" x14ac:dyDescent="0.25">
      <c r="A2107" t="s">
        <v>2118</v>
      </c>
      <c r="B2107" s="1">
        <v>1.236841314984222E-2</v>
      </c>
      <c r="C2107" s="2">
        <v>3.5241973338881848E-6</v>
      </c>
      <c r="D2107" s="2"/>
      <c r="E2107" s="2">
        <v>-0.43417274465287681</v>
      </c>
      <c r="F2107" s="3">
        <v>50.973518964046569</v>
      </c>
      <c r="G2107" s="3">
        <v>1</v>
      </c>
      <c r="H2107" s="2">
        <v>5.4188793757450959E-5</v>
      </c>
      <c r="I2107" s="4">
        <v>0</v>
      </c>
      <c r="J2107" s="4">
        <v>-0.43417274465287681</v>
      </c>
      <c r="K2107" s="5">
        <v>1</v>
      </c>
      <c r="L2107" s="5">
        <v>0</v>
      </c>
      <c r="M2107" s="5">
        <v>0</v>
      </c>
    </row>
    <row r="2108" spans="1:13" hidden="1" x14ac:dyDescent="0.25">
      <c r="A2108" t="s">
        <v>2119</v>
      </c>
      <c r="B2108" s="1">
        <v>1.234551231381319E-2</v>
      </c>
      <c r="C2108" s="2">
        <v>3.5176720776326261E-6</v>
      </c>
      <c r="D2108" s="2"/>
      <c r="E2108" s="2">
        <v>-0.58498652498124604</v>
      </c>
      <c r="F2108" s="3">
        <v>37.387200844938711</v>
      </c>
      <c r="G2108" s="3">
        <v>1</v>
      </c>
      <c r="H2108" s="2">
        <v>5.4188793757450959E-5</v>
      </c>
      <c r="I2108" s="4">
        <v>1.110223024625157E-16</v>
      </c>
      <c r="J2108" s="4">
        <v>-0.58498652498124626</v>
      </c>
      <c r="K2108" s="5">
        <v>1</v>
      </c>
      <c r="L2108" s="5">
        <v>0</v>
      </c>
      <c r="M2108" s="5">
        <v>0</v>
      </c>
    </row>
    <row r="2109" spans="1:13" hidden="1" x14ac:dyDescent="0.25">
      <c r="A2109" t="s">
        <v>2120</v>
      </c>
      <c r="B2109" s="1">
        <v>1.2326334607239741E-2</v>
      </c>
      <c r="C2109" s="2">
        <v>3.5122076723320089E-6</v>
      </c>
      <c r="D2109" s="2"/>
      <c r="E2109" s="2">
        <v>-0.64933575184361503</v>
      </c>
      <c r="F2109" s="3">
        <v>31.590190353143971</v>
      </c>
      <c r="G2109" s="3">
        <v>1</v>
      </c>
      <c r="H2109" s="2">
        <v>5.4188793757450959E-5</v>
      </c>
      <c r="I2109" s="4">
        <v>0</v>
      </c>
      <c r="J2109" s="4">
        <v>-0.64933575184361503</v>
      </c>
      <c r="K2109" s="5">
        <v>1</v>
      </c>
      <c r="L2109" s="5">
        <v>0</v>
      </c>
      <c r="M2109" s="5">
        <v>0</v>
      </c>
    </row>
    <row r="2110" spans="1:13" hidden="1" x14ac:dyDescent="0.25">
      <c r="A2110" t="s">
        <v>2121</v>
      </c>
      <c r="B2110" s="1">
        <v>1.2315765565212199E-2</v>
      </c>
      <c r="C2110" s="2">
        <v>3.5091961793228449E-6</v>
      </c>
      <c r="D2110" s="2"/>
      <c r="E2110" s="2">
        <v>-0.14067277911607309</v>
      </c>
      <c r="F2110" s="3">
        <v>77.413966853145126</v>
      </c>
      <c r="G2110" s="3">
        <v>1</v>
      </c>
      <c r="H2110" s="2">
        <v>5.4188793757450959E-5</v>
      </c>
      <c r="I2110" s="4">
        <v>5.5511151231257827E-17</v>
      </c>
      <c r="J2110" s="4">
        <v>-0.1406727791160732</v>
      </c>
      <c r="K2110" s="5">
        <v>1</v>
      </c>
      <c r="L2110" s="5">
        <v>0</v>
      </c>
      <c r="M2110" s="5">
        <v>0</v>
      </c>
    </row>
    <row r="2111" spans="1:13" hidden="1" x14ac:dyDescent="0.25">
      <c r="A2111" t="s">
        <v>2122</v>
      </c>
      <c r="B2111" s="1">
        <v>1.2290022484055529E-2</v>
      </c>
      <c r="C2111" s="2">
        <v>3.501861067139958E-6</v>
      </c>
      <c r="D2111" s="2"/>
      <c r="E2111" s="2">
        <v>-0.34494010909342993</v>
      </c>
      <c r="F2111" s="3">
        <v>59.012194015341002</v>
      </c>
      <c r="G2111" s="3">
        <v>2</v>
      </c>
      <c r="H2111" s="2">
        <v>1.083775875149019E-4</v>
      </c>
      <c r="I2111" s="4">
        <v>0.24106847773147799</v>
      </c>
      <c r="J2111" s="4">
        <v>-0.58600858682490808</v>
      </c>
      <c r="K2111" s="5">
        <v>2</v>
      </c>
      <c r="L2111" s="5">
        <v>0</v>
      </c>
      <c r="M2111" s="5">
        <v>0</v>
      </c>
    </row>
    <row r="2112" spans="1:13" hidden="1" x14ac:dyDescent="0.25">
      <c r="A2112" t="s">
        <v>2123</v>
      </c>
      <c r="B2112" s="1">
        <v>1.21628699406674E-2</v>
      </c>
      <c r="C2112" s="2">
        <v>3.465630820868528E-6</v>
      </c>
      <c r="D2112" s="2"/>
      <c r="E2112" s="2">
        <v>-0.37883171299890089</v>
      </c>
      <c r="F2112" s="3">
        <v>55.959010737102403</v>
      </c>
      <c r="G2112" s="3">
        <v>1</v>
      </c>
      <c r="H2112" s="2">
        <v>5.4188793757450959E-5</v>
      </c>
      <c r="I2112" s="4">
        <v>-5.5511151231257827E-17</v>
      </c>
      <c r="J2112" s="4">
        <v>-0.37883171299890078</v>
      </c>
      <c r="K2112" s="5">
        <v>1</v>
      </c>
      <c r="L2112" s="5">
        <v>0</v>
      </c>
      <c r="M2112" s="5">
        <v>0</v>
      </c>
    </row>
    <row r="2113" spans="1:13" hidden="1" x14ac:dyDescent="0.25">
      <c r="A2113" t="s">
        <v>2124</v>
      </c>
      <c r="B2113" s="1">
        <v>1.2133524734600561E-2</v>
      </c>
      <c r="C2113" s="2">
        <v>3.457269336195414E-6</v>
      </c>
      <c r="D2113" s="2"/>
      <c r="E2113" s="2">
        <v>-0.64708691396872187</v>
      </c>
      <c r="F2113" s="3">
        <v>31.792780770943139</v>
      </c>
      <c r="G2113" s="3">
        <v>2</v>
      </c>
      <c r="H2113" s="2">
        <v>1.083775875149019E-4</v>
      </c>
      <c r="I2113" s="4">
        <v>-1.110223024625157E-16</v>
      </c>
      <c r="J2113" s="4">
        <v>-0.64708691396872176</v>
      </c>
      <c r="K2113" s="5">
        <v>2</v>
      </c>
      <c r="L2113" s="5">
        <v>0</v>
      </c>
      <c r="M2113" s="5">
        <v>0</v>
      </c>
    </row>
    <row r="2114" spans="1:13" hidden="1" x14ac:dyDescent="0.25">
      <c r="A2114" t="s">
        <v>2125</v>
      </c>
      <c r="B2114" s="1">
        <v>1.209472461878779E-2</v>
      </c>
      <c r="C2114" s="2">
        <v>3.4462138141130472E-6</v>
      </c>
      <c r="D2114" s="2"/>
      <c r="E2114" s="2">
        <v>-0.25044018693678288</v>
      </c>
      <c r="F2114" s="3">
        <v>67.525381615676096</v>
      </c>
      <c r="G2114" s="3">
        <v>1</v>
      </c>
      <c r="H2114" s="2">
        <v>5.4188793757450959E-5</v>
      </c>
      <c r="I2114" s="4">
        <v>0</v>
      </c>
      <c r="J2114" s="4">
        <v>-0.25044018693678288</v>
      </c>
      <c r="K2114" s="5">
        <v>1</v>
      </c>
      <c r="L2114" s="5">
        <v>0</v>
      </c>
      <c r="M2114" s="5">
        <v>0</v>
      </c>
    </row>
    <row r="2115" spans="1:13" hidden="1" x14ac:dyDescent="0.25">
      <c r="A2115" t="s">
        <v>2126</v>
      </c>
      <c r="B2115" s="1">
        <v>1.20561338348359E-2</v>
      </c>
      <c r="C2115" s="2">
        <v>3.4352179380642561E-6</v>
      </c>
      <c r="D2115" s="2"/>
      <c r="E2115" s="2">
        <v>-0.82489854495290071</v>
      </c>
      <c r="F2115" s="3">
        <v>15.774314961197531</v>
      </c>
      <c r="G2115" s="3">
        <v>1</v>
      </c>
      <c r="H2115" s="2">
        <v>5.4188793757450959E-5</v>
      </c>
      <c r="I2115" s="4">
        <v>0</v>
      </c>
      <c r="J2115" s="4">
        <v>-0.82489854495290071</v>
      </c>
      <c r="K2115" s="5">
        <v>1</v>
      </c>
      <c r="L2115" s="5">
        <v>0</v>
      </c>
      <c r="M2115" s="5">
        <v>0</v>
      </c>
    </row>
    <row r="2116" spans="1:13" hidden="1" x14ac:dyDescent="0.25">
      <c r="A2116" t="s">
        <v>2127</v>
      </c>
      <c r="B2116" s="1">
        <v>1.204611743693873E-2</v>
      </c>
      <c r="C2116" s="2">
        <v>3.43236391286824E-6</v>
      </c>
      <c r="D2116" s="2"/>
      <c r="E2116" s="2">
        <v>3.7308334308720368</v>
      </c>
      <c r="F2116" s="3">
        <v>426.18524527660401</v>
      </c>
      <c r="G2116" s="3">
        <v>1</v>
      </c>
      <c r="H2116" s="2">
        <v>5.4188793757450959E-5</v>
      </c>
      <c r="I2116" s="4">
        <v>-8.8817841970012523E-16</v>
      </c>
      <c r="J2116" s="4">
        <v>3.730833430872039</v>
      </c>
      <c r="K2116" s="5">
        <v>1</v>
      </c>
      <c r="L2116" s="5">
        <v>0</v>
      </c>
      <c r="M2116" s="5">
        <v>0</v>
      </c>
    </row>
    <row r="2117" spans="1:13" hidden="1" x14ac:dyDescent="0.25">
      <c r="A2117" t="s">
        <v>2128</v>
      </c>
      <c r="B2117" s="1">
        <v>1.200913883382012E-2</v>
      </c>
      <c r="C2117" s="2">
        <v>3.4218274040257001E-6</v>
      </c>
      <c r="D2117" s="2"/>
      <c r="E2117" s="2">
        <v>-0.55701051203767826</v>
      </c>
      <c r="F2117" s="3">
        <v>39.907467963288333</v>
      </c>
      <c r="G2117" s="3">
        <v>1</v>
      </c>
      <c r="H2117" s="2">
        <v>5.4188793757450959E-5</v>
      </c>
      <c r="I2117" s="4">
        <v>1.110223024625157E-16</v>
      </c>
      <c r="J2117" s="4">
        <v>-0.55701051203767837</v>
      </c>
      <c r="K2117" s="5">
        <v>1</v>
      </c>
      <c r="L2117" s="5">
        <v>0</v>
      </c>
      <c r="M2117" s="5">
        <v>0</v>
      </c>
    </row>
    <row r="2118" spans="1:13" hidden="1" x14ac:dyDescent="0.25">
      <c r="A2118" t="s">
        <v>2129</v>
      </c>
      <c r="B2118" s="1">
        <v>1.193400205818154E-2</v>
      </c>
      <c r="C2118" s="2">
        <v>3.4004182853962952E-6</v>
      </c>
      <c r="D2118" s="2"/>
      <c r="E2118" s="2" t="s">
        <v>303</v>
      </c>
      <c r="F2118" s="3" t="s">
        <v>303</v>
      </c>
      <c r="G2118" s="3">
        <v>1</v>
      </c>
      <c r="H2118" s="2">
        <v>5.4188793757450959E-5</v>
      </c>
      <c r="I2118" s="4" t="s">
        <v>303</v>
      </c>
      <c r="J2118" s="4">
        <v>0</v>
      </c>
      <c r="K2118" s="5">
        <v>1</v>
      </c>
      <c r="L2118" s="5">
        <v>0</v>
      </c>
      <c r="M2118" s="5">
        <v>0</v>
      </c>
    </row>
    <row r="2119" spans="1:13" hidden="1" x14ac:dyDescent="0.25">
      <c r="A2119" t="s">
        <v>2130</v>
      </c>
      <c r="B2119" s="1">
        <v>1.193097148915314E-2</v>
      </c>
      <c r="C2119" s="2">
        <v>3.3995547693445071E-6</v>
      </c>
      <c r="D2119" s="2"/>
      <c r="E2119" s="2">
        <v>-0.62795929920630722</v>
      </c>
      <c r="F2119" s="3">
        <v>33.515924759881557</v>
      </c>
      <c r="G2119" s="3">
        <v>1</v>
      </c>
      <c r="H2119" s="2">
        <v>5.4188793757450959E-5</v>
      </c>
      <c r="I2119" s="4">
        <v>0</v>
      </c>
      <c r="J2119" s="4">
        <v>-0.62795929920630722</v>
      </c>
      <c r="K2119" s="5">
        <v>1</v>
      </c>
      <c r="L2119" s="5">
        <v>0</v>
      </c>
      <c r="M2119" s="5">
        <v>0</v>
      </c>
    </row>
    <row r="2120" spans="1:13" hidden="1" x14ac:dyDescent="0.25">
      <c r="A2120" t="s">
        <v>2131</v>
      </c>
      <c r="B2120" s="1">
        <v>1.193000324788574E-2</v>
      </c>
      <c r="C2120" s="2">
        <v>3.3992788832424021E-6</v>
      </c>
      <c r="D2120" s="2"/>
      <c r="E2120" s="2">
        <v>-0.61484457183296459</v>
      </c>
      <c r="F2120" s="3">
        <v>34.69738747337928</v>
      </c>
      <c r="G2120" s="3">
        <v>1</v>
      </c>
      <c r="H2120" s="2">
        <v>5.4188793757450959E-5</v>
      </c>
      <c r="I2120" s="4">
        <v>0</v>
      </c>
      <c r="J2120" s="4">
        <v>-0.61484457183296459</v>
      </c>
      <c r="K2120" s="5">
        <v>1</v>
      </c>
      <c r="L2120" s="5">
        <v>0</v>
      </c>
      <c r="M2120" s="5">
        <v>0</v>
      </c>
    </row>
    <row r="2121" spans="1:13" hidden="1" x14ac:dyDescent="0.25">
      <c r="A2121" t="s">
        <v>2132</v>
      </c>
      <c r="B2121" s="1">
        <v>1.1870127959630879E-2</v>
      </c>
      <c r="C2121" s="2">
        <v>3.3822183008801251E-6</v>
      </c>
      <c r="D2121" s="2"/>
      <c r="E2121" s="2">
        <v>-0.76910268442032392</v>
      </c>
      <c r="F2121" s="3">
        <v>20.800780774032571</v>
      </c>
      <c r="G2121" s="3">
        <v>1</v>
      </c>
      <c r="H2121" s="2">
        <v>5.4188793757450959E-5</v>
      </c>
      <c r="I2121" s="4">
        <v>2.2204460492503131E-16</v>
      </c>
      <c r="J2121" s="4">
        <v>-0.76910268442032415</v>
      </c>
      <c r="K2121" s="5">
        <v>1</v>
      </c>
      <c r="L2121" s="5">
        <v>0</v>
      </c>
      <c r="M2121" s="5">
        <v>0</v>
      </c>
    </row>
    <row r="2122" spans="1:13" hidden="1" x14ac:dyDescent="0.25">
      <c r="A2122" t="s">
        <v>2133</v>
      </c>
      <c r="B2122" s="1">
        <v>1.186670453895766E-2</v>
      </c>
      <c r="C2122" s="2">
        <v>3.3812428475326999E-6</v>
      </c>
      <c r="D2122" s="2"/>
      <c r="E2122" s="2">
        <v>-0.51401691457123577</v>
      </c>
      <c r="F2122" s="3">
        <v>43.780619945767207</v>
      </c>
      <c r="G2122" s="3">
        <v>1</v>
      </c>
      <c r="H2122" s="2">
        <v>5.4188793757450959E-5</v>
      </c>
      <c r="I2122" s="4">
        <v>-2.2204460492503131E-16</v>
      </c>
      <c r="J2122" s="4">
        <v>-0.51401691457123555</v>
      </c>
      <c r="K2122" s="5">
        <v>1</v>
      </c>
      <c r="L2122" s="5">
        <v>0</v>
      </c>
      <c r="M2122" s="5">
        <v>0</v>
      </c>
    </row>
    <row r="2123" spans="1:13" hidden="1" x14ac:dyDescent="0.25">
      <c r="A2123" t="s">
        <v>2134</v>
      </c>
      <c r="B2123" s="1">
        <v>1.181041002809192E-2</v>
      </c>
      <c r="C2123" s="2">
        <v>3.365202554998641E-6</v>
      </c>
      <c r="D2123" s="2"/>
      <c r="E2123" s="2">
        <v>-0.27314466697082762</v>
      </c>
      <c r="F2123" s="3">
        <v>65.480009582697235</v>
      </c>
      <c r="G2123" s="3">
        <v>1</v>
      </c>
      <c r="H2123" s="2">
        <v>5.4188793757450959E-5</v>
      </c>
      <c r="I2123" s="4">
        <v>0</v>
      </c>
      <c r="J2123" s="4">
        <v>-0.27314466697082762</v>
      </c>
      <c r="K2123" s="5">
        <v>1</v>
      </c>
      <c r="L2123" s="5">
        <v>0</v>
      </c>
      <c r="M2123" s="5">
        <v>0</v>
      </c>
    </row>
    <row r="2124" spans="1:13" hidden="1" x14ac:dyDescent="0.25">
      <c r="A2124" t="s">
        <v>2135</v>
      </c>
      <c r="B2124" s="1">
        <v>1.1789378335737699E-2</v>
      </c>
      <c r="C2124" s="2">
        <v>3.3592098837299882E-6</v>
      </c>
      <c r="D2124" s="2"/>
      <c r="E2124" s="2">
        <v>-0.90775942742422044</v>
      </c>
      <c r="F2124" s="3">
        <v>8.3096502174705922</v>
      </c>
      <c r="G2124" s="3">
        <v>3</v>
      </c>
      <c r="H2124" s="2">
        <v>1.6256638127235291E-4</v>
      </c>
      <c r="I2124" s="4">
        <v>-0.31337448518788652</v>
      </c>
      <c r="J2124" s="4">
        <v>-0.59438494223633398</v>
      </c>
      <c r="K2124" s="5">
        <v>3</v>
      </c>
      <c r="L2124" s="5">
        <v>0</v>
      </c>
      <c r="M2124" s="5">
        <v>0</v>
      </c>
    </row>
    <row r="2125" spans="1:13" hidden="1" x14ac:dyDescent="0.25">
      <c r="A2125" t="s">
        <v>2136</v>
      </c>
      <c r="B2125" s="1">
        <v>1.178744920020881E-2</v>
      </c>
      <c r="C2125" s="2">
        <v>3.3586602049470059E-6</v>
      </c>
      <c r="D2125" s="2"/>
      <c r="E2125" s="2">
        <v>-0.75088532880200642</v>
      </c>
      <c r="F2125" s="3">
        <v>22.441922506442431</v>
      </c>
      <c r="G2125" s="3">
        <v>2</v>
      </c>
      <c r="H2125" s="2">
        <v>1.083775875149019E-4</v>
      </c>
      <c r="I2125" s="4">
        <v>-2.2204460492503131E-16</v>
      </c>
      <c r="J2125" s="4">
        <v>-0.75088532880200609</v>
      </c>
      <c r="K2125" s="5">
        <v>2</v>
      </c>
      <c r="L2125" s="5">
        <v>0</v>
      </c>
      <c r="M2125" s="5">
        <v>0</v>
      </c>
    </row>
    <row r="2126" spans="1:13" hidden="1" x14ac:dyDescent="0.25">
      <c r="A2126" t="s">
        <v>2137</v>
      </c>
      <c r="B2126" s="1">
        <v>1.177561679015097E-2</v>
      </c>
      <c r="C2126" s="2">
        <v>3.3552887338072461E-6</v>
      </c>
      <c r="D2126" s="2"/>
      <c r="E2126" s="2">
        <v>-0.29676134082172351</v>
      </c>
      <c r="F2126" s="3">
        <v>63.352461004875863</v>
      </c>
      <c r="G2126" s="3">
        <v>1</v>
      </c>
      <c r="H2126" s="2">
        <v>5.4188793757450959E-5</v>
      </c>
      <c r="I2126" s="4">
        <v>0</v>
      </c>
      <c r="J2126" s="4">
        <v>-0.29676134082172351</v>
      </c>
      <c r="K2126" s="5">
        <v>1</v>
      </c>
      <c r="L2126" s="5">
        <v>0</v>
      </c>
      <c r="M2126" s="5">
        <v>0</v>
      </c>
    </row>
    <row r="2127" spans="1:13" hidden="1" x14ac:dyDescent="0.25">
      <c r="A2127" t="s">
        <v>2138</v>
      </c>
      <c r="B2127" s="1">
        <v>1.171453403763246E-2</v>
      </c>
      <c r="C2127" s="2">
        <v>3.337884102270093E-6</v>
      </c>
      <c r="D2127" s="2"/>
      <c r="E2127" s="2">
        <v>4.4360650037521987E-2</v>
      </c>
      <c r="F2127" s="3">
        <v>94.083020739842638</v>
      </c>
      <c r="G2127" s="3">
        <v>1</v>
      </c>
      <c r="H2127" s="2">
        <v>5.4188793757450959E-5</v>
      </c>
      <c r="I2127" s="4">
        <v>9.7144514654701197E-17</v>
      </c>
      <c r="J2127" s="4">
        <v>4.436065003752189E-2</v>
      </c>
      <c r="K2127" s="5">
        <v>1</v>
      </c>
      <c r="L2127" s="5">
        <v>0</v>
      </c>
      <c r="M2127" s="5">
        <v>0</v>
      </c>
    </row>
    <row r="2128" spans="1:13" hidden="1" x14ac:dyDescent="0.25">
      <c r="A2128" t="s">
        <v>2139</v>
      </c>
      <c r="B2128" s="1">
        <v>1.1714482600385989E-2</v>
      </c>
      <c r="C2128" s="2">
        <v>3.3378694459835762E-6</v>
      </c>
      <c r="D2128" s="2"/>
      <c r="E2128" s="2">
        <v>0.26468407255941151</v>
      </c>
      <c r="F2128" s="3">
        <v>113.9312342184482</v>
      </c>
      <c r="G2128" s="3">
        <v>1</v>
      </c>
      <c r="H2128" s="2">
        <v>5.4188793757450959E-5</v>
      </c>
      <c r="I2128" s="4">
        <v>-5.5511151231257827E-17</v>
      </c>
      <c r="J2128" s="4">
        <v>0.26468407255941162</v>
      </c>
      <c r="K2128" s="5">
        <v>1</v>
      </c>
      <c r="L2128" s="5">
        <v>0</v>
      </c>
      <c r="M2128" s="5">
        <v>0</v>
      </c>
    </row>
    <row r="2129" spans="1:13" hidden="1" x14ac:dyDescent="0.25">
      <c r="A2129" t="s">
        <v>2140</v>
      </c>
      <c r="B2129" s="1">
        <v>1.170313652228736E-2</v>
      </c>
      <c r="C2129" s="2">
        <v>3.3346365479795351E-6</v>
      </c>
      <c r="D2129" s="2"/>
      <c r="E2129" s="2">
        <v>-0.60785680689220056</v>
      </c>
      <c r="F2129" s="3">
        <v>35.326892265448407</v>
      </c>
      <c r="G2129" s="3">
        <v>1</v>
      </c>
      <c r="H2129" s="2">
        <v>5.4188793757450959E-5</v>
      </c>
      <c r="I2129" s="4">
        <v>0</v>
      </c>
      <c r="J2129" s="4">
        <v>-0.60785680689220056</v>
      </c>
      <c r="K2129" s="5">
        <v>1</v>
      </c>
      <c r="L2129" s="5">
        <v>0</v>
      </c>
      <c r="M2129" s="5">
        <v>1</v>
      </c>
    </row>
    <row r="2130" spans="1:13" hidden="1" x14ac:dyDescent="0.25">
      <c r="A2130" t="s">
        <v>2141</v>
      </c>
      <c r="B2130" s="1">
        <v>1.1623128717414029E-2</v>
      </c>
      <c r="C2130" s="2">
        <v>3.3118395012437208E-6</v>
      </c>
      <c r="D2130" s="2"/>
      <c r="E2130" s="2">
        <v>0.42339443623895079</v>
      </c>
      <c r="F2130" s="3">
        <v>128.22892959518771</v>
      </c>
      <c r="G2130" s="3">
        <v>1</v>
      </c>
      <c r="H2130" s="2">
        <v>5.4188793757450959E-5</v>
      </c>
      <c r="I2130" s="4">
        <v>-5.5511151231257827E-17</v>
      </c>
      <c r="J2130" s="4">
        <v>0.42339443623895079</v>
      </c>
      <c r="K2130" s="5">
        <v>1</v>
      </c>
      <c r="L2130" s="5">
        <v>0</v>
      </c>
      <c r="M2130" s="5">
        <v>0</v>
      </c>
    </row>
    <row r="2131" spans="1:13" hidden="1" x14ac:dyDescent="0.25">
      <c r="A2131" t="s">
        <v>2142</v>
      </c>
      <c r="B2131" s="1">
        <v>1.1526074197450911E-2</v>
      </c>
      <c r="C2131" s="2">
        <v>3.2841852438743991E-6</v>
      </c>
      <c r="D2131" s="2"/>
      <c r="E2131" s="2">
        <v>-0.74839901363142514</v>
      </c>
      <c r="F2131" s="3">
        <v>22.665906473811539</v>
      </c>
      <c r="G2131" s="3">
        <v>1</v>
      </c>
      <c r="H2131" s="2">
        <v>5.4188793757450959E-5</v>
      </c>
      <c r="I2131" s="4">
        <v>1.110223024625157E-16</v>
      </c>
      <c r="J2131" s="4">
        <v>-0.74839901363142525</v>
      </c>
      <c r="K2131" s="5">
        <v>1</v>
      </c>
      <c r="L2131" s="5">
        <v>0</v>
      </c>
      <c r="M2131" s="5">
        <v>0</v>
      </c>
    </row>
    <row r="2132" spans="1:13" hidden="1" x14ac:dyDescent="0.25">
      <c r="A2132" t="s">
        <v>2143</v>
      </c>
      <c r="B2132" s="1">
        <v>1.1437306921933489E-2</v>
      </c>
      <c r="C2132" s="2">
        <v>3.2588923148684638E-6</v>
      </c>
      <c r="D2132" s="2"/>
      <c r="E2132" s="2">
        <v>3.6702991441184141</v>
      </c>
      <c r="F2132" s="3">
        <v>420.73191020896411</v>
      </c>
      <c r="G2132" s="3">
        <v>1</v>
      </c>
      <c r="H2132" s="2">
        <v>5.4188793757450959E-5</v>
      </c>
      <c r="I2132" s="4">
        <v>4.4408920985006262E-16</v>
      </c>
      <c r="J2132" s="4">
        <v>3.6702991441184141</v>
      </c>
      <c r="K2132" s="5">
        <v>1</v>
      </c>
      <c r="L2132" s="5">
        <v>0</v>
      </c>
      <c r="M2132" s="5">
        <v>0</v>
      </c>
    </row>
    <row r="2133" spans="1:13" hidden="1" x14ac:dyDescent="0.25">
      <c r="A2133" t="s">
        <v>2144</v>
      </c>
      <c r="B2133" s="1">
        <v>1.142891322417995E-2</v>
      </c>
      <c r="C2133" s="2">
        <v>3.2565006542014008E-6</v>
      </c>
      <c r="D2133" s="2"/>
      <c r="E2133" s="2">
        <v>-0.2322524779356244</v>
      </c>
      <c r="F2133" s="3">
        <v>69.16385258172096</v>
      </c>
      <c r="G2133" s="3">
        <v>1</v>
      </c>
      <c r="H2133" s="2">
        <v>5.4188793757450959E-5</v>
      </c>
      <c r="I2133" s="4">
        <v>-1.3877787807814459E-16</v>
      </c>
      <c r="J2133" s="4">
        <v>-0.23225247793562431</v>
      </c>
      <c r="K2133" s="5">
        <v>1</v>
      </c>
      <c r="L2133" s="5">
        <v>1</v>
      </c>
      <c r="M2133" s="5">
        <v>0</v>
      </c>
    </row>
    <row r="2134" spans="1:13" hidden="1" x14ac:dyDescent="0.25">
      <c r="A2134" t="s">
        <v>2145</v>
      </c>
      <c r="B2134" s="1">
        <v>1.1402405435855641E-2</v>
      </c>
      <c r="C2134" s="2">
        <v>3.2489476499632618E-6</v>
      </c>
      <c r="D2134" s="2"/>
      <c r="E2134" s="2">
        <v>-0.71779805360671378</v>
      </c>
      <c r="F2134" s="3">
        <v>25.42264645301373</v>
      </c>
      <c r="G2134" s="3">
        <v>1</v>
      </c>
      <c r="H2134" s="2">
        <v>5.4188793757450959E-5</v>
      </c>
      <c r="I2134" s="4">
        <v>0</v>
      </c>
      <c r="J2134" s="4">
        <v>-0.71779805360671378</v>
      </c>
      <c r="K2134" s="5">
        <v>1</v>
      </c>
      <c r="L2134" s="5">
        <v>0</v>
      </c>
      <c r="M2134" s="5">
        <v>0</v>
      </c>
    </row>
    <row r="2135" spans="1:13" hidden="1" x14ac:dyDescent="0.25">
      <c r="A2135" t="s">
        <v>2146</v>
      </c>
      <c r="B2135" s="1">
        <v>1.1376398825267489E-2</v>
      </c>
      <c r="C2135" s="2">
        <v>3.2415374489465378E-6</v>
      </c>
      <c r="D2135" s="2"/>
      <c r="E2135" s="2">
        <v>-0.62405245171251889</v>
      </c>
      <c r="F2135" s="3">
        <v>33.867879818483473</v>
      </c>
      <c r="G2135" s="3">
        <v>1</v>
      </c>
      <c r="H2135" s="2">
        <v>5.4188793757450959E-5</v>
      </c>
      <c r="I2135" s="4">
        <v>-1.110223024625157E-16</v>
      </c>
      <c r="J2135" s="4">
        <v>-0.62405245171251877</v>
      </c>
      <c r="K2135" s="5">
        <v>1</v>
      </c>
      <c r="L2135" s="5">
        <v>0</v>
      </c>
      <c r="M2135" s="5">
        <v>0</v>
      </c>
    </row>
    <row r="2136" spans="1:13" hidden="1" x14ac:dyDescent="0.25">
      <c r="A2136" t="s">
        <v>2147</v>
      </c>
      <c r="B2136" s="1">
        <v>1.1351807429818429E-2</v>
      </c>
      <c r="C2136" s="2">
        <v>3.2345304926597249E-6</v>
      </c>
      <c r="D2136" s="2"/>
      <c r="E2136" s="2">
        <v>-0.25113546175386031</v>
      </c>
      <c r="F2136" s="3">
        <v>67.462746591048699</v>
      </c>
      <c r="G2136" s="3">
        <v>1</v>
      </c>
      <c r="H2136" s="2">
        <v>5.4188793757450959E-5</v>
      </c>
      <c r="I2136" s="4">
        <v>0</v>
      </c>
      <c r="J2136" s="4">
        <v>-0.25113546175386031</v>
      </c>
      <c r="K2136" s="5">
        <v>1</v>
      </c>
      <c r="L2136" s="5">
        <v>0</v>
      </c>
      <c r="M2136" s="5">
        <v>0</v>
      </c>
    </row>
    <row r="2137" spans="1:13" hidden="1" x14ac:dyDescent="0.25">
      <c r="A2137" t="s">
        <v>2148</v>
      </c>
      <c r="B2137" s="1">
        <v>1.130946060722178E-2</v>
      </c>
      <c r="C2137" s="2">
        <v>3.2224643886667772E-6</v>
      </c>
      <c r="D2137" s="2"/>
      <c r="E2137" s="2">
        <v>-0.48366903424723351</v>
      </c>
      <c r="F2137" s="3">
        <v>46.514560805977503</v>
      </c>
      <c r="G2137" s="3">
        <v>1</v>
      </c>
      <c r="H2137" s="2">
        <v>5.4188793757450959E-5</v>
      </c>
      <c r="I2137" s="4">
        <v>5.5511151231257827E-17</v>
      </c>
      <c r="J2137" s="4">
        <v>-0.48366903424723351</v>
      </c>
      <c r="K2137" s="5">
        <v>1</v>
      </c>
      <c r="L2137" s="5">
        <v>0</v>
      </c>
      <c r="M2137" s="5">
        <v>0</v>
      </c>
    </row>
    <row r="2138" spans="1:13" hidden="1" x14ac:dyDescent="0.25">
      <c r="A2138" t="s">
        <v>2149</v>
      </c>
      <c r="B2138" s="1">
        <v>1.129271815262802E-2</v>
      </c>
      <c r="C2138" s="2">
        <v>3.2176938725846208E-6</v>
      </c>
      <c r="D2138" s="2"/>
      <c r="E2138" s="2">
        <v>-0.51731744267964375</v>
      </c>
      <c r="F2138" s="3">
        <v>43.483286209126881</v>
      </c>
      <c r="G2138" s="3">
        <v>1</v>
      </c>
      <c r="H2138" s="2">
        <v>5.4188793757450959E-5</v>
      </c>
      <c r="I2138" s="4">
        <v>-0.228008762910442</v>
      </c>
      <c r="J2138" s="4">
        <v>-0.28930867976920183</v>
      </c>
      <c r="K2138" s="5">
        <v>1</v>
      </c>
      <c r="L2138" s="5">
        <v>0</v>
      </c>
      <c r="M2138" s="5">
        <v>0</v>
      </c>
    </row>
    <row r="2139" spans="1:13" hidden="1" x14ac:dyDescent="0.25">
      <c r="A2139" t="s">
        <v>2150</v>
      </c>
      <c r="B2139" s="1">
        <v>1.128367104957961E-2</v>
      </c>
      <c r="C2139" s="2">
        <v>3.215116033693216E-6</v>
      </c>
      <c r="D2139" s="2"/>
      <c r="E2139" s="2">
        <v>-0.74654418374003884</v>
      </c>
      <c r="F2139" s="3">
        <v>22.83300200650315</v>
      </c>
      <c r="G2139" s="3">
        <v>1</v>
      </c>
      <c r="H2139" s="2">
        <v>5.4188793757450959E-5</v>
      </c>
      <c r="I2139" s="4">
        <v>0</v>
      </c>
      <c r="J2139" s="4">
        <v>-0.74654418374003884</v>
      </c>
      <c r="K2139" s="5">
        <v>1</v>
      </c>
      <c r="L2139" s="5">
        <v>0</v>
      </c>
      <c r="M2139" s="5">
        <v>0</v>
      </c>
    </row>
    <row r="2140" spans="1:13" hidden="1" x14ac:dyDescent="0.25">
      <c r="A2140" t="s">
        <v>2151</v>
      </c>
      <c r="B2140" s="1">
        <v>1.1195496882611631E-2</v>
      </c>
      <c r="C2140" s="2">
        <v>3.18999210224124E-6</v>
      </c>
      <c r="D2140" s="2"/>
      <c r="E2140" s="2">
        <v>-0.47411049153597928</v>
      </c>
      <c r="F2140" s="3">
        <v>47.375658523622548</v>
      </c>
      <c r="G2140" s="3">
        <v>1</v>
      </c>
      <c r="H2140" s="2">
        <v>5.4188793757450959E-5</v>
      </c>
      <c r="I2140" s="4">
        <v>0</v>
      </c>
      <c r="J2140" s="4">
        <v>-0.47411049153597928</v>
      </c>
      <c r="K2140" s="5">
        <v>1</v>
      </c>
      <c r="L2140" s="5">
        <v>0</v>
      </c>
      <c r="M2140" s="5">
        <v>0</v>
      </c>
    </row>
    <row r="2141" spans="1:13" hidden="1" x14ac:dyDescent="0.25">
      <c r="A2141" t="s">
        <v>2152</v>
      </c>
      <c r="B2141" s="1">
        <v>1.117669937364359E-2</v>
      </c>
      <c r="C2141" s="2">
        <v>3.1846360286539219E-6</v>
      </c>
      <c r="D2141" s="2"/>
      <c r="E2141" s="2">
        <v>0.60527456463741425</v>
      </c>
      <c r="F2141" s="3">
        <v>144.6139129739305</v>
      </c>
      <c r="G2141" s="3">
        <v>1</v>
      </c>
      <c r="H2141" s="2">
        <v>5.4188793757450959E-5</v>
      </c>
      <c r="I2141" s="4">
        <v>1.110223024625157E-16</v>
      </c>
      <c r="J2141" s="4">
        <v>0.60527456463741414</v>
      </c>
      <c r="K2141" s="5">
        <v>1</v>
      </c>
      <c r="L2141" s="5">
        <v>0</v>
      </c>
      <c r="M2141" s="5">
        <v>0</v>
      </c>
    </row>
    <row r="2142" spans="1:13" hidden="1" x14ac:dyDescent="0.25">
      <c r="A2142" t="s">
        <v>2153</v>
      </c>
      <c r="B2142" s="1">
        <v>1.117021310012899E-2</v>
      </c>
      <c r="C2142" s="2">
        <v>3.1827878604572371E-6</v>
      </c>
      <c r="D2142" s="2"/>
      <c r="E2142" s="2">
        <v>-0.66713005921238477</v>
      </c>
      <c r="F2142" s="3">
        <v>29.987159648026019</v>
      </c>
      <c r="G2142" s="3">
        <v>1</v>
      </c>
      <c r="H2142" s="2">
        <v>5.4188793757450959E-5</v>
      </c>
      <c r="I2142" s="4">
        <v>2.2204460492503131E-16</v>
      </c>
      <c r="J2142" s="4">
        <v>-0.667130059212385</v>
      </c>
      <c r="K2142" s="5">
        <v>1</v>
      </c>
      <c r="L2142" s="5">
        <v>0</v>
      </c>
      <c r="M2142" s="5">
        <v>0</v>
      </c>
    </row>
    <row r="2143" spans="1:13" hidden="1" x14ac:dyDescent="0.25">
      <c r="A2143" t="s">
        <v>2154</v>
      </c>
      <c r="B2143" s="1">
        <v>1.113545313980034E-2</v>
      </c>
      <c r="C2143" s="2">
        <v>3.1728835212318071E-6</v>
      </c>
      <c r="D2143" s="2"/>
      <c r="E2143" s="2">
        <v>0.94027924268426388</v>
      </c>
      <c r="F2143" s="3">
        <v>174.79338409005661</v>
      </c>
      <c r="G2143" s="3">
        <v>2</v>
      </c>
      <c r="H2143" s="2">
        <v>1.083775875149019E-4</v>
      </c>
      <c r="I2143" s="4">
        <v>1.1647329225622309</v>
      </c>
      <c r="J2143" s="4">
        <v>-0.22445367987796749</v>
      </c>
      <c r="K2143" s="5">
        <v>2</v>
      </c>
      <c r="L2143" s="5">
        <v>0</v>
      </c>
      <c r="M2143" s="5">
        <v>0</v>
      </c>
    </row>
    <row r="2144" spans="1:13" hidden="1" x14ac:dyDescent="0.25">
      <c r="A2144" t="s">
        <v>2155</v>
      </c>
      <c r="B2144" s="1">
        <v>1.1121849314046941E-2</v>
      </c>
      <c r="C2144" s="2">
        <v>3.1690073112548282E-6</v>
      </c>
      <c r="D2144" s="2"/>
      <c r="E2144" s="2">
        <v>-0.55069555508075974</v>
      </c>
      <c r="F2144" s="3">
        <v>40.476361693943197</v>
      </c>
      <c r="G2144" s="3">
        <v>1</v>
      </c>
      <c r="H2144" s="2">
        <v>5.4188793757450959E-5</v>
      </c>
      <c r="I2144" s="4">
        <v>-2.2204460492503131E-16</v>
      </c>
      <c r="J2144" s="4">
        <v>-0.55069555508075951</v>
      </c>
      <c r="K2144" s="5">
        <v>1</v>
      </c>
      <c r="L2144" s="5">
        <v>0</v>
      </c>
      <c r="M2144" s="5">
        <v>0</v>
      </c>
    </row>
    <row r="2145" spans="1:13" hidden="1" x14ac:dyDescent="0.25">
      <c r="A2145" t="s">
        <v>2156</v>
      </c>
      <c r="B2145" s="1">
        <v>1.1109491261189521E-2</v>
      </c>
      <c r="C2145" s="2">
        <v>3.1654860659338201E-6</v>
      </c>
      <c r="D2145" s="2"/>
      <c r="E2145" s="2">
        <v>-0.5418344526015475</v>
      </c>
      <c r="F2145" s="3">
        <v>41.274629311839028</v>
      </c>
      <c r="G2145" s="3">
        <v>1</v>
      </c>
      <c r="H2145" s="2">
        <v>5.4188793757450959E-5</v>
      </c>
      <c r="I2145" s="4">
        <v>0</v>
      </c>
      <c r="J2145" s="4">
        <v>-0.5418344526015475</v>
      </c>
      <c r="K2145" s="5">
        <v>1</v>
      </c>
      <c r="L2145" s="5">
        <v>0</v>
      </c>
      <c r="M2145" s="5">
        <v>0</v>
      </c>
    </row>
    <row r="2146" spans="1:13" hidden="1" x14ac:dyDescent="0.25">
      <c r="A2146" t="s">
        <v>2157</v>
      </c>
      <c r="B2146" s="1">
        <v>1.1048200098807521E-2</v>
      </c>
      <c r="C2146" s="2">
        <v>3.1480220510726812E-6</v>
      </c>
      <c r="D2146" s="2"/>
      <c r="E2146" s="2">
        <v>0.1871514314989953</v>
      </c>
      <c r="F2146" s="3">
        <v>106.9465732427213</v>
      </c>
      <c r="G2146" s="3">
        <v>1</v>
      </c>
      <c r="H2146" s="2">
        <v>5.4188793757450959E-5</v>
      </c>
      <c r="I2146" s="4">
        <v>2.775557561562891E-17</v>
      </c>
      <c r="J2146" s="4">
        <v>0.18715143149899521</v>
      </c>
      <c r="K2146" s="5">
        <v>1</v>
      </c>
      <c r="L2146" s="5">
        <v>0</v>
      </c>
      <c r="M2146" s="5">
        <v>0</v>
      </c>
    </row>
    <row r="2147" spans="1:13" hidden="1" x14ac:dyDescent="0.25">
      <c r="A2147" t="s">
        <v>2158</v>
      </c>
      <c r="B2147" s="1">
        <v>1.101752924793749E-2</v>
      </c>
      <c r="C2147" s="2">
        <v>3.1392828434189E-6</v>
      </c>
      <c r="D2147" s="2"/>
      <c r="E2147" s="2">
        <v>-0.40785977917045058</v>
      </c>
      <c r="F2147" s="3">
        <v>53.343967598932352</v>
      </c>
      <c r="G2147" s="3">
        <v>1</v>
      </c>
      <c r="H2147" s="2">
        <v>5.4188793757450959E-5</v>
      </c>
      <c r="I2147" s="4">
        <v>5.5511151231257827E-17</v>
      </c>
      <c r="J2147" s="4">
        <v>-0.40785977917045058</v>
      </c>
      <c r="K2147" s="5">
        <v>1</v>
      </c>
      <c r="L2147" s="5">
        <v>0</v>
      </c>
      <c r="M2147" s="5">
        <v>0</v>
      </c>
    </row>
    <row r="2148" spans="1:13" hidden="1" x14ac:dyDescent="0.25">
      <c r="A2148" t="s">
        <v>2159</v>
      </c>
      <c r="B2148" s="1">
        <v>1.0994661273196491E-2</v>
      </c>
      <c r="C2148" s="2">
        <v>3.1327669505038352E-6</v>
      </c>
      <c r="D2148" s="2"/>
      <c r="E2148" s="2">
        <v>-0.45125980075020761</v>
      </c>
      <c r="F2148" s="3">
        <v>49.434202202992559</v>
      </c>
      <c r="G2148" s="3">
        <v>1</v>
      </c>
      <c r="H2148" s="2">
        <v>5.4188793757450959E-5</v>
      </c>
      <c r="I2148" s="4">
        <v>-5.5511151231257827E-17</v>
      </c>
      <c r="J2148" s="4">
        <v>-0.4512598007502075</v>
      </c>
      <c r="K2148" s="5">
        <v>1</v>
      </c>
      <c r="L2148" s="5">
        <v>0</v>
      </c>
      <c r="M2148" s="5">
        <v>0</v>
      </c>
    </row>
    <row r="2149" spans="1:13" hidden="1" x14ac:dyDescent="0.25">
      <c r="A2149" t="s">
        <v>2160</v>
      </c>
      <c r="B2149" s="1">
        <v>1.089540764684316E-2</v>
      </c>
      <c r="C2149" s="2">
        <v>3.104486090127045E-6</v>
      </c>
      <c r="D2149" s="2"/>
      <c r="E2149" s="2">
        <v>0.9962495813759209</v>
      </c>
      <c r="F2149" s="3">
        <v>179.83556806716641</v>
      </c>
      <c r="G2149" s="3">
        <v>1</v>
      </c>
      <c r="H2149" s="2">
        <v>5.4188793757450959E-5</v>
      </c>
      <c r="I2149" s="4">
        <v>-1.110223024625157E-16</v>
      </c>
      <c r="J2149" s="4">
        <v>0.99624958137592101</v>
      </c>
      <c r="K2149" s="5">
        <v>1</v>
      </c>
      <c r="L2149" s="5">
        <v>0</v>
      </c>
      <c r="M2149" s="5">
        <v>0</v>
      </c>
    </row>
    <row r="2150" spans="1:13" hidden="1" x14ac:dyDescent="0.25">
      <c r="A2150" t="s">
        <v>2161</v>
      </c>
      <c r="B2150" s="1">
        <v>1.0802706717450299E-2</v>
      </c>
      <c r="C2150" s="2">
        <v>3.0780723243304642E-6</v>
      </c>
      <c r="D2150" s="2"/>
      <c r="E2150" s="2">
        <v>-0.73498986162276625</v>
      </c>
      <c r="F2150" s="3">
        <v>23.87389293566169</v>
      </c>
      <c r="G2150" s="3">
        <v>2</v>
      </c>
      <c r="H2150" s="2">
        <v>1.083775875149019E-4</v>
      </c>
      <c r="I2150" s="4">
        <v>0</v>
      </c>
      <c r="J2150" s="4">
        <v>-0.73498986162276625</v>
      </c>
      <c r="K2150" s="5">
        <v>2</v>
      </c>
      <c r="L2150" s="5">
        <v>0</v>
      </c>
      <c r="M2150" s="5">
        <v>0</v>
      </c>
    </row>
    <row r="2151" spans="1:13" hidden="1" x14ac:dyDescent="0.25">
      <c r="A2151" t="s">
        <v>2162</v>
      </c>
      <c r="B2151" s="1">
        <v>1.0749711852597229E-2</v>
      </c>
      <c r="C2151" s="2">
        <v>3.062972217375569E-6</v>
      </c>
      <c r="D2151" s="2"/>
      <c r="E2151" s="2">
        <v>-0.53535834814598726</v>
      </c>
      <c r="F2151" s="3">
        <v>41.858040291354563</v>
      </c>
      <c r="G2151" s="3">
        <v>1</v>
      </c>
      <c r="H2151" s="2">
        <v>5.4188793757450959E-5</v>
      </c>
      <c r="I2151" s="4">
        <v>0</v>
      </c>
      <c r="J2151" s="4">
        <v>-0.53535834814598726</v>
      </c>
      <c r="K2151" s="5">
        <v>1</v>
      </c>
      <c r="L2151" s="5">
        <v>0</v>
      </c>
      <c r="M2151" s="5">
        <v>0</v>
      </c>
    </row>
    <row r="2152" spans="1:13" hidden="1" x14ac:dyDescent="0.25">
      <c r="A2152" t="s">
        <v>2163</v>
      </c>
      <c r="B2152" s="1">
        <v>1.07197265206472E-2</v>
      </c>
      <c r="C2152" s="2">
        <v>3.0544283382510771E-6</v>
      </c>
      <c r="D2152" s="2"/>
      <c r="E2152" s="2">
        <v>-0.3435303604220441</v>
      </c>
      <c r="F2152" s="3">
        <v>59.139193642800343</v>
      </c>
      <c r="G2152" s="3">
        <v>1</v>
      </c>
      <c r="H2152" s="2">
        <v>5.4188793757450959E-5</v>
      </c>
      <c r="I2152" s="4">
        <v>0</v>
      </c>
      <c r="J2152" s="4">
        <v>-0.3435303604220441</v>
      </c>
      <c r="K2152" s="5">
        <v>1</v>
      </c>
      <c r="L2152" s="5">
        <v>0</v>
      </c>
      <c r="M2152" s="5">
        <v>0</v>
      </c>
    </row>
    <row r="2153" spans="1:13" hidden="1" x14ac:dyDescent="0.25">
      <c r="A2153" t="s">
        <v>2164</v>
      </c>
      <c r="B2153" s="1">
        <v>1.07057754694726E-2</v>
      </c>
      <c r="C2153" s="2">
        <v>3.0504531914995211E-6</v>
      </c>
      <c r="D2153" s="2"/>
      <c r="E2153" s="2">
        <v>-0.13732103271685769</v>
      </c>
      <c r="F2153" s="3">
        <v>77.715914677376887</v>
      </c>
      <c r="G2153" s="3">
        <v>1</v>
      </c>
      <c r="H2153" s="2">
        <v>5.4188793757450959E-5</v>
      </c>
      <c r="I2153" s="4">
        <v>-2.775557561562891E-17</v>
      </c>
      <c r="J2153" s="4">
        <v>-0.13732103271685769</v>
      </c>
      <c r="K2153" s="5">
        <v>1</v>
      </c>
      <c r="L2153" s="5">
        <v>0</v>
      </c>
      <c r="M2153" s="5">
        <v>0</v>
      </c>
    </row>
    <row r="2154" spans="1:13" hidden="1" x14ac:dyDescent="0.25">
      <c r="A2154" t="s">
        <v>2165</v>
      </c>
      <c r="B2154" s="1">
        <v>1.0679491157858269E-2</v>
      </c>
      <c r="C2154" s="2">
        <v>3.0429638636615791E-6</v>
      </c>
      <c r="D2154" s="2"/>
      <c r="E2154" s="2">
        <v>0.1992810408451211</v>
      </c>
      <c r="F2154" s="3">
        <v>108.03928990878561</v>
      </c>
      <c r="G2154" s="3">
        <v>1</v>
      </c>
      <c r="H2154" s="2">
        <v>5.4188793757450959E-5</v>
      </c>
      <c r="I2154" s="4">
        <v>2.775557561562891E-17</v>
      </c>
      <c r="J2154" s="4">
        <v>0.1992810408451211</v>
      </c>
      <c r="K2154" s="5">
        <v>1</v>
      </c>
      <c r="L2154" s="5">
        <v>0</v>
      </c>
      <c r="M2154" s="5">
        <v>0</v>
      </c>
    </row>
    <row r="2155" spans="1:13" hidden="1" x14ac:dyDescent="0.25">
      <c r="A2155" t="s">
        <v>2166</v>
      </c>
      <c r="B2155" s="1">
        <v>1.06664914196939E-2</v>
      </c>
      <c r="C2155" s="2">
        <v>3.0392597795543371E-6</v>
      </c>
      <c r="D2155" s="2"/>
      <c r="E2155" s="2">
        <v>-4.4230105695455713E-2</v>
      </c>
      <c r="F2155" s="3">
        <v>86.10217053384855</v>
      </c>
      <c r="G2155" s="3">
        <v>1</v>
      </c>
      <c r="H2155" s="2">
        <v>5.4188793757450959E-5</v>
      </c>
      <c r="I2155" s="4">
        <v>2.0816681711721691E-17</v>
      </c>
      <c r="J2155" s="4">
        <v>-4.4230105695455733E-2</v>
      </c>
      <c r="K2155" s="5">
        <v>1</v>
      </c>
      <c r="L2155" s="5">
        <v>0</v>
      </c>
      <c r="M2155" s="5">
        <v>0</v>
      </c>
    </row>
    <row r="2156" spans="1:13" hidden="1" x14ac:dyDescent="0.25">
      <c r="A2156" t="s">
        <v>2167</v>
      </c>
      <c r="B2156" s="1">
        <v>1.065494419979327E-2</v>
      </c>
      <c r="C2156" s="2">
        <v>3.035969569153489E-6</v>
      </c>
      <c r="D2156" s="2"/>
      <c r="E2156" s="2">
        <v>-0.53404678864633359</v>
      </c>
      <c r="F2156" s="3">
        <v>41.976194378836702</v>
      </c>
      <c r="G2156" s="3">
        <v>1</v>
      </c>
      <c r="H2156" s="2">
        <v>5.4188793757450959E-5</v>
      </c>
      <c r="I2156" s="4">
        <v>0</v>
      </c>
      <c r="J2156" s="4">
        <v>-0.53404678864633359</v>
      </c>
      <c r="K2156" s="5">
        <v>1</v>
      </c>
      <c r="L2156" s="5">
        <v>0</v>
      </c>
      <c r="M2156" s="5">
        <v>0</v>
      </c>
    </row>
    <row r="2157" spans="1:13" hidden="1" x14ac:dyDescent="0.25">
      <c r="A2157" t="s">
        <v>2168</v>
      </c>
      <c r="B2157" s="1">
        <v>1.064297566501554E-2</v>
      </c>
      <c r="C2157" s="2">
        <v>3.0325593112777831E-6</v>
      </c>
      <c r="D2157" s="2"/>
      <c r="E2157" s="2">
        <v>-0.52254368590525657</v>
      </c>
      <c r="F2157" s="3">
        <v>43.012471122624788</v>
      </c>
      <c r="G2157" s="3">
        <v>1</v>
      </c>
      <c r="H2157" s="2">
        <v>5.4188793757450959E-5</v>
      </c>
      <c r="I2157" s="4">
        <v>0</v>
      </c>
      <c r="J2157" s="4">
        <v>-0.52254368590525657</v>
      </c>
      <c r="K2157" s="5">
        <v>1</v>
      </c>
      <c r="L2157" s="5">
        <v>0</v>
      </c>
      <c r="M2157" s="5">
        <v>0</v>
      </c>
    </row>
    <row r="2158" spans="1:13" hidden="1" x14ac:dyDescent="0.25">
      <c r="A2158" t="s">
        <v>2169</v>
      </c>
      <c r="B2158" s="1">
        <v>1.0551433465737191E-2</v>
      </c>
      <c r="C2158" s="2">
        <v>3.006475708577371E-6</v>
      </c>
      <c r="D2158" s="2"/>
      <c r="E2158" s="2" t="s">
        <v>303</v>
      </c>
      <c r="F2158" s="3" t="s">
        <v>303</v>
      </c>
      <c r="G2158" s="3">
        <v>1</v>
      </c>
      <c r="H2158" s="2">
        <v>5.4188793757450959E-5</v>
      </c>
      <c r="I2158" s="4" t="s">
        <v>303</v>
      </c>
      <c r="J2158" s="4">
        <v>0</v>
      </c>
      <c r="K2158" s="5">
        <v>1</v>
      </c>
      <c r="L2158" s="5">
        <v>0</v>
      </c>
      <c r="M2158" s="5">
        <v>1</v>
      </c>
    </row>
    <row r="2159" spans="1:13" hidden="1" x14ac:dyDescent="0.25">
      <c r="A2159" t="s">
        <v>2170</v>
      </c>
      <c r="B2159" s="1">
        <v>1.0548260555945609E-2</v>
      </c>
      <c r="C2159" s="2">
        <v>3.0055716346195659E-6</v>
      </c>
      <c r="D2159" s="2"/>
      <c r="E2159" s="2">
        <v>-0.1791064392685511</v>
      </c>
      <c r="F2159" s="3">
        <v>73.951604646082146</v>
      </c>
      <c r="G2159" s="3">
        <v>1</v>
      </c>
      <c r="H2159" s="2">
        <v>5.4188793757450959E-5</v>
      </c>
      <c r="I2159" s="4">
        <v>5.5511151231257827E-17</v>
      </c>
      <c r="J2159" s="4">
        <v>-0.1791064392685511</v>
      </c>
      <c r="K2159" s="5">
        <v>1</v>
      </c>
      <c r="L2159" s="5">
        <v>0</v>
      </c>
      <c r="M2159" s="5">
        <v>0</v>
      </c>
    </row>
    <row r="2160" spans="1:13" hidden="1" x14ac:dyDescent="0.25">
      <c r="A2160" t="s">
        <v>2171</v>
      </c>
      <c r="B2160" s="1">
        <v>1.05373946149137E-2</v>
      </c>
      <c r="C2160" s="2">
        <v>3.002475544607782E-6</v>
      </c>
      <c r="D2160" s="2"/>
      <c r="E2160" s="2">
        <v>-0.33321399308253707</v>
      </c>
      <c r="F2160" s="3">
        <v>60.068561292115561</v>
      </c>
      <c r="G2160" s="3">
        <v>1</v>
      </c>
      <c r="H2160" s="2">
        <v>5.4188793757450959E-5</v>
      </c>
      <c r="I2160" s="4">
        <v>0</v>
      </c>
      <c r="J2160" s="4">
        <v>-0.33321399308253707</v>
      </c>
      <c r="K2160" s="5">
        <v>1</v>
      </c>
      <c r="L2160" s="5">
        <v>0</v>
      </c>
      <c r="M2160" s="5">
        <v>0</v>
      </c>
    </row>
    <row r="2161" spans="1:13" hidden="1" x14ac:dyDescent="0.25">
      <c r="A2161" t="s">
        <v>2172</v>
      </c>
      <c r="B2161" s="1">
        <v>1.0535918743535161E-2</v>
      </c>
      <c r="C2161" s="2">
        <v>3.0020550167749542E-6</v>
      </c>
      <c r="D2161" s="2"/>
      <c r="E2161" s="2">
        <v>-0.89566162893424117</v>
      </c>
      <c r="F2161" s="3">
        <v>9.3995011479879977</v>
      </c>
      <c r="G2161" s="3">
        <v>2</v>
      </c>
      <c r="H2161" s="2">
        <v>1.083775875149019E-4</v>
      </c>
      <c r="I2161" s="4">
        <v>1.110223024625157E-16</v>
      </c>
      <c r="J2161" s="4">
        <v>-0.89566162893424128</v>
      </c>
      <c r="K2161" s="5">
        <v>2</v>
      </c>
      <c r="L2161" s="5">
        <v>0</v>
      </c>
      <c r="M2161" s="5">
        <v>0</v>
      </c>
    </row>
    <row r="2162" spans="1:13" hidden="1" x14ac:dyDescent="0.25">
      <c r="A2162" t="s">
        <v>2173</v>
      </c>
      <c r="B2162" s="1">
        <v>1.0535366070834599E-2</v>
      </c>
      <c r="C2162" s="2">
        <v>3.0018975408211501E-6</v>
      </c>
      <c r="D2162" s="2"/>
      <c r="E2162" s="2">
        <v>-0.83861897085478376</v>
      </c>
      <c r="F2162" s="3">
        <v>14.53828685669172</v>
      </c>
      <c r="G2162" s="3">
        <v>1</v>
      </c>
      <c r="H2162" s="2">
        <v>5.4188793757450959E-5</v>
      </c>
      <c r="I2162" s="4">
        <v>0</v>
      </c>
      <c r="J2162" s="4">
        <v>-0.83861897085478376</v>
      </c>
      <c r="K2162" s="5">
        <v>1</v>
      </c>
      <c r="L2162" s="5">
        <v>0</v>
      </c>
      <c r="M2162" s="5">
        <v>0</v>
      </c>
    </row>
    <row r="2163" spans="1:13" hidden="1" x14ac:dyDescent="0.25">
      <c r="A2163" t="s">
        <v>2174</v>
      </c>
      <c r="B2163" s="1">
        <v>1.053429766206351E-2</v>
      </c>
      <c r="C2163" s="2">
        <v>3.0015931134627668E-6</v>
      </c>
      <c r="D2163" s="2"/>
      <c r="E2163" s="2">
        <v>-0.31150901184215418</v>
      </c>
      <c r="F2163" s="3">
        <v>62.023891761645842</v>
      </c>
      <c r="G2163" s="3">
        <v>1</v>
      </c>
      <c r="H2163" s="2">
        <v>5.4188793757450959E-5</v>
      </c>
      <c r="I2163" s="4">
        <v>-5.5511151231257827E-17</v>
      </c>
      <c r="J2163" s="4">
        <v>-0.31150901184215413</v>
      </c>
      <c r="K2163" s="5">
        <v>1</v>
      </c>
      <c r="L2163" s="5">
        <v>0</v>
      </c>
      <c r="M2163" s="5">
        <v>0</v>
      </c>
    </row>
    <row r="2164" spans="1:13" hidden="1" x14ac:dyDescent="0.25">
      <c r="A2164" t="s">
        <v>2175</v>
      </c>
      <c r="B2164" s="1">
        <v>1.051607286165333E-2</v>
      </c>
      <c r="C2164" s="2">
        <v>2.9964002247519791E-6</v>
      </c>
      <c r="D2164" s="2"/>
      <c r="E2164" s="2">
        <v>-0.84978847388288081</v>
      </c>
      <c r="F2164" s="3">
        <v>13.532063015331531</v>
      </c>
      <c r="G2164" s="3">
        <v>1</v>
      </c>
      <c r="H2164" s="2">
        <v>5.4188793757450959E-5</v>
      </c>
      <c r="I2164" s="4">
        <v>-0.69306371189579841</v>
      </c>
      <c r="J2164" s="4">
        <v>-0.15672476198708241</v>
      </c>
      <c r="K2164" s="5">
        <v>1</v>
      </c>
      <c r="L2164" s="5">
        <v>0</v>
      </c>
      <c r="M2164" s="5">
        <v>0</v>
      </c>
    </row>
    <row r="2165" spans="1:13" hidden="1" x14ac:dyDescent="0.25">
      <c r="A2165" t="s">
        <v>2176</v>
      </c>
      <c r="B2165" s="1">
        <v>1.0509938853222579E-2</v>
      </c>
      <c r="C2165" s="2">
        <v>2.9946524293075831E-6</v>
      </c>
      <c r="D2165" s="2"/>
      <c r="E2165" s="2">
        <v>-0.36573101551369058</v>
      </c>
      <c r="F2165" s="3">
        <v>57.13920954405971</v>
      </c>
      <c r="G2165" s="3">
        <v>1</v>
      </c>
      <c r="H2165" s="2">
        <v>5.4188793757450959E-5</v>
      </c>
      <c r="I2165" s="4">
        <v>5.5511151231257827E-17</v>
      </c>
      <c r="J2165" s="4">
        <v>-0.36573101551369058</v>
      </c>
      <c r="K2165" s="5">
        <v>1</v>
      </c>
      <c r="L2165" s="5">
        <v>0</v>
      </c>
      <c r="M2165" s="5">
        <v>0</v>
      </c>
    </row>
    <row r="2166" spans="1:13" hidden="1" x14ac:dyDescent="0.25">
      <c r="A2166" t="s">
        <v>2177</v>
      </c>
      <c r="B2166" s="1">
        <v>1.049619602955219E-2</v>
      </c>
      <c r="C2166" s="2">
        <v>2.9907366139194231E-6</v>
      </c>
      <c r="D2166" s="2"/>
      <c r="E2166" s="2">
        <v>-0.80837065705662747</v>
      </c>
      <c r="F2166" s="3">
        <v>17.263258095616671</v>
      </c>
      <c r="G2166" s="3">
        <v>2</v>
      </c>
      <c r="H2166" s="2">
        <v>1.083775875149019E-4</v>
      </c>
      <c r="I2166" s="4">
        <v>0</v>
      </c>
      <c r="J2166" s="4">
        <v>-0.80837065705662747</v>
      </c>
      <c r="K2166" s="5">
        <v>2</v>
      </c>
      <c r="L2166" s="5">
        <v>0</v>
      </c>
      <c r="M2166" s="5">
        <v>0</v>
      </c>
    </row>
    <row r="2167" spans="1:13" hidden="1" x14ac:dyDescent="0.25">
      <c r="A2167" t="s">
        <v>2178</v>
      </c>
      <c r="B2167" s="1">
        <v>1.043166257762115E-2</v>
      </c>
      <c r="C2167" s="2">
        <v>2.9723487563594661E-6</v>
      </c>
      <c r="D2167" s="2"/>
      <c r="E2167" s="2">
        <v>-0.4610360252545278</v>
      </c>
      <c r="F2167" s="3">
        <v>48.553494247590109</v>
      </c>
      <c r="G2167" s="3">
        <v>1</v>
      </c>
      <c r="H2167" s="2">
        <v>5.4188793757450959E-5</v>
      </c>
      <c r="I2167" s="4">
        <v>-5.5511151231257827E-17</v>
      </c>
      <c r="J2167" s="4">
        <v>-0.46103602525452769</v>
      </c>
      <c r="K2167" s="5">
        <v>1</v>
      </c>
      <c r="L2167" s="5">
        <v>0</v>
      </c>
      <c r="M2167" s="5">
        <v>0</v>
      </c>
    </row>
    <row r="2168" spans="1:13" hidden="1" x14ac:dyDescent="0.25">
      <c r="A2168" t="s">
        <v>2179</v>
      </c>
      <c r="B2168" s="1">
        <v>1.042724445954217E-2</v>
      </c>
      <c r="C2168" s="2">
        <v>2.9710898786225969E-6</v>
      </c>
      <c r="D2168" s="2"/>
      <c r="E2168" s="2">
        <v>-0.41995457831579391</v>
      </c>
      <c r="F2168" s="3">
        <v>52.254386869521788</v>
      </c>
      <c r="G2168" s="3">
        <v>1</v>
      </c>
      <c r="H2168" s="2">
        <v>5.4188793757450959E-5</v>
      </c>
      <c r="I2168" s="4">
        <v>5.5511151231257827E-17</v>
      </c>
      <c r="J2168" s="4">
        <v>-0.41995457831579391</v>
      </c>
      <c r="K2168" s="5">
        <v>1</v>
      </c>
      <c r="L2168" s="5">
        <v>0</v>
      </c>
      <c r="M2168" s="5">
        <v>0</v>
      </c>
    </row>
    <row r="2169" spans="1:13" hidden="1" x14ac:dyDescent="0.25">
      <c r="A2169" t="s">
        <v>2180</v>
      </c>
      <c r="B2169" s="1">
        <v>1.041589091041532E-2</v>
      </c>
      <c r="C2169" s="2">
        <v>2.9678548518589979E-6</v>
      </c>
      <c r="D2169" s="2"/>
      <c r="E2169" s="2">
        <v>18.299072497162982</v>
      </c>
      <c r="F2169" s="3">
        <v>1738.59005310577</v>
      </c>
      <c r="G2169" s="3">
        <v>1</v>
      </c>
      <c r="H2169" s="2">
        <v>5.4188793757450959E-5</v>
      </c>
      <c r="I2169" s="4">
        <v>3.5527136788005009E-15</v>
      </c>
      <c r="J2169" s="4">
        <v>18.299072497162982</v>
      </c>
      <c r="K2169" s="5">
        <v>1</v>
      </c>
      <c r="L2169" s="5">
        <v>0</v>
      </c>
      <c r="M2169" s="5">
        <v>0</v>
      </c>
    </row>
    <row r="2170" spans="1:13" hidden="1" x14ac:dyDescent="0.25">
      <c r="A2170" t="s">
        <v>2181</v>
      </c>
      <c r="B2170" s="1">
        <v>1.032590931402905E-2</v>
      </c>
      <c r="C2170" s="2">
        <v>2.9422159199894249E-6</v>
      </c>
      <c r="D2170" s="2"/>
      <c r="E2170" s="2">
        <v>-0.53189670533938527</v>
      </c>
      <c r="F2170" s="3">
        <v>42.169888321970959</v>
      </c>
      <c r="G2170" s="3">
        <v>1</v>
      </c>
      <c r="H2170" s="2">
        <v>5.4188793757450959E-5</v>
      </c>
      <c r="I2170" s="4">
        <v>-1.110223024625157E-16</v>
      </c>
      <c r="J2170" s="4">
        <v>-0.53189670533938516</v>
      </c>
      <c r="K2170" s="5">
        <v>1</v>
      </c>
      <c r="L2170" s="5">
        <v>0</v>
      </c>
      <c r="M2170" s="5">
        <v>0</v>
      </c>
    </row>
    <row r="2171" spans="1:13" hidden="1" x14ac:dyDescent="0.25">
      <c r="A2171" t="s">
        <v>2182</v>
      </c>
      <c r="B2171" s="1">
        <v>1.0315143225306619E-2</v>
      </c>
      <c r="C2171" s="2">
        <v>2.939148281423968E-6</v>
      </c>
      <c r="D2171" s="2"/>
      <c r="E2171" s="2">
        <v>0.71247541396571257</v>
      </c>
      <c r="F2171" s="3">
        <v>154.27128538672741</v>
      </c>
      <c r="G2171" s="3">
        <v>1</v>
      </c>
      <c r="H2171" s="2">
        <v>5.4188793757450959E-5</v>
      </c>
      <c r="I2171" s="4">
        <v>0</v>
      </c>
      <c r="J2171" s="4">
        <v>0.71247541396571257</v>
      </c>
      <c r="K2171" s="5">
        <v>1</v>
      </c>
      <c r="L2171" s="5">
        <v>0</v>
      </c>
      <c r="M2171" s="5">
        <v>0</v>
      </c>
    </row>
    <row r="2172" spans="1:13" hidden="1" x14ac:dyDescent="0.25">
      <c r="A2172" t="s">
        <v>2183</v>
      </c>
      <c r="B2172" s="1">
        <v>1.0304496381745991E-2</v>
      </c>
      <c r="C2172" s="2">
        <v>2.9361146200127481E-6</v>
      </c>
      <c r="D2172" s="2"/>
      <c r="E2172" s="2">
        <v>-0.68396954523541376</v>
      </c>
      <c r="F2172" s="3">
        <v>28.470145661817309</v>
      </c>
      <c r="G2172" s="3">
        <v>1</v>
      </c>
      <c r="H2172" s="2">
        <v>5.4188793757450959E-5</v>
      </c>
      <c r="I2172" s="4">
        <v>0</v>
      </c>
      <c r="J2172" s="4">
        <v>-0.68396954523541376</v>
      </c>
      <c r="K2172" s="5">
        <v>1</v>
      </c>
      <c r="L2172" s="5">
        <v>0</v>
      </c>
      <c r="M2172" s="5">
        <v>0</v>
      </c>
    </row>
    <row r="2173" spans="1:13" hidden="1" x14ac:dyDescent="0.25">
      <c r="A2173" t="s">
        <v>2184</v>
      </c>
      <c r="B2173" s="1">
        <v>1.029443196539123E-2</v>
      </c>
      <c r="C2173" s="2">
        <v>2.9332469126638028E-6</v>
      </c>
      <c r="D2173" s="2"/>
      <c r="E2173" s="2">
        <v>-0.60145336502150293</v>
      </c>
      <c r="F2173" s="3">
        <v>35.903757311355257</v>
      </c>
      <c r="G2173" s="3">
        <v>1</v>
      </c>
      <c r="H2173" s="2">
        <v>5.4188793757450959E-5</v>
      </c>
      <c r="I2173" s="4">
        <v>0</v>
      </c>
      <c r="J2173" s="4">
        <v>-0.60145336502150293</v>
      </c>
      <c r="K2173" s="5">
        <v>1</v>
      </c>
      <c r="L2173" s="5">
        <v>0</v>
      </c>
      <c r="M2173" s="5">
        <v>0</v>
      </c>
    </row>
    <row r="2174" spans="1:13" hidden="1" x14ac:dyDescent="0.25">
      <c r="A2174" t="s">
        <v>2185</v>
      </c>
      <c r="B2174" s="1">
        <v>1.029192149111911E-2</v>
      </c>
      <c r="C2174" s="2">
        <v>2.932531589959959E-6</v>
      </c>
      <c r="D2174" s="2"/>
      <c r="E2174" s="2">
        <v>-0.76234565501680362</v>
      </c>
      <c r="F2174" s="3">
        <v>21.409499359406599</v>
      </c>
      <c r="G2174" s="3">
        <v>1</v>
      </c>
      <c r="H2174" s="2">
        <v>5.4188793757450959E-5</v>
      </c>
      <c r="I2174" s="4">
        <v>-1.110223024625157E-16</v>
      </c>
      <c r="J2174" s="4">
        <v>-0.7623456550168034</v>
      </c>
      <c r="K2174" s="5">
        <v>1</v>
      </c>
      <c r="L2174" s="5">
        <v>0</v>
      </c>
      <c r="M2174" s="5">
        <v>0</v>
      </c>
    </row>
    <row r="2175" spans="1:13" hidden="1" x14ac:dyDescent="0.25">
      <c r="A2175" t="s">
        <v>2186</v>
      </c>
      <c r="B2175" s="1">
        <v>1.026655172904526E-2</v>
      </c>
      <c r="C2175" s="2">
        <v>2.925302849556575E-6</v>
      </c>
      <c r="D2175" s="2"/>
      <c r="E2175" s="2">
        <v>-9.0335019554654061E-2</v>
      </c>
      <c r="F2175" s="3">
        <v>81.94873027672304</v>
      </c>
      <c r="G2175" s="3">
        <v>1</v>
      </c>
      <c r="H2175" s="2">
        <v>5.4188793757450959E-5</v>
      </c>
      <c r="I2175" s="4">
        <v>5.5511151231257827E-17</v>
      </c>
      <c r="J2175" s="4">
        <v>-9.0335019554654117E-2</v>
      </c>
      <c r="K2175" s="5">
        <v>1</v>
      </c>
      <c r="L2175" s="5">
        <v>0</v>
      </c>
      <c r="M2175" s="5">
        <v>0</v>
      </c>
    </row>
    <row r="2176" spans="1:13" hidden="1" x14ac:dyDescent="0.25">
      <c r="A2176" t="s">
        <v>2187</v>
      </c>
      <c r="B2176" s="1">
        <v>1.0238407353996771E-2</v>
      </c>
      <c r="C2176" s="2">
        <v>2.9172835240126889E-6</v>
      </c>
      <c r="D2176" s="2"/>
      <c r="E2176" s="2">
        <v>0.22068606954421741</v>
      </c>
      <c r="F2176" s="3">
        <v>109.9675986390711</v>
      </c>
      <c r="G2176" s="3">
        <v>1</v>
      </c>
      <c r="H2176" s="2">
        <v>5.4188793757450959E-5</v>
      </c>
      <c r="I2176" s="4">
        <v>0</v>
      </c>
      <c r="J2176" s="4">
        <v>0.22068606954421741</v>
      </c>
      <c r="K2176" s="5">
        <v>1</v>
      </c>
      <c r="L2176" s="5">
        <v>0</v>
      </c>
      <c r="M2176" s="5">
        <v>0</v>
      </c>
    </row>
    <row r="2177" spans="1:13" hidden="1" x14ac:dyDescent="0.25">
      <c r="A2177" t="s">
        <v>2188</v>
      </c>
      <c r="B2177" s="1">
        <v>1.0231338885760411E-2</v>
      </c>
      <c r="C2177" s="2">
        <v>2.9152694679966539E-6</v>
      </c>
      <c r="D2177" s="2"/>
      <c r="E2177" s="2">
        <v>2.2824703000761808</v>
      </c>
      <c r="F2177" s="3">
        <v>295.70696799892772</v>
      </c>
      <c r="G2177" s="3">
        <v>1</v>
      </c>
      <c r="H2177" s="2">
        <v>5.4188793757450959E-5</v>
      </c>
      <c r="I2177" s="4">
        <v>0</v>
      </c>
      <c r="J2177" s="4">
        <v>2.2824703000761808</v>
      </c>
      <c r="K2177" s="5">
        <v>1</v>
      </c>
      <c r="L2177" s="5">
        <v>0</v>
      </c>
      <c r="M2177" s="5">
        <v>0</v>
      </c>
    </row>
    <row r="2178" spans="1:13" hidden="1" x14ac:dyDescent="0.25">
      <c r="A2178" t="s">
        <v>2189</v>
      </c>
      <c r="B2178" s="1">
        <v>1.0218189931212389E-2</v>
      </c>
      <c r="C2178" s="2">
        <v>2.9115228668765128E-6</v>
      </c>
      <c r="D2178" s="2"/>
      <c r="E2178" s="2">
        <v>-0.6850139880652687</v>
      </c>
      <c r="F2178" s="3">
        <v>28.376055237767641</v>
      </c>
      <c r="G2178" s="3">
        <v>1</v>
      </c>
      <c r="H2178" s="2">
        <v>5.4188793757450959E-5</v>
      </c>
      <c r="I2178" s="4">
        <v>0</v>
      </c>
      <c r="J2178" s="4">
        <v>-0.6850139880652687</v>
      </c>
      <c r="K2178" s="5">
        <v>1</v>
      </c>
      <c r="L2178" s="5">
        <v>0</v>
      </c>
      <c r="M2178" s="5">
        <v>0</v>
      </c>
    </row>
    <row r="2179" spans="1:13" hidden="1" x14ac:dyDescent="0.25">
      <c r="A2179" t="s">
        <v>2190</v>
      </c>
      <c r="B2179" s="1">
        <v>1.0215521110890141E-2</v>
      </c>
      <c r="C2179" s="2">
        <v>2.9107624257956461E-6</v>
      </c>
      <c r="D2179" s="2"/>
      <c r="E2179" s="2">
        <v>-0.29978057414566189</v>
      </c>
      <c r="F2179" s="3">
        <v>63.080468191450422</v>
      </c>
      <c r="G2179" s="3">
        <v>1</v>
      </c>
      <c r="H2179" s="2">
        <v>5.4188793757450959E-5</v>
      </c>
      <c r="I2179" s="4">
        <v>5.5511151231257827E-17</v>
      </c>
      <c r="J2179" s="4">
        <v>-0.299780574145662</v>
      </c>
      <c r="K2179" s="5">
        <v>1</v>
      </c>
      <c r="L2179" s="5">
        <v>0</v>
      </c>
      <c r="M2179" s="5">
        <v>0</v>
      </c>
    </row>
    <row r="2180" spans="1:13" hidden="1" x14ac:dyDescent="0.25">
      <c r="A2180" t="s">
        <v>2191</v>
      </c>
      <c r="B2180" s="1">
        <v>1.0183239733937199E-2</v>
      </c>
      <c r="C2180" s="2">
        <v>2.9015643224323831E-6</v>
      </c>
      <c r="D2180" s="2"/>
      <c r="E2180" s="2">
        <v>-0.76812242375235196</v>
      </c>
      <c r="F2180" s="3">
        <v>20.889089237925731</v>
      </c>
      <c r="G2180" s="3">
        <v>1</v>
      </c>
      <c r="H2180" s="2">
        <v>5.4188793757450959E-5</v>
      </c>
      <c r="I2180" s="4">
        <v>-1.110223024625157E-16</v>
      </c>
      <c r="J2180" s="4">
        <v>-0.76812242375235185</v>
      </c>
      <c r="K2180" s="5">
        <v>1</v>
      </c>
      <c r="L2180" s="5">
        <v>0</v>
      </c>
      <c r="M2180" s="5">
        <v>0</v>
      </c>
    </row>
    <row r="2181" spans="1:13" hidden="1" x14ac:dyDescent="0.25">
      <c r="A2181" t="s">
        <v>2192</v>
      </c>
      <c r="B2181" s="1">
        <v>1.007050361526985E-2</v>
      </c>
      <c r="C2181" s="2">
        <v>2.869441824256823E-6</v>
      </c>
      <c r="D2181" s="2"/>
      <c r="E2181" s="2">
        <v>26.77089477588363</v>
      </c>
      <c r="F2181" s="3">
        <v>2501.7886963373958</v>
      </c>
      <c r="G2181" s="3">
        <v>1</v>
      </c>
      <c r="H2181" s="2">
        <v>5.4188793757450959E-5</v>
      </c>
      <c r="I2181" s="4">
        <v>3.5527136788005009E-15</v>
      </c>
      <c r="J2181" s="4">
        <v>26.77089477588363</v>
      </c>
      <c r="K2181" s="5">
        <v>1</v>
      </c>
      <c r="L2181" s="5">
        <v>0</v>
      </c>
      <c r="M2181" s="5">
        <v>0</v>
      </c>
    </row>
    <row r="2182" spans="1:13" hidden="1" x14ac:dyDescent="0.25">
      <c r="A2182" t="s">
        <v>2193</v>
      </c>
      <c r="B2182" s="1">
        <v>1.006392166485828E-2</v>
      </c>
      <c r="C2182" s="2">
        <v>2.8675663943361659E-6</v>
      </c>
      <c r="D2182" s="2"/>
      <c r="E2182" s="2">
        <v>-0.41539166798862581</v>
      </c>
      <c r="F2182" s="3">
        <v>52.665444473932283</v>
      </c>
      <c r="G2182" s="3">
        <v>1</v>
      </c>
      <c r="H2182" s="2">
        <v>5.4188793757450959E-5</v>
      </c>
      <c r="I2182" s="4">
        <v>5.5511151231257827E-17</v>
      </c>
      <c r="J2182" s="4">
        <v>-0.41539166798862592</v>
      </c>
      <c r="K2182" s="5">
        <v>1</v>
      </c>
      <c r="L2182" s="5">
        <v>0</v>
      </c>
      <c r="M2182" s="5">
        <v>0</v>
      </c>
    </row>
    <row r="2183" spans="1:13" hidden="1" x14ac:dyDescent="0.25">
      <c r="A2183" t="s">
        <v>2194</v>
      </c>
      <c r="B2183" s="1">
        <v>1.0062831921376639E-2</v>
      </c>
      <c r="C2183" s="2">
        <v>2.8672558879659409E-6</v>
      </c>
      <c r="D2183" s="2"/>
      <c r="E2183" s="2">
        <v>0.62748392449456847</v>
      </c>
      <c r="F2183" s="3">
        <v>146.61468125640479</v>
      </c>
      <c r="G2183" s="3">
        <v>1</v>
      </c>
      <c r="H2183" s="2">
        <v>5.4188793757450959E-5</v>
      </c>
      <c r="I2183" s="4">
        <v>0</v>
      </c>
      <c r="J2183" s="4">
        <v>0.62748392449456847</v>
      </c>
      <c r="K2183" s="5">
        <v>1</v>
      </c>
      <c r="L2183" s="5">
        <v>0</v>
      </c>
      <c r="M2183" s="5">
        <v>0</v>
      </c>
    </row>
    <row r="2184" spans="1:13" hidden="1" x14ac:dyDescent="0.25">
      <c r="A2184" t="s">
        <v>2195</v>
      </c>
      <c r="B2184" s="1">
        <v>9.9986727558668571E-3</v>
      </c>
      <c r="C2184" s="2">
        <v>2.848974677814341E-6</v>
      </c>
      <c r="D2184" s="2"/>
      <c r="E2184" s="2">
        <v>-0.55214176342074128</v>
      </c>
      <c r="F2184" s="3">
        <v>40.346077534692533</v>
      </c>
      <c r="G2184" s="3">
        <v>1</v>
      </c>
      <c r="H2184" s="2">
        <v>5.4188793757450959E-5</v>
      </c>
      <c r="I2184" s="4">
        <v>0</v>
      </c>
      <c r="J2184" s="4">
        <v>-0.55214176342074128</v>
      </c>
      <c r="K2184" s="5">
        <v>1</v>
      </c>
      <c r="L2184" s="5">
        <v>0</v>
      </c>
      <c r="M2184" s="5">
        <v>0</v>
      </c>
    </row>
    <row r="2185" spans="1:13" hidden="1" x14ac:dyDescent="0.25">
      <c r="A2185" t="s">
        <v>2196</v>
      </c>
      <c r="B2185" s="1">
        <v>9.9647242957261982E-3</v>
      </c>
      <c r="C2185" s="2">
        <v>2.8393015636267831E-6</v>
      </c>
      <c r="D2185" s="2"/>
      <c r="E2185" s="2">
        <v>2.2373697297712498</v>
      </c>
      <c r="F2185" s="3">
        <v>291.64400575382098</v>
      </c>
      <c r="G2185" s="3">
        <v>1</v>
      </c>
      <c r="H2185" s="2">
        <v>5.4188793757450959E-5</v>
      </c>
      <c r="I2185" s="4">
        <v>-4.4408920985006262E-16</v>
      </c>
      <c r="J2185" s="4">
        <v>2.2373697297712498</v>
      </c>
      <c r="K2185" s="5">
        <v>1</v>
      </c>
      <c r="L2185" s="5">
        <v>0</v>
      </c>
      <c r="M2185" s="5">
        <v>0</v>
      </c>
    </row>
    <row r="2186" spans="1:13" hidden="1" x14ac:dyDescent="0.25">
      <c r="A2186" t="s">
        <v>2197</v>
      </c>
      <c r="B2186" s="1">
        <v>9.9258684609672219E-3</v>
      </c>
      <c r="C2186" s="2">
        <v>2.8282301652505629E-6</v>
      </c>
      <c r="D2186" s="2"/>
      <c r="E2186" s="2">
        <v>-0.71275091475595787</v>
      </c>
      <c r="F2186" s="3">
        <v>25.87732661465661</v>
      </c>
      <c r="G2186" s="3">
        <v>3</v>
      </c>
      <c r="H2186" s="2">
        <v>1.6256638127235291E-4</v>
      </c>
      <c r="I2186" s="4">
        <v>-2.2204460492503131E-16</v>
      </c>
      <c r="J2186" s="4">
        <v>-0.71275091475595764</v>
      </c>
      <c r="K2186" s="5">
        <v>3</v>
      </c>
      <c r="L2186" s="5">
        <v>0</v>
      </c>
      <c r="M2186" s="5">
        <v>0</v>
      </c>
    </row>
    <row r="2187" spans="1:13" hidden="1" x14ac:dyDescent="0.25">
      <c r="A2187" t="s">
        <v>2198</v>
      </c>
      <c r="B2187" s="1">
        <v>9.891627491941812E-3</v>
      </c>
      <c r="C2187" s="2">
        <v>2.8184737049603728E-6</v>
      </c>
      <c r="D2187" s="2"/>
      <c r="E2187" s="2">
        <v>2.568427849251886E-2</v>
      </c>
      <c r="F2187" s="3">
        <v>92.400527770244068</v>
      </c>
      <c r="G2187" s="3">
        <v>1</v>
      </c>
      <c r="H2187" s="2">
        <v>5.4188793757450959E-5</v>
      </c>
      <c r="I2187" s="4">
        <v>-5.8980598183211441E-17</v>
      </c>
      <c r="J2187" s="4">
        <v>2.5684278492518919E-2</v>
      </c>
      <c r="K2187" s="5">
        <v>1</v>
      </c>
      <c r="L2187" s="5">
        <v>0</v>
      </c>
      <c r="M2187" s="5">
        <v>0</v>
      </c>
    </row>
    <row r="2188" spans="1:13" hidden="1" x14ac:dyDescent="0.25">
      <c r="A2188" t="s">
        <v>2199</v>
      </c>
      <c r="B2188" s="1">
        <v>9.8828411770356516E-3</v>
      </c>
      <c r="C2188" s="2">
        <v>2.815970173812775E-6</v>
      </c>
      <c r="D2188" s="2"/>
      <c r="E2188" s="2">
        <v>-0.63106842458014878</v>
      </c>
      <c r="F2188" s="3">
        <v>33.23583386693246</v>
      </c>
      <c r="G2188" s="3">
        <v>1</v>
      </c>
      <c r="H2188" s="2">
        <v>5.4188793757450959E-5</v>
      </c>
      <c r="I2188" s="4">
        <v>0</v>
      </c>
      <c r="J2188" s="4">
        <v>-0.63106842458014878</v>
      </c>
      <c r="K2188" s="5">
        <v>1</v>
      </c>
      <c r="L2188" s="5">
        <v>0</v>
      </c>
      <c r="M2188" s="5">
        <v>0</v>
      </c>
    </row>
    <row r="2189" spans="1:13" hidden="1" x14ac:dyDescent="0.25">
      <c r="A2189" t="s">
        <v>2200</v>
      </c>
      <c r="B2189" s="1">
        <v>9.8788819023658131E-3</v>
      </c>
      <c r="C2189" s="2">
        <v>2.8148420367537578E-6</v>
      </c>
      <c r="D2189" s="2"/>
      <c r="E2189" s="2">
        <v>0.25664230141940952</v>
      </c>
      <c r="F2189" s="3">
        <v>113.2067774697928</v>
      </c>
      <c r="G2189" s="3">
        <v>1</v>
      </c>
      <c r="H2189" s="2">
        <v>5.4188793757450959E-5</v>
      </c>
      <c r="I2189" s="4">
        <v>-1.110223024625157E-16</v>
      </c>
      <c r="J2189" s="4">
        <v>0.25664230141940958</v>
      </c>
      <c r="K2189" s="5">
        <v>1</v>
      </c>
      <c r="L2189" s="5">
        <v>0</v>
      </c>
      <c r="M2189" s="5">
        <v>0</v>
      </c>
    </row>
    <row r="2190" spans="1:13" hidden="1" x14ac:dyDescent="0.25">
      <c r="A2190" t="s">
        <v>2201</v>
      </c>
      <c r="B2190" s="1">
        <v>9.8590329330814318E-3</v>
      </c>
      <c r="C2190" s="2">
        <v>2.8091863650208528E-6</v>
      </c>
      <c r="D2190" s="2"/>
      <c r="E2190" s="2">
        <v>-0.57974595139733043</v>
      </c>
      <c r="F2190" s="3">
        <v>37.859306906351982</v>
      </c>
      <c r="G2190" s="3">
        <v>2</v>
      </c>
      <c r="H2190" s="2">
        <v>1.083775875149019E-4</v>
      </c>
      <c r="I2190" s="4">
        <v>1.110223024625157E-16</v>
      </c>
      <c r="J2190" s="4">
        <v>-0.57974595139733054</v>
      </c>
      <c r="K2190" s="5">
        <v>2</v>
      </c>
      <c r="L2190" s="5">
        <v>0</v>
      </c>
      <c r="M2190" s="5">
        <v>0</v>
      </c>
    </row>
    <row r="2191" spans="1:13" hidden="1" x14ac:dyDescent="0.25">
      <c r="A2191" t="s">
        <v>2202</v>
      </c>
      <c r="B2191" s="1">
        <v>9.8531738896181185E-3</v>
      </c>
      <c r="C2191" s="2">
        <v>2.807516916797998E-6</v>
      </c>
      <c r="D2191" s="2"/>
      <c r="E2191" s="2">
        <v>0.10086930062550301</v>
      </c>
      <c r="F2191" s="3">
        <v>99.173699467596819</v>
      </c>
      <c r="G2191" s="3">
        <v>1</v>
      </c>
      <c r="H2191" s="2">
        <v>5.4188793757450959E-5</v>
      </c>
      <c r="I2191" s="4">
        <v>5.5511151231257827E-17</v>
      </c>
      <c r="J2191" s="4">
        <v>0.10086930062550301</v>
      </c>
      <c r="K2191" s="5">
        <v>1</v>
      </c>
      <c r="L2191" s="5">
        <v>0</v>
      </c>
      <c r="M2191" s="5">
        <v>0</v>
      </c>
    </row>
    <row r="2192" spans="1:13" hidden="1" x14ac:dyDescent="0.25">
      <c r="A2192" t="s">
        <v>2203</v>
      </c>
      <c r="B2192" s="1">
        <v>9.8173564319797586E-3</v>
      </c>
      <c r="C2192" s="2">
        <v>2.7973112592745532E-6</v>
      </c>
      <c r="D2192" s="2"/>
      <c r="E2192" s="2">
        <v>0.25610529963269668</v>
      </c>
      <c r="F2192" s="3">
        <v>113.1584007426202</v>
      </c>
      <c r="G2192" s="3">
        <v>1</v>
      </c>
      <c r="H2192" s="2">
        <v>5.4188793757450959E-5</v>
      </c>
      <c r="I2192" s="4">
        <v>1.110223024625157E-16</v>
      </c>
      <c r="J2192" s="4">
        <v>0.25610529963269663</v>
      </c>
      <c r="K2192" s="5">
        <v>1</v>
      </c>
      <c r="L2192" s="5">
        <v>0</v>
      </c>
      <c r="M2192" s="5">
        <v>0</v>
      </c>
    </row>
    <row r="2193" spans="1:13" hidden="1" x14ac:dyDescent="0.25">
      <c r="A2193" t="s">
        <v>2204</v>
      </c>
      <c r="B2193" s="1">
        <v>9.8139079332438539E-3</v>
      </c>
      <c r="C2193" s="2">
        <v>2.7963286603021739E-6</v>
      </c>
      <c r="D2193" s="2"/>
      <c r="E2193" s="2">
        <v>-0.57029699374116827</v>
      </c>
      <c r="F2193" s="3">
        <v>38.710532466317943</v>
      </c>
      <c r="G2193" s="3">
        <v>1</v>
      </c>
      <c r="H2193" s="2">
        <v>5.4188793757450959E-5</v>
      </c>
      <c r="I2193" s="4">
        <v>0</v>
      </c>
      <c r="J2193" s="4">
        <v>-0.57029699374116827</v>
      </c>
      <c r="K2193" s="5">
        <v>1</v>
      </c>
      <c r="L2193" s="5">
        <v>0</v>
      </c>
      <c r="M2193" s="5">
        <v>0</v>
      </c>
    </row>
    <row r="2194" spans="1:13" hidden="1" x14ac:dyDescent="0.25">
      <c r="A2194" t="s">
        <v>2205</v>
      </c>
      <c r="B2194" s="1">
        <v>9.7077384050374103E-3</v>
      </c>
      <c r="C2194" s="2">
        <v>2.76607721545534E-6</v>
      </c>
      <c r="D2194" s="2"/>
      <c r="E2194" s="2">
        <v>-0.52586845613928901</v>
      </c>
      <c r="F2194" s="3">
        <v>42.712953492510657</v>
      </c>
      <c r="G2194" s="3">
        <v>1</v>
      </c>
      <c r="H2194" s="2">
        <v>5.4188793757450959E-5</v>
      </c>
      <c r="I2194" s="4">
        <v>-0.20815759373280701</v>
      </c>
      <c r="J2194" s="4">
        <v>-0.31771086240648211</v>
      </c>
      <c r="K2194" s="5">
        <v>1</v>
      </c>
      <c r="L2194" s="5">
        <v>0</v>
      </c>
      <c r="M2194" s="5">
        <v>0</v>
      </c>
    </row>
    <row r="2195" spans="1:13" hidden="1" x14ac:dyDescent="0.25">
      <c r="A2195" t="s">
        <v>2206</v>
      </c>
      <c r="B2195" s="1">
        <v>9.6930963657139851E-3</v>
      </c>
      <c r="C2195" s="2">
        <v>2.7619051817982199E-6</v>
      </c>
      <c r="D2195" s="2"/>
      <c r="E2195" s="2">
        <v>-0.55088825580921197</v>
      </c>
      <c r="F2195" s="3">
        <v>40.459001918246067</v>
      </c>
      <c r="G2195" s="3">
        <v>1</v>
      </c>
      <c r="H2195" s="2">
        <v>5.4188793757450959E-5</v>
      </c>
      <c r="I2195" s="4">
        <v>0</v>
      </c>
      <c r="J2195" s="4">
        <v>-0.55088825580921197</v>
      </c>
      <c r="K2195" s="5">
        <v>1</v>
      </c>
      <c r="L2195" s="5">
        <v>0</v>
      </c>
      <c r="M2195" s="5">
        <v>0</v>
      </c>
    </row>
    <row r="2196" spans="1:13" hidden="1" x14ac:dyDescent="0.25">
      <c r="A2196" t="s">
        <v>2207</v>
      </c>
      <c r="B2196" s="1">
        <v>9.692015037624846E-3</v>
      </c>
      <c r="C2196" s="2">
        <v>2.7615970732702601E-6</v>
      </c>
      <c r="D2196" s="2"/>
      <c r="E2196" s="2">
        <v>-0.42715800132993598</v>
      </c>
      <c r="F2196" s="3">
        <v>51.605454149955008</v>
      </c>
      <c r="G2196" s="3">
        <v>1</v>
      </c>
      <c r="H2196" s="2">
        <v>5.4188793757450959E-5</v>
      </c>
      <c r="I2196" s="4">
        <v>0</v>
      </c>
      <c r="J2196" s="4">
        <v>-0.42715800132993598</v>
      </c>
      <c r="K2196" s="5">
        <v>1</v>
      </c>
      <c r="L2196" s="5">
        <v>0</v>
      </c>
      <c r="M2196" s="5">
        <v>0</v>
      </c>
    </row>
    <row r="2197" spans="1:13" hidden="1" x14ac:dyDescent="0.25">
      <c r="A2197" t="s">
        <v>2208</v>
      </c>
      <c r="B2197" s="1">
        <v>9.686511811008932E-3</v>
      </c>
      <c r="C2197" s="2">
        <v>2.7600290098224571E-6</v>
      </c>
      <c r="D2197" s="2"/>
      <c r="E2197" s="2">
        <v>-0.64998523675950814</v>
      </c>
      <c r="F2197" s="3">
        <v>31.531680390316492</v>
      </c>
      <c r="G2197" s="3">
        <v>1</v>
      </c>
      <c r="H2197" s="2">
        <v>5.4188793757450959E-5</v>
      </c>
      <c r="I2197" s="4">
        <v>1.110223024625157E-16</v>
      </c>
      <c r="J2197" s="4">
        <v>-0.64998523675950826</v>
      </c>
      <c r="K2197" s="5">
        <v>1</v>
      </c>
      <c r="L2197" s="5">
        <v>0</v>
      </c>
      <c r="M2197" s="5">
        <v>0</v>
      </c>
    </row>
    <row r="2198" spans="1:13" hidden="1" x14ac:dyDescent="0.25">
      <c r="A2198" t="s">
        <v>2209</v>
      </c>
      <c r="B2198" s="1">
        <v>9.6665890963692491E-3</v>
      </c>
      <c r="C2198" s="2">
        <v>2.7543523254356748E-6</v>
      </c>
      <c r="D2198" s="2"/>
      <c r="E2198" s="2">
        <v>-0.35789463649911168</v>
      </c>
      <c r="F2198" s="3">
        <v>57.845163190750057</v>
      </c>
      <c r="G2198" s="3">
        <v>1</v>
      </c>
      <c r="H2198" s="2">
        <v>5.4188793757450959E-5</v>
      </c>
      <c r="I2198" s="4">
        <v>0</v>
      </c>
      <c r="J2198" s="4">
        <v>-0.35789463649911168</v>
      </c>
      <c r="K2198" s="5">
        <v>1</v>
      </c>
      <c r="L2198" s="5">
        <v>0</v>
      </c>
      <c r="M2198" s="5">
        <v>0</v>
      </c>
    </row>
    <row r="2199" spans="1:13" hidden="1" x14ac:dyDescent="0.25">
      <c r="A2199" t="s">
        <v>2210</v>
      </c>
      <c r="B2199" s="1">
        <v>9.6274910398547933E-3</v>
      </c>
      <c r="C2199" s="2">
        <v>2.743211909534367E-6</v>
      </c>
      <c r="D2199" s="2"/>
      <c r="E2199" s="2">
        <v>6.889757409354047E-4</v>
      </c>
      <c r="F2199" s="3">
        <v>90.148783042892092</v>
      </c>
      <c r="G2199" s="3">
        <v>1</v>
      </c>
      <c r="H2199" s="2">
        <v>5.4188793757450959E-5</v>
      </c>
      <c r="I2199" s="4">
        <v>5.5294310796760732E-17</v>
      </c>
      <c r="J2199" s="4">
        <v>6.8897574093534941E-4</v>
      </c>
      <c r="K2199" s="5">
        <v>1</v>
      </c>
      <c r="L2199" s="5">
        <v>0</v>
      </c>
      <c r="M2199" s="5">
        <v>0</v>
      </c>
    </row>
    <row r="2200" spans="1:13" hidden="1" x14ac:dyDescent="0.25">
      <c r="A2200" t="s">
        <v>2211</v>
      </c>
      <c r="B2200" s="1">
        <v>9.6115715368879119E-3</v>
      </c>
      <c r="C2200" s="2">
        <v>2.7386758814090909E-6</v>
      </c>
      <c r="D2200" s="2"/>
      <c r="E2200" s="2">
        <v>-0.91220999306000161</v>
      </c>
      <c r="F2200" s="3">
        <v>7.9087133773089153</v>
      </c>
      <c r="G2200" s="3">
        <v>1</v>
      </c>
      <c r="H2200" s="2">
        <v>5.4188793757450959E-5</v>
      </c>
      <c r="I2200" s="4">
        <v>0</v>
      </c>
      <c r="J2200" s="4">
        <v>-0.91220999306000161</v>
      </c>
      <c r="K2200" s="5">
        <v>1</v>
      </c>
      <c r="L2200" s="5">
        <v>0</v>
      </c>
      <c r="M2200" s="5">
        <v>0</v>
      </c>
    </row>
    <row r="2201" spans="1:13" hidden="1" x14ac:dyDescent="0.25">
      <c r="A2201" t="s">
        <v>2212</v>
      </c>
      <c r="B2201" s="1">
        <v>9.6069666561895885E-3</v>
      </c>
      <c r="C2201" s="2">
        <v>2.7373637884119301E-6</v>
      </c>
      <c r="D2201" s="2"/>
      <c r="E2201" s="2" t="s">
        <v>303</v>
      </c>
      <c r="F2201" s="3" t="s">
        <v>303</v>
      </c>
      <c r="G2201" s="3">
        <v>1</v>
      </c>
      <c r="H2201" s="2">
        <v>5.4188793757450959E-5</v>
      </c>
      <c r="I2201" s="4" t="s">
        <v>303</v>
      </c>
      <c r="J2201" s="4">
        <v>0</v>
      </c>
      <c r="K2201" s="5">
        <v>1</v>
      </c>
      <c r="L2201" s="5">
        <v>0</v>
      </c>
      <c r="M2201" s="5">
        <v>0</v>
      </c>
    </row>
    <row r="2202" spans="1:13" hidden="1" x14ac:dyDescent="0.25">
      <c r="A2202" t="s">
        <v>2213</v>
      </c>
      <c r="B2202" s="1">
        <v>9.571022186024368E-3</v>
      </c>
      <c r="C2202" s="2">
        <v>2.727121940537863E-6</v>
      </c>
      <c r="D2202" s="2"/>
      <c r="E2202" s="2" t="s">
        <v>303</v>
      </c>
      <c r="F2202" s="3" t="s">
        <v>303</v>
      </c>
      <c r="G2202" s="3">
        <v>1</v>
      </c>
      <c r="H2202" s="2">
        <v>5.4188793757450959E-5</v>
      </c>
      <c r="I2202" s="4" t="s">
        <v>303</v>
      </c>
      <c r="J2202" s="4">
        <v>0</v>
      </c>
      <c r="K2202" s="5">
        <v>1</v>
      </c>
      <c r="L2202" s="5">
        <v>0</v>
      </c>
      <c r="M2202" s="5">
        <v>0</v>
      </c>
    </row>
    <row r="2203" spans="1:13" hidden="1" x14ac:dyDescent="0.25">
      <c r="A2203" t="s">
        <v>2214</v>
      </c>
      <c r="B2203" s="1">
        <v>9.4941277879505553E-3</v>
      </c>
      <c r="C2203" s="2">
        <v>2.7052120132578121E-6</v>
      </c>
      <c r="D2203" s="2"/>
      <c r="E2203" s="2">
        <v>-0.1604556717989305</v>
      </c>
      <c r="F2203" s="3">
        <v>75.63179102862658</v>
      </c>
      <c r="G2203" s="3">
        <v>1</v>
      </c>
      <c r="H2203" s="2">
        <v>5.4188793757450959E-5</v>
      </c>
      <c r="I2203" s="4">
        <v>2.775557561562891E-17</v>
      </c>
      <c r="J2203" s="4">
        <v>-0.1604556717989305</v>
      </c>
      <c r="K2203" s="5">
        <v>1</v>
      </c>
      <c r="L2203" s="5">
        <v>0</v>
      </c>
      <c r="M2203" s="5">
        <v>0</v>
      </c>
    </row>
    <row r="2204" spans="1:13" hidden="1" x14ac:dyDescent="0.25">
      <c r="A2204" t="s">
        <v>2215</v>
      </c>
      <c r="B2204" s="1">
        <v>9.4874959756417587E-3</v>
      </c>
      <c r="C2204" s="2">
        <v>2.7033223759232282E-6</v>
      </c>
      <c r="D2204" s="2"/>
      <c r="E2204" s="2">
        <v>-0.22258985969034051</v>
      </c>
      <c r="F2204" s="3">
        <v>70.034326122388705</v>
      </c>
      <c r="G2204" s="3">
        <v>1</v>
      </c>
      <c r="H2204" s="2">
        <v>5.4188793757450959E-5</v>
      </c>
      <c r="I2204" s="4">
        <v>0</v>
      </c>
      <c r="J2204" s="4">
        <v>-0.22258985969034051</v>
      </c>
      <c r="K2204" s="5">
        <v>1</v>
      </c>
      <c r="L2204" s="5">
        <v>0</v>
      </c>
      <c r="M2204" s="5">
        <v>0</v>
      </c>
    </row>
    <row r="2205" spans="1:13" hidden="1" x14ac:dyDescent="0.25">
      <c r="A2205" t="s">
        <v>2216</v>
      </c>
      <c r="B2205" s="1">
        <v>9.3674929014697216E-3</v>
      </c>
      <c r="C2205" s="2">
        <v>2.6691292657051339E-6</v>
      </c>
      <c r="D2205" s="2"/>
      <c r="E2205" s="2">
        <v>-0.37559884885834999</v>
      </c>
      <c r="F2205" s="3">
        <v>56.250248849122052</v>
      </c>
      <c r="G2205" s="3">
        <v>2</v>
      </c>
      <c r="H2205" s="2">
        <v>1.083775875149019E-4</v>
      </c>
      <c r="I2205" s="4">
        <v>-1.110223024625157E-16</v>
      </c>
      <c r="J2205" s="4">
        <v>-0.37559884885834988</v>
      </c>
      <c r="K2205" s="5">
        <v>2</v>
      </c>
      <c r="L2205" s="5">
        <v>0</v>
      </c>
      <c r="M2205" s="5">
        <v>0</v>
      </c>
    </row>
    <row r="2206" spans="1:13" hidden="1" x14ac:dyDescent="0.25">
      <c r="A2206" t="s">
        <v>2217</v>
      </c>
      <c r="B2206" s="1">
        <v>9.3279273847760615E-3</v>
      </c>
      <c r="C2206" s="2">
        <v>2.6578556539041339E-6</v>
      </c>
      <c r="D2206" s="2"/>
      <c r="E2206" s="2">
        <v>0.62753930141300573</v>
      </c>
      <c r="F2206" s="3">
        <v>146.61966998110029</v>
      </c>
      <c r="G2206" s="3">
        <v>1</v>
      </c>
      <c r="H2206" s="2">
        <v>5.4188793757450959E-5</v>
      </c>
      <c r="I2206" s="4">
        <v>-1.110223024625157E-16</v>
      </c>
      <c r="J2206" s="4">
        <v>0.62753930141300585</v>
      </c>
      <c r="K2206" s="5">
        <v>1</v>
      </c>
      <c r="L2206" s="5">
        <v>0</v>
      </c>
      <c r="M2206" s="5">
        <v>0</v>
      </c>
    </row>
    <row r="2207" spans="1:13" hidden="1" x14ac:dyDescent="0.25">
      <c r="A2207" t="s">
        <v>2218</v>
      </c>
      <c r="B2207" s="1">
        <v>9.3101547859487828E-3</v>
      </c>
      <c r="C2207" s="2">
        <v>2.6527916133805391E-6</v>
      </c>
      <c r="D2207" s="2"/>
      <c r="E2207" s="2">
        <v>-0.6300984907750945</v>
      </c>
      <c r="F2207" s="3">
        <v>33.323212017664133</v>
      </c>
      <c r="G2207" s="3">
        <v>2</v>
      </c>
      <c r="H2207" s="2">
        <v>1.083775875149019E-4</v>
      </c>
      <c r="I2207" s="4">
        <v>0</v>
      </c>
      <c r="J2207" s="4">
        <v>-0.6300984907750945</v>
      </c>
      <c r="K2207" s="5">
        <v>2</v>
      </c>
      <c r="L2207" s="5">
        <v>0</v>
      </c>
      <c r="M2207" s="5">
        <v>0</v>
      </c>
    </row>
    <row r="2208" spans="1:13" hidden="1" x14ac:dyDescent="0.25">
      <c r="A2208" t="s">
        <v>2219</v>
      </c>
      <c r="B2208" s="1">
        <v>9.2145414140703888E-3</v>
      </c>
      <c r="C2208" s="2">
        <v>2.6255479899524039E-6</v>
      </c>
      <c r="D2208" s="2"/>
      <c r="E2208" s="2">
        <v>0.29583812697498429</v>
      </c>
      <c r="F2208" s="3">
        <v>116.7378006546743</v>
      </c>
      <c r="G2208" s="3">
        <v>1</v>
      </c>
      <c r="H2208" s="2">
        <v>5.4188793757450959E-5</v>
      </c>
      <c r="I2208" s="4">
        <v>1.6653345369377351E-16</v>
      </c>
      <c r="J2208" s="4">
        <v>0.29583812697498418</v>
      </c>
      <c r="K2208" s="5">
        <v>1</v>
      </c>
      <c r="L2208" s="5">
        <v>0</v>
      </c>
      <c r="M2208" s="5">
        <v>1</v>
      </c>
    </row>
    <row r="2209" spans="1:13" hidden="1" x14ac:dyDescent="0.25">
      <c r="A2209" t="s">
        <v>2220</v>
      </c>
      <c r="B2209" s="1">
        <v>9.1943706786180961E-3</v>
      </c>
      <c r="C2209" s="2">
        <v>2.6198006356845328E-6</v>
      </c>
      <c r="D2209" s="2"/>
      <c r="E2209" s="2">
        <v>-0.1212565600867528</v>
      </c>
      <c r="F2209" s="3">
        <v>79.163110252562987</v>
      </c>
      <c r="G2209" s="3">
        <v>1</v>
      </c>
      <c r="H2209" s="2">
        <v>5.4188793757450959E-5</v>
      </c>
      <c r="I2209" s="4">
        <v>-4.163336342344337E-17</v>
      </c>
      <c r="J2209" s="4">
        <v>-0.1212565600867527</v>
      </c>
      <c r="K2209" s="5">
        <v>1</v>
      </c>
      <c r="L2209" s="5">
        <v>0</v>
      </c>
      <c r="M2209" s="5">
        <v>0</v>
      </c>
    </row>
    <row r="2210" spans="1:13" hidden="1" x14ac:dyDescent="0.25">
      <c r="A2210" t="s">
        <v>2221</v>
      </c>
      <c r="B2210" s="1">
        <v>9.1536529787198621E-3</v>
      </c>
      <c r="C2210" s="2">
        <v>2.6081987262330172E-6</v>
      </c>
      <c r="D2210" s="2"/>
      <c r="E2210" s="2" t="s">
        <v>303</v>
      </c>
      <c r="F2210" s="3" t="s">
        <v>303</v>
      </c>
      <c r="G2210" s="3">
        <v>1</v>
      </c>
      <c r="H2210" s="2">
        <v>5.4188793757450959E-5</v>
      </c>
      <c r="I2210" s="4" t="s">
        <v>303</v>
      </c>
      <c r="J2210" s="4">
        <v>0</v>
      </c>
      <c r="K2210" s="5">
        <v>0</v>
      </c>
      <c r="L2210" s="5">
        <v>0</v>
      </c>
      <c r="M2210" s="5">
        <v>0</v>
      </c>
    </row>
    <row r="2211" spans="1:13" hidden="1" x14ac:dyDescent="0.25">
      <c r="A2211" t="s">
        <v>2222</v>
      </c>
      <c r="B2211" s="1">
        <v>9.1460132157218828E-3</v>
      </c>
      <c r="C2211" s="2">
        <v>2.6060218881808889E-6</v>
      </c>
      <c r="D2211" s="2"/>
      <c r="E2211" s="2">
        <v>-0.88663557576723406</v>
      </c>
      <c r="F2211" s="3">
        <v>10.212628631563669</v>
      </c>
      <c r="G2211" s="3">
        <v>1</v>
      </c>
      <c r="H2211" s="2">
        <v>5.4188793757450959E-5</v>
      </c>
      <c r="I2211" s="4">
        <v>0</v>
      </c>
      <c r="J2211" s="4">
        <v>-0.88663557576723406</v>
      </c>
      <c r="K2211" s="5">
        <v>1</v>
      </c>
      <c r="L2211" s="5">
        <v>0</v>
      </c>
      <c r="M2211" s="5">
        <v>0</v>
      </c>
    </row>
    <row r="2212" spans="1:13" hidden="1" x14ac:dyDescent="0.25">
      <c r="A2212" t="s">
        <v>2223</v>
      </c>
      <c r="B2212" s="1">
        <v>9.1390649412277421E-3</v>
      </c>
      <c r="C2212" s="2">
        <v>2.6040420796031258E-6</v>
      </c>
      <c r="D2212" s="2"/>
      <c r="E2212" s="2">
        <v>-0.56827972406692873</v>
      </c>
      <c r="F2212" s="3">
        <v>38.892261665510297</v>
      </c>
      <c r="G2212" s="3">
        <v>1</v>
      </c>
      <c r="H2212" s="2">
        <v>5.4188793757450959E-5</v>
      </c>
      <c r="I2212" s="4">
        <v>0</v>
      </c>
      <c r="J2212" s="4">
        <v>-0.56827972406692873</v>
      </c>
      <c r="K2212" s="5">
        <v>1</v>
      </c>
      <c r="L2212" s="5">
        <v>0</v>
      </c>
      <c r="M2212" s="5">
        <v>0</v>
      </c>
    </row>
    <row r="2213" spans="1:13" hidden="1" x14ac:dyDescent="0.25">
      <c r="A2213" t="s">
        <v>2224</v>
      </c>
      <c r="B2213" s="1">
        <v>9.1171059977557013E-3</v>
      </c>
      <c r="C2213" s="2">
        <v>2.597785201772347E-6</v>
      </c>
      <c r="D2213" s="2"/>
      <c r="E2213" s="2">
        <v>-0.20986468034922021</v>
      </c>
      <c r="F2213" s="3">
        <v>71.180695733141292</v>
      </c>
      <c r="G2213" s="3">
        <v>2</v>
      </c>
      <c r="H2213" s="2">
        <v>1.083775875149019E-4</v>
      </c>
      <c r="I2213" s="4">
        <v>0.53874689089214822</v>
      </c>
      <c r="J2213" s="4">
        <v>-0.74861157124136846</v>
      </c>
      <c r="K2213" s="5">
        <v>1</v>
      </c>
      <c r="L2213" s="5">
        <v>0</v>
      </c>
      <c r="M2213" s="5">
        <v>0</v>
      </c>
    </row>
    <row r="2214" spans="1:13" hidden="1" x14ac:dyDescent="0.25">
      <c r="A2214" t="s">
        <v>2225</v>
      </c>
      <c r="B2214" s="1">
        <v>9.081504601766514E-3</v>
      </c>
      <c r="C2214" s="2">
        <v>2.5876411078366269E-6</v>
      </c>
      <c r="D2214" s="2"/>
      <c r="E2214" s="2">
        <v>-0.82284199190025231</v>
      </c>
      <c r="F2214" s="3">
        <v>15.95958307092376</v>
      </c>
      <c r="G2214" s="3">
        <v>2</v>
      </c>
      <c r="H2214" s="2">
        <v>1.083775875149019E-4</v>
      </c>
      <c r="I2214" s="4">
        <v>0</v>
      </c>
      <c r="J2214" s="4">
        <v>-0.82284199190025231</v>
      </c>
      <c r="K2214" s="5">
        <v>2</v>
      </c>
      <c r="L2214" s="5">
        <v>0</v>
      </c>
      <c r="M2214" s="5">
        <v>0</v>
      </c>
    </row>
    <row r="2215" spans="1:13" hidden="1" x14ac:dyDescent="0.25">
      <c r="A2215" t="s">
        <v>2226</v>
      </c>
      <c r="B2215" s="1">
        <v>9.076138383978468E-3</v>
      </c>
      <c r="C2215" s="2">
        <v>2.5861120830383299E-6</v>
      </c>
      <c r="D2215" s="2"/>
      <c r="E2215" s="2">
        <v>-0.58634844136286224</v>
      </c>
      <c r="F2215" s="3">
        <v>37.264510271358681</v>
      </c>
      <c r="G2215" s="3">
        <v>2</v>
      </c>
      <c r="H2215" s="2">
        <v>1.083775875149019E-4</v>
      </c>
      <c r="I2215" s="4">
        <v>-2.2204460492503131E-16</v>
      </c>
      <c r="J2215" s="4">
        <v>-0.58634844136286213</v>
      </c>
      <c r="K2215" s="5">
        <v>2</v>
      </c>
      <c r="L2215" s="5">
        <v>0</v>
      </c>
      <c r="M2215" s="5">
        <v>0</v>
      </c>
    </row>
    <row r="2216" spans="1:13" hidden="1" x14ac:dyDescent="0.25">
      <c r="A2216" t="s">
        <v>2227</v>
      </c>
      <c r="B2216" s="1">
        <v>9.017085971931146E-3</v>
      </c>
      <c r="C2216" s="2">
        <v>2.5692859671433012E-6</v>
      </c>
      <c r="D2216" s="2"/>
      <c r="E2216" s="2">
        <v>-0.19010166080006011</v>
      </c>
      <c r="F2216" s="3">
        <v>72.961081252318735</v>
      </c>
      <c r="G2216" s="3">
        <v>1</v>
      </c>
      <c r="H2216" s="2">
        <v>5.4188793757450959E-5</v>
      </c>
      <c r="I2216" s="4">
        <v>5.5511151231257827E-17</v>
      </c>
      <c r="J2216" s="4">
        <v>-0.19010166080006011</v>
      </c>
      <c r="K2216" s="5">
        <v>1</v>
      </c>
      <c r="L2216" s="5">
        <v>0</v>
      </c>
      <c r="M2216" s="5">
        <v>0</v>
      </c>
    </row>
    <row r="2217" spans="1:13" hidden="1" x14ac:dyDescent="0.25">
      <c r="A2217" t="s">
        <v>2228</v>
      </c>
      <c r="B2217" s="1">
        <v>9.0154191911029462E-3</v>
      </c>
      <c r="C2217" s="2">
        <v>2.5688110424719019E-6</v>
      </c>
      <c r="D2217" s="2"/>
      <c r="E2217" s="2">
        <v>0.66276756140626869</v>
      </c>
      <c r="F2217" s="3">
        <v>149.7932682160162</v>
      </c>
      <c r="G2217" s="3">
        <v>1</v>
      </c>
      <c r="H2217" s="2">
        <v>5.4188793757450959E-5</v>
      </c>
      <c r="I2217" s="4">
        <v>1.110223024625157E-16</v>
      </c>
      <c r="J2217" s="4">
        <v>0.66276756140626858</v>
      </c>
      <c r="K2217" s="5">
        <v>1</v>
      </c>
      <c r="L2217" s="5">
        <v>0</v>
      </c>
      <c r="M2217" s="5">
        <v>0</v>
      </c>
    </row>
    <row r="2218" spans="1:13" hidden="1" x14ac:dyDescent="0.25">
      <c r="A2218" t="s">
        <v>2229</v>
      </c>
      <c r="B2218" s="1">
        <v>9.009198957172667E-3</v>
      </c>
      <c r="C2218" s="2">
        <v>2.5670386783401681E-6</v>
      </c>
      <c r="D2218" s="2"/>
      <c r="E2218" s="2">
        <v>-0.44995146841395128</v>
      </c>
      <c r="F2218" s="3">
        <v>49.552065565923911</v>
      </c>
      <c r="G2218" s="3">
        <v>1</v>
      </c>
      <c r="H2218" s="2">
        <v>5.4188793757450959E-5</v>
      </c>
      <c r="I2218" s="4">
        <v>5.5511151231257827E-17</v>
      </c>
      <c r="J2218" s="4">
        <v>-0.44995146841395128</v>
      </c>
      <c r="K2218" s="5">
        <v>1</v>
      </c>
      <c r="L2218" s="5">
        <v>0</v>
      </c>
      <c r="M2218" s="5">
        <v>0</v>
      </c>
    </row>
    <row r="2219" spans="1:13" hidden="1" x14ac:dyDescent="0.25">
      <c r="A2219" t="s">
        <v>2230</v>
      </c>
      <c r="B2219" s="1">
        <v>8.9966198856749682E-3</v>
      </c>
      <c r="C2219" s="2">
        <v>2.5634544570097591E-6</v>
      </c>
      <c r="D2219" s="2"/>
      <c r="E2219" s="2">
        <v>-0.54692484788605267</v>
      </c>
      <c r="F2219" s="3">
        <v>40.816052320156217</v>
      </c>
      <c r="G2219" s="3">
        <v>1</v>
      </c>
      <c r="H2219" s="2">
        <v>5.4188793757450959E-5</v>
      </c>
      <c r="I2219" s="4">
        <v>1.110223024625157E-16</v>
      </c>
      <c r="J2219" s="4">
        <v>-0.54692484788605278</v>
      </c>
      <c r="K2219" s="5">
        <v>1</v>
      </c>
      <c r="L2219" s="5">
        <v>0</v>
      </c>
      <c r="M2219" s="5">
        <v>0</v>
      </c>
    </row>
    <row r="2220" spans="1:13" hidden="1" x14ac:dyDescent="0.25">
      <c r="A2220" t="s">
        <v>2231</v>
      </c>
      <c r="B2220" s="1">
        <v>8.9951644295030164E-3</v>
      </c>
      <c r="C2220" s="2">
        <v>2.5630397461896522E-6</v>
      </c>
      <c r="D2220" s="2"/>
      <c r="E2220" s="2">
        <v>0.87541165001089283</v>
      </c>
      <c r="F2220" s="3">
        <v>168.94967572493081</v>
      </c>
      <c r="G2220" s="3">
        <v>1</v>
      </c>
      <c r="H2220" s="2">
        <v>5.4188793757450959E-5</v>
      </c>
      <c r="I2220" s="4">
        <v>0</v>
      </c>
      <c r="J2220" s="4">
        <v>0.87541165001089283</v>
      </c>
      <c r="K2220" s="5">
        <v>1</v>
      </c>
      <c r="L2220" s="5">
        <v>0</v>
      </c>
      <c r="M2220" s="5">
        <v>1</v>
      </c>
    </row>
    <row r="2221" spans="1:13" hidden="1" x14ac:dyDescent="0.25">
      <c r="A2221" t="s">
        <v>2232</v>
      </c>
      <c r="B2221" s="1">
        <v>8.9677975478368172E-3</v>
      </c>
      <c r="C2221" s="2">
        <v>2.555241955944742E-6</v>
      </c>
      <c r="D2221" s="2"/>
      <c r="E2221" s="2">
        <v>-0.40242905841252052</v>
      </c>
      <c r="F2221" s="3">
        <v>53.833203394710623</v>
      </c>
      <c r="G2221" s="3">
        <v>2</v>
      </c>
      <c r="H2221" s="2">
        <v>1.083775875149019E-4</v>
      </c>
      <c r="I2221" s="4">
        <v>5.5511151231257827E-17</v>
      </c>
      <c r="J2221" s="4">
        <v>-0.40242905841252058</v>
      </c>
      <c r="K2221" s="5">
        <v>2</v>
      </c>
      <c r="L2221" s="5">
        <v>1</v>
      </c>
      <c r="M2221" s="5">
        <v>0</v>
      </c>
    </row>
    <row r="2222" spans="1:13" hidden="1" x14ac:dyDescent="0.25">
      <c r="A2222" t="s">
        <v>2233</v>
      </c>
      <c r="B2222" s="1">
        <v>8.9311354592753293E-3</v>
      </c>
      <c r="C2222" s="2">
        <v>2.5447956332679469E-6</v>
      </c>
      <c r="D2222" s="2"/>
      <c r="E2222" s="2">
        <v>-0.39413820883886042</v>
      </c>
      <c r="F2222" s="3">
        <v>54.580098801351568</v>
      </c>
      <c r="G2222" s="3">
        <v>1</v>
      </c>
      <c r="H2222" s="2">
        <v>5.4188793757450959E-5</v>
      </c>
      <c r="I2222" s="4">
        <v>0</v>
      </c>
      <c r="J2222" s="4">
        <v>-0.39413820883886042</v>
      </c>
      <c r="K2222" s="5">
        <v>1</v>
      </c>
      <c r="L2222" s="5">
        <v>0</v>
      </c>
      <c r="M2222" s="5">
        <v>0</v>
      </c>
    </row>
    <row r="2223" spans="1:13" hidden="1" x14ac:dyDescent="0.25">
      <c r="A2223" t="s">
        <v>2234</v>
      </c>
      <c r="B2223" s="1">
        <v>8.927309848621872E-3</v>
      </c>
      <c r="C2223" s="2">
        <v>2.5437055818036188E-6</v>
      </c>
      <c r="D2223" s="2"/>
      <c r="E2223" s="2">
        <v>-0.50213394387729948</v>
      </c>
      <c r="F2223" s="3">
        <v>44.851117745745007</v>
      </c>
      <c r="G2223" s="3">
        <v>1</v>
      </c>
      <c r="H2223" s="2">
        <v>5.4188793757450959E-5</v>
      </c>
      <c r="I2223" s="4">
        <v>0</v>
      </c>
      <c r="J2223" s="4">
        <v>-0.50213394387729948</v>
      </c>
      <c r="K2223" s="5">
        <v>1</v>
      </c>
      <c r="L2223" s="5">
        <v>0</v>
      </c>
      <c r="M2223" s="5">
        <v>0</v>
      </c>
    </row>
    <row r="2224" spans="1:13" hidden="1" x14ac:dyDescent="0.25">
      <c r="A2224" t="s">
        <v>2235</v>
      </c>
      <c r="B2224" s="1">
        <v>8.9200476116783056E-3</v>
      </c>
      <c r="C2224" s="2">
        <v>2.5416363142456448E-6</v>
      </c>
      <c r="D2224" s="2"/>
      <c r="E2224" s="2">
        <v>1.1698948878041171</v>
      </c>
      <c r="F2224" s="3">
        <v>195.47870338203421</v>
      </c>
      <c r="G2224" s="3">
        <v>1</v>
      </c>
      <c r="H2224" s="2">
        <v>5.4188793757450959E-5</v>
      </c>
      <c r="I2224" s="4">
        <v>0</v>
      </c>
      <c r="J2224" s="4">
        <v>1.1698948878041171</v>
      </c>
      <c r="K2224" s="5">
        <v>1</v>
      </c>
      <c r="L2224" s="5">
        <v>0</v>
      </c>
      <c r="M2224" s="5">
        <v>0</v>
      </c>
    </row>
    <row r="2225" spans="1:13" hidden="1" x14ac:dyDescent="0.25">
      <c r="A2225" t="s">
        <v>2236</v>
      </c>
      <c r="B2225" s="1">
        <v>8.9113376672272874E-3</v>
      </c>
      <c r="C2225" s="2">
        <v>2.5391545437354979E-6</v>
      </c>
      <c r="D2225" s="2"/>
      <c r="E2225" s="2">
        <v>-6.0270564114262903E-2</v>
      </c>
      <c r="F2225" s="3">
        <v>84.657138320083135</v>
      </c>
      <c r="G2225" s="3">
        <v>1</v>
      </c>
      <c r="H2225" s="2">
        <v>5.4188793757450959E-5</v>
      </c>
      <c r="I2225" s="4">
        <v>2.0816681711721691E-17</v>
      </c>
      <c r="J2225" s="4">
        <v>-6.0270564114262917E-2</v>
      </c>
      <c r="K2225" s="5">
        <v>1</v>
      </c>
      <c r="L2225" s="5">
        <v>0</v>
      </c>
      <c r="M2225" s="5">
        <v>0</v>
      </c>
    </row>
    <row r="2226" spans="1:13" hidden="1" x14ac:dyDescent="0.25">
      <c r="A2226" t="s">
        <v>2237</v>
      </c>
      <c r="B2226" s="1">
        <v>8.8932345379374167E-3</v>
      </c>
      <c r="C2226" s="2">
        <v>2.5339963234201289E-6</v>
      </c>
      <c r="D2226" s="2"/>
      <c r="E2226" s="2">
        <v>-0.50016462271175599</v>
      </c>
      <c r="F2226" s="3">
        <v>45.028527421276713</v>
      </c>
      <c r="G2226" s="3">
        <v>1</v>
      </c>
      <c r="H2226" s="2">
        <v>5.4188793757450959E-5</v>
      </c>
      <c r="I2226" s="4">
        <v>0</v>
      </c>
      <c r="J2226" s="4">
        <v>-0.50016462271175599</v>
      </c>
      <c r="K2226" s="5">
        <v>1</v>
      </c>
      <c r="L2226" s="5">
        <v>0</v>
      </c>
      <c r="M2226" s="5">
        <v>1</v>
      </c>
    </row>
    <row r="2227" spans="1:13" hidden="1" x14ac:dyDescent="0.25">
      <c r="A2227" t="s">
        <v>2238</v>
      </c>
      <c r="B2227" s="1">
        <v>8.837269966372123E-3</v>
      </c>
      <c r="C2227" s="2">
        <v>2.5180500422348889E-6</v>
      </c>
      <c r="D2227" s="2"/>
      <c r="E2227" s="2">
        <v>-0.78336493946083108</v>
      </c>
      <c r="F2227" s="3">
        <v>19.515941062076031</v>
      </c>
      <c r="G2227" s="3">
        <v>1</v>
      </c>
      <c r="H2227" s="2">
        <v>5.4188793757450959E-5</v>
      </c>
      <c r="I2227" s="4">
        <v>1.110223024625157E-16</v>
      </c>
      <c r="J2227" s="4">
        <v>-0.78336493946083119</v>
      </c>
      <c r="K2227" s="5">
        <v>1</v>
      </c>
      <c r="L2227" s="5">
        <v>0</v>
      </c>
      <c r="M2227" s="5">
        <v>0</v>
      </c>
    </row>
    <row r="2228" spans="1:13" hidden="1" x14ac:dyDescent="0.25">
      <c r="A2228" t="s">
        <v>2239</v>
      </c>
      <c r="B2228" s="1">
        <v>8.7945264919780733E-3</v>
      </c>
      <c r="C2228" s="2">
        <v>2.5058709181487451E-6</v>
      </c>
      <c r="D2228" s="2"/>
      <c r="E2228" s="2">
        <v>0.42217582504003381</v>
      </c>
      <c r="F2228" s="3">
        <v>128.11914891482849</v>
      </c>
      <c r="G2228" s="3">
        <v>1</v>
      </c>
      <c r="H2228" s="2">
        <v>5.4188793757450959E-5</v>
      </c>
      <c r="I2228" s="4">
        <v>5.5511151231257827E-17</v>
      </c>
      <c r="J2228" s="4">
        <v>0.4221758250400337</v>
      </c>
      <c r="K2228" s="5">
        <v>1</v>
      </c>
      <c r="L2228" s="5">
        <v>0</v>
      </c>
      <c r="M2228" s="5">
        <v>0</v>
      </c>
    </row>
    <row r="2229" spans="1:13" hidden="1" x14ac:dyDescent="0.25">
      <c r="A2229" t="s">
        <v>2240</v>
      </c>
      <c r="B2229" s="1">
        <v>8.7917230822490509E-3</v>
      </c>
      <c r="C2229" s="2">
        <v>2.5050721277968121E-6</v>
      </c>
      <c r="D2229" s="2"/>
      <c r="E2229" s="2">
        <v>-0.57075369578319768</v>
      </c>
      <c r="F2229" s="3">
        <v>38.669389679397881</v>
      </c>
      <c r="G2229" s="3">
        <v>1</v>
      </c>
      <c r="H2229" s="2">
        <v>5.4188793757450959E-5</v>
      </c>
      <c r="I2229" s="4">
        <v>0</v>
      </c>
      <c r="J2229" s="4">
        <v>-0.57075369578319768</v>
      </c>
      <c r="K2229" s="5">
        <v>1</v>
      </c>
      <c r="L2229" s="5">
        <v>0</v>
      </c>
      <c r="M2229" s="5">
        <v>0</v>
      </c>
    </row>
    <row r="2230" spans="1:13" hidden="1" x14ac:dyDescent="0.25">
      <c r="A2230" t="s">
        <v>2241</v>
      </c>
      <c r="B2230" s="1">
        <v>8.7477004359622773E-3</v>
      </c>
      <c r="C2230" s="2">
        <v>2.492528522502018E-6</v>
      </c>
      <c r="D2230" s="2"/>
      <c r="E2230" s="2">
        <v>-0.25965400628200402</v>
      </c>
      <c r="F2230" s="3">
        <v>66.695338893826644</v>
      </c>
      <c r="G2230" s="3">
        <v>1</v>
      </c>
      <c r="H2230" s="2">
        <v>5.4188793757450959E-5</v>
      </c>
      <c r="I2230" s="4">
        <v>0</v>
      </c>
      <c r="J2230" s="4">
        <v>-0.25965400628200402</v>
      </c>
      <c r="K2230" s="5">
        <v>1</v>
      </c>
      <c r="L2230" s="5">
        <v>0</v>
      </c>
      <c r="M2230" s="5">
        <v>0</v>
      </c>
    </row>
    <row r="2231" spans="1:13" hidden="1" x14ac:dyDescent="0.25">
      <c r="A2231" t="s">
        <v>2242</v>
      </c>
      <c r="B2231" s="1">
        <v>8.7420958704695281E-3</v>
      </c>
      <c r="C2231" s="2">
        <v>2.4909315840323981E-6</v>
      </c>
      <c r="D2231" s="2"/>
      <c r="E2231" s="2">
        <v>0.46509921309749741</v>
      </c>
      <c r="F2231" s="3">
        <v>131.9859759622565</v>
      </c>
      <c r="G2231" s="3">
        <v>1</v>
      </c>
      <c r="H2231" s="2">
        <v>5.4188793757450959E-5</v>
      </c>
      <c r="I2231" s="4">
        <v>0</v>
      </c>
      <c r="J2231" s="4">
        <v>0.46509921309749741</v>
      </c>
      <c r="K2231" s="5">
        <v>1</v>
      </c>
      <c r="L2231" s="5">
        <v>0</v>
      </c>
      <c r="M2231" s="5">
        <v>0</v>
      </c>
    </row>
    <row r="2232" spans="1:13" hidden="1" x14ac:dyDescent="0.25">
      <c r="A2232" t="s">
        <v>2243</v>
      </c>
      <c r="B2232" s="1">
        <v>8.7045473062840606E-3</v>
      </c>
      <c r="C2232" s="2">
        <v>2.4802326731704618E-6</v>
      </c>
      <c r="D2232" s="2"/>
      <c r="E2232" s="2">
        <v>-0.105917696925153</v>
      </c>
      <c r="F2232" s="3">
        <v>80.544938054009307</v>
      </c>
      <c r="G2232" s="3">
        <v>1</v>
      </c>
      <c r="H2232" s="2">
        <v>5.4188793757450959E-5</v>
      </c>
      <c r="I2232" s="4">
        <v>0</v>
      </c>
      <c r="J2232" s="4">
        <v>-0.105917696925153</v>
      </c>
      <c r="K2232" s="5">
        <v>1</v>
      </c>
      <c r="L2232" s="5">
        <v>0</v>
      </c>
      <c r="M2232" s="5">
        <v>0</v>
      </c>
    </row>
    <row r="2233" spans="1:13" hidden="1" x14ac:dyDescent="0.25">
      <c r="A2233" t="s">
        <v>2244</v>
      </c>
      <c r="B2233" s="1">
        <v>8.6892311432467742E-3</v>
      </c>
      <c r="C2233" s="2">
        <v>2.4758685578803701E-6</v>
      </c>
      <c r="D2233" s="2"/>
      <c r="E2233" s="2">
        <v>0.58279863679440136</v>
      </c>
      <c r="F2233" s="3">
        <v>142.58913045715781</v>
      </c>
      <c r="G2233" s="3">
        <v>1</v>
      </c>
      <c r="H2233" s="2">
        <v>5.4188793757450959E-5</v>
      </c>
      <c r="I2233" s="4">
        <v>-1.110223024625157E-16</v>
      </c>
      <c r="J2233" s="4">
        <v>0.58279863679440136</v>
      </c>
      <c r="K2233" s="5">
        <v>1</v>
      </c>
      <c r="L2233" s="5">
        <v>0</v>
      </c>
      <c r="M2233" s="5">
        <v>0</v>
      </c>
    </row>
    <row r="2234" spans="1:13" hidden="1" x14ac:dyDescent="0.25">
      <c r="A2234" t="s">
        <v>2245</v>
      </c>
      <c r="B2234" s="1">
        <v>8.5962451338416276E-3</v>
      </c>
      <c r="C2234" s="2">
        <v>2.4493735627290559E-6</v>
      </c>
      <c r="D2234" s="2"/>
      <c r="E2234" s="2">
        <v>-0.95752976266151479</v>
      </c>
      <c r="F2234" s="3">
        <v>3.8260041875373032</v>
      </c>
      <c r="G2234" s="3">
        <v>1</v>
      </c>
      <c r="H2234" s="2">
        <v>5.4188793757450959E-5</v>
      </c>
      <c r="I2234" s="4">
        <v>0</v>
      </c>
      <c r="J2234" s="4">
        <v>-0.95752976266151479</v>
      </c>
      <c r="K2234" s="5">
        <v>1</v>
      </c>
      <c r="L2234" s="5">
        <v>0</v>
      </c>
      <c r="M2234" s="5">
        <v>0</v>
      </c>
    </row>
    <row r="2235" spans="1:13" hidden="1" x14ac:dyDescent="0.25">
      <c r="A2235" t="s">
        <v>2246</v>
      </c>
      <c r="B2235" s="1">
        <v>8.5471161473218964E-3</v>
      </c>
      <c r="C2235" s="2">
        <v>2.4353749809213591E-6</v>
      </c>
      <c r="D2235" s="2"/>
      <c r="E2235" s="2">
        <v>-0.31558993273080038</v>
      </c>
      <c r="F2235" s="3">
        <v>61.656255002648507</v>
      </c>
      <c r="G2235" s="3">
        <v>1</v>
      </c>
      <c r="H2235" s="2">
        <v>5.4188793757450959E-5</v>
      </c>
      <c r="I2235" s="4">
        <v>-5.5511151231257827E-17</v>
      </c>
      <c r="J2235" s="4">
        <v>-0.31558993273080033</v>
      </c>
      <c r="K2235" s="5">
        <v>1</v>
      </c>
      <c r="L2235" s="5">
        <v>0</v>
      </c>
      <c r="M2235" s="5">
        <v>0</v>
      </c>
    </row>
    <row r="2236" spans="1:13" hidden="1" x14ac:dyDescent="0.25">
      <c r="A2236" t="s">
        <v>2247</v>
      </c>
      <c r="B2236" s="1">
        <v>8.5153781538822668E-3</v>
      </c>
      <c r="C2236" s="2">
        <v>2.426331706694678E-6</v>
      </c>
      <c r="D2236" s="2"/>
      <c r="E2236" s="2">
        <v>-0.70379647887491581</v>
      </c>
      <c r="F2236" s="3">
        <v>26.684002332167989</v>
      </c>
      <c r="G2236" s="3">
        <v>1</v>
      </c>
      <c r="H2236" s="2">
        <v>5.4188793757450959E-5</v>
      </c>
      <c r="I2236" s="4">
        <v>1.110223024625157E-16</v>
      </c>
      <c r="J2236" s="4">
        <v>-0.70379647887491592</v>
      </c>
      <c r="K2236" s="5">
        <v>1</v>
      </c>
      <c r="L2236" s="5">
        <v>0</v>
      </c>
      <c r="M2236" s="5">
        <v>0</v>
      </c>
    </row>
    <row r="2237" spans="1:13" hidden="1" x14ac:dyDescent="0.25">
      <c r="A2237" t="s">
        <v>2248</v>
      </c>
      <c r="B2237" s="1">
        <v>8.483147364365777E-3</v>
      </c>
      <c r="C2237" s="2">
        <v>2.4171480174770698E-6</v>
      </c>
      <c r="D2237" s="2"/>
      <c r="E2237" s="2">
        <v>-0.56585649667329974</v>
      </c>
      <c r="F2237" s="3">
        <v>39.110562262266747</v>
      </c>
      <c r="G2237" s="3">
        <v>1</v>
      </c>
      <c r="H2237" s="2">
        <v>5.4188793757450959E-5</v>
      </c>
      <c r="I2237" s="4">
        <v>0</v>
      </c>
      <c r="J2237" s="4">
        <v>-0.56585649667329974</v>
      </c>
      <c r="K2237" s="5">
        <v>1</v>
      </c>
      <c r="L2237" s="5">
        <v>0</v>
      </c>
      <c r="M2237" s="5">
        <v>0</v>
      </c>
    </row>
    <row r="2238" spans="1:13" hidden="1" x14ac:dyDescent="0.25">
      <c r="A2238" t="s">
        <v>2249</v>
      </c>
      <c r="B2238" s="1">
        <v>8.4772931456337033E-3</v>
      </c>
      <c r="C2238" s="2">
        <v>2.4154799439903888E-6</v>
      </c>
      <c r="D2238" s="2"/>
      <c r="E2238" s="2">
        <v>0.34152276175559759</v>
      </c>
      <c r="F2238" s="3">
        <v>120.8533793500246</v>
      </c>
      <c r="G2238" s="3">
        <v>1</v>
      </c>
      <c r="H2238" s="2">
        <v>5.4188793757450959E-5</v>
      </c>
      <c r="I2238" s="4">
        <v>-5.5511151231257827E-17</v>
      </c>
      <c r="J2238" s="4">
        <v>0.34152276175559759</v>
      </c>
      <c r="K2238" s="5">
        <v>1</v>
      </c>
      <c r="L2238" s="5">
        <v>0</v>
      </c>
      <c r="M2238" s="5">
        <v>0</v>
      </c>
    </row>
    <row r="2239" spans="1:13" hidden="1" x14ac:dyDescent="0.25">
      <c r="A2239" t="s">
        <v>2250</v>
      </c>
      <c r="B2239" s="1">
        <v>8.4122259198306654E-3</v>
      </c>
      <c r="C2239" s="2">
        <v>2.396939995419744E-6</v>
      </c>
      <c r="D2239" s="2"/>
      <c r="E2239" s="2">
        <v>-0.85039514406724226</v>
      </c>
      <c r="F2239" s="3">
        <v>13.477410091041939</v>
      </c>
      <c r="G2239" s="3">
        <v>1</v>
      </c>
      <c r="H2239" s="2">
        <v>5.4188793757450959E-5</v>
      </c>
      <c r="I2239" s="4">
        <v>0</v>
      </c>
      <c r="J2239" s="4">
        <v>-0.85039514406724226</v>
      </c>
      <c r="K2239" s="5">
        <v>0</v>
      </c>
      <c r="L2239" s="5">
        <v>0</v>
      </c>
      <c r="M2239" s="5">
        <v>0</v>
      </c>
    </row>
    <row r="2240" spans="1:13" hidden="1" x14ac:dyDescent="0.25">
      <c r="A2240" t="s">
        <v>2251</v>
      </c>
      <c r="B2240" s="1">
        <v>8.2655594100440166E-3</v>
      </c>
      <c r="C2240" s="2">
        <v>2.355149531558389E-6</v>
      </c>
      <c r="D2240" s="2"/>
      <c r="E2240" s="2">
        <v>-0.71853363388855462</v>
      </c>
      <c r="F2240" s="3">
        <v>25.35638044144984</v>
      </c>
      <c r="G2240" s="3">
        <v>1</v>
      </c>
      <c r="H2240" s="2">
        <v>5.4188793757450959E-5</v>
      </c>
      <c r="I2240" s="4">
        <v>-1.110223024625157E-16</v>
      </c>
      <c r="J2240" s="4">
        <v>-0.71853363388855451</v>
      </c>
      <c r="K2240" s="5">
        <v>1</v>
      </c>
      <c r="L2240" s="5">
        <v>0</v>
      </c>
      <c r="M2240" s="5">
        <v>0</v>
      </c>
    </row>
    <row r="2241" spans="1:13" hidden="1" x14ac:dyDescent="0.25">
      <c r="A2241" t="s">
        <v>2252</v>
      </c>
      <c r="B2241" s="1">
        <v>8.2525016497615681E-3</v>
      </c>
      <c r="C2241" s="2">
        <v>2.3514289149023591E-6</v>
      </c>
      <c r="D2241" s="2"/>
      <c r="E2241" s="2">
        <v>-0.62876301429414105</v>
      </c>
      <c r="F2241" s="3">
        <v>33.443520707435823</v>
      </c>
      <c r="G2241" s="3">
        <v>1</v>
      </c>
      <c r="H2241" s="2">
        <v>5.4188793757450959E-5</v>
      </c>
      <c r="I2241" s="4">
        <v>1.110223024625157E-16</v>
      </c>
      <c r="J2241" s="4">
        <v>-0.62876301429414116</v>
      </c>
      <c r="K2241" s="5">
        <v>1</v>
      </c>
      <c r="L2241" s="5">
        <v>0</v>
      </c>
      <c r="M2241" s="5">
        <v>0</v>
      </c>
    </row>
    <row r="2242" spans="1:13" hidden="1" x14ac:dyDescent="0.25">
      <c r="A2242" t="s">
        <v>2253</v>
      </c>
      <c r="B2242" s="1">
        <v>8.2520737882510933E-3</v>
      </c>
      <c r="C2242" s="2">
        <v>2.3513070020606539E-6</v>
      </c>
      <c r="D2242" s="2"/>
      <c r="E2242" s="2">
        <v>-0.69878143343188825</v>
      </c>
      <c r="F2242" s="3">
        <v>27.135791304120019</v>
      </c>
      <c r="G2242" s="3">
        <v>2</v>
      </c>
      <c r="H2242" s="2">
        <v>1.083775875149019E-4</v>
      </c>
      <c r="I2242" s="4">
        <v>0</v>
      </c>
      <c r="J2242" s="4">
        <v>-0.69878143343188825</v>
      </c>
      <c r="K2242" s="5">
        <v>2</v>
      </c>
      <c r="L2242" s="5">
        <v>0</v>
      </c>
      <c r="M2242" s="5">
        <v>0</v>
      </c>
    </row>
    <row r="2243" spans="1:13" hidden="1" x14ac:dyDescent="0.25">
      <c r="A2243" t="s">
        <v>2254</v>
      </c>
      <c r="B2243" s="1">
        <v>8.2476185784258384E-3</v>
      </c>
      <c r="C2243" s="2">
        <v>2.350037555576463E-6</v>
      </c>
      <c r="D2243" s="2"/>
      <c r="E2243" s="2">
        <v>-0.40048649083065019</v>
      </c>
      <c r="F2243" s="3">
        <v>54.008202927761857</v>
      </c>
      <c r="G2243" s="3">
        <v>1</v>
      </c>
      <c r="H2243" s="2">
        <v>5.4188793757450959E-5</v>
      </c>
      <c r="I2243" s="4">
        <v>0</v>
      </c>
      <c r="J2243" s="4">
        <v>-0.40048649083065019</v>
      </c>
      <c r="K2243" s="5">
        <v>1</v>
      </c>
      <c r="L2243" s="5">
        <v>0</v>
      </c>
      <c r="M2243" s="5">
        <v>0</v>
      </c>
    </row>
    <row r="2244" spans="1:13" hidden="1" x14ac:dyDescent="0.25">
      <c r="A2244" t="s">
        <v>2255</v>
      </c>
      <c r="B2244" s="1">
        <v>8.1908169002084027E-3</v>
      </c>
      <c r="C2244" s="2">
        <v>2.3338527531681761E-6</v>
      </c>
      <c r="D2244" s="2"/>
      <c r="E2244" s="2">
        <v>-0.248703923863621</v>
      </c>
      <c r="F2244" s="3">
        <v>67.681795853148813</v>
      </c>
      <c r="G2244" s="3">
        <v>1</v>
      </c>
      <c r="H2244" s="2">
        <v>5.4188793757450959E-5</v>
      </c>
      <c r="I2244" s="4">
        <v>-2.775557561562891E-17</v>
      </c>
      <c r="J2244" s="4">
        <v>-0.24870392386362089</v>
      </c>
      <c r="K2244" s="5">
        <v>1</v>
      </c>
      <c r="L2244" s="5">
        <v>0</v>
      </c>
      <c r="M2244" s="5">
        <v>0</v>
      </c>
    </row>
    <row r="2245" spans="1:13" hidden="1" x14ac:dyDescent="0.25">
      <c r="A2245" t="s">
        <v>2256</v>
      </c>
      <c r="B2245" s="1">
        <v>8.1721753203383186E-3</v>
      </c>
      <c r="C2245" s="2">
        <v>2.3285411092829249E-6</v>
      </c>
      <c r="D2245" s="2"/>
      <c r="E2245" s="2">
        <v>-0.89767247834680575</v>
      </c>
      <c r="F2245" s="3">
        <v>9.2183503290824689</v>
      </c>
      <c r="G2245" s="3">
        <v>1</v>
      </c>
      <c r="H2245" s="2">
        <v>5.4188793757450959E-5</v>
      </c>
      <c r="I2245" s="4">
        <v>0</v>
      </c>
      <c r="J2245" s="4">
        <v>-0.89767247834680575</v>
      </c>
      <c r="K2245" s="5">
        <v>0</v>
      </c>
      <c r="L2245" s="5">
        <v>0</v>
      </c>
      <c r="M2245" s="5">
        <v>1</v>
      </c>
    </row>
    <row r="2246" spans="1:13" hidden="1" x14ac:dyDescent="0.25">
      <c r="A2246" t="s">
        <v>2257</v>
      </c>
      <c r="B2246" s="1">
        <v>8.167502523863647E-3</v>
      </c>
      <c r="C2246" s="2">
        <v>2.3272096646846299E-6</v>
      </c>
      <c r="D2246" s="2"/>
      <c r="E2246" s="2">
        <v>0.63256707516067257</v>
      </c>
      <c r="F2246" s="3">
        <v>147.07260560421091</v>
      </c>
      <c r="G2246" s="3">
        <v>1</v>
      </c>
      <c r="H2246" s="2">
        <v>5.4188793757450959E-5</v>
      </c>
      <c r="I2246" s="4">
        <v>1.110223024625157E-16</v>
      </c>
      <c r="J2246" s="4">
        <v>0.63256707516067234</v>
      </c>
      <c r="K2246" s="5">
        <v>1</v>
      </c>
      <c r="L2246" s="5">
        <v>0</v>
      </c>
      <c r="M2246" s="5">
        <v>0</v>
      </c>
    </row>
    <row r="2247" spans="1:13" hidden="1" x14ac:dyDescent="0.25">
      <c r="A2247" t="s">
        <v>2258</v>
      </c>
      <c r="B2247" s="1">
        <v>8.0940632699246125E-3</v>
      </c>
      <c r="C2247" s="2">
        <v>2.3062842298855849E-6</v>
      </c>
      <c r="D2247" s="2"/>
      <c r="E2247" s="2">
        <v>0.1116751949081292</v>
      </c>
      <c r="F2247" s="3">
        <v>100.1471669913573</v>
      </c>
      <c r="G2247" s="3">
        <v>1</v>
      </c>
      <c r="H2247" s="2">
        <v>5.4188793757450959E-5</v>
      </c>
      <c r="I2247" s="4">
        <v>-8.3266726846886741E-17</v>
      </c>
      <c r="J2247" s="4">
        <v>0.1116751949081292</v>
      </c>
      <c r="K2247" s="5">
        <v>1</v>
      </c>
      <c r="L2247" s="5">
        <v>1</v>
      </c>
      <c r="M2247" s="5">
        <v>0</v>
      </c>
    </row>
    <row r="2248" spans="1:13" hidden="1" x14ac:dyDescent="0.25">
      <c r="A2248" t="s">
        <v>2259</v>
      </c>
      <c r="B2248" s="1">
        <v>8.0387851319691766E-3</v>
      </c>
      <c r="C2248" s="2">
        <v>2.290533537857049E-6</v>
      </c>
      <c r="D2248" s="2"/>
      <c r="E2248" s="2">
        <v>-0.71871329175404475</v>
      </c>
      <c r="F2248" s="3">
        <v>25.340195654437441</v>
      </c>
      <c r="G2248" s="3">
        <v>1</v>
      </c>
      <c r="H2248" s="2">
        <v>5.4188793757450959E-5</v>
      </c>
      <c r="I2248" s="4">
        <v>-1.110223024625157E-16</v>
      </c>
      <c r="J2248" s="4">
        <v>-0.71871329175404475</v>
      </c>
      <c r="K2248" s="5">
        <v>1</v>
      </c>
      <c r="L2248" s="5">
        <v>0</v>
      </c>
      <c r="M2248" s="5">
        <v>0</v>
      </c>
    </row>
    <row r="2249" spans="1:13" hidden="1" x14ac:dyDescent="0.25">
      <c r="A2249" t="s">
        <v>2260</v>
      </c>
      <c r="B2249" s="1">
        <v>8.033395391579861E-3</v>
      </c>
      <c r="C2249" s="2">
        <v>2.2889978106396398E-6</v>
      </c>
      <c r="D2249" s="2"/>
      <c r="E2249" s="2">
        <v>-0.34395064960294358</v>
      </c>
      <c r="F2249" s="3">
        <v>59.101331170940753</v>
      </c>
      <c r="G2249" s="3">
        <v>1</v>
      </c>
      <c r="H2249" s="2">
        <v>5.4188793757450959E-5</v>
      </c>
      <c r="I2249" s="4">
        <v>-5.5511151231257827E-17</v>
      </c>
      <c r="J2249" s="4">
        <v>-0.34395064960294353</v>
      </c>
      <c r="K2249" s="5">
        <v>1</v>
      </c>
      <c r="L2249" s="5">
        <v>0</v>
      </c>
      <c r="M2249" s="5">
        <v>0</v>
      </c>
    </row>
    <row r="2250" spans="1:13" hidden="1" x14ac:dyDescent="0.25">
      <c r="A2250" t="s">
        <v>2261</v>
      </c>
      <c r="B2250" s="1">
        <v>8.0198578993189683E-3</v>
      </c>
      <c r="C2250" s="2">
        <v>2.2851405014152971E-6</v>
      </c>
      <c r="D2250" s="2"/>
      <c r="E2250" s="2">
        <v>-0.23389755700682771</v>
      </c>
      <c r="F2250" s="3">
        <v>69.015652811489161</v>
      </c>
      <c r="G2250" s="3">
        <v>1</v>
      </c>
      <c r="H2250" s="2">
        <v>5.4188793757450959E-5</v>
      </c>
      <c r="I2250" s="4">
        <v>-5.5511151231257827E-17</v>
      </c>
      <c r="J2250" s="4">
        <v>-0.2338975570068276</v>
      </c>
      <c r="K2250" s="5">
        <v>1</v>
      </c>
      <c r="L2250" s="5">
        <v>0</v>
      </c>
      <c r="M2250" s="5">
        <v>0</v>
      </c>
    </row>
    <row r="2251" spans="1:13" hidden="1" x14ac:dyDescent="0.25">
      <c r="A2251" t="s">
        <v>2262</v>
      </c>
      <c r="B2251" s="1">
        <v>7.988672541398012E-3</v>
      </c>
      <c r="C2251" s="2">
        <v>2.2762546925479902E-6</v>
      </c>
      <c r="D2251" s="2"/>
      <c r="E2251" s="2">
        <v>-0.73649367242873365</v>
      </c>
      <c r="F2251" s="3">
        <v>23.73841955944674</v>
      </c>
      <c r="G2251" s="3">
        <v>1</v>
      </c>
      <c r="H2251" s="2">
        <v>5.4188793757450959E-5</v>
      </c>
      <c r="I2251" s="4">
        <v>0</v>
      </c>
      <c r="J2251" s="4">
        <v>-0.73649367242873365</v>
      </c>
      <c r="K2251" s="5">
        <v>0</v>
      </c>
      <c r="L2251" s="5">
        <v>0</v>
      </c>
      <c r="M2251" s="5">
        <v>0</v>
      </c>
    </row>
    <row r="2252" spans="1:13" hidden="1" x14ac:dyDescent="0.25">
      <c r="A2252" t="s">
        <v>2263</v>
      </c>
      <c r="B2252" s="1">
        <v>7.9540886409940302E-3</v>
      </c>
      <c r="C2252" s="2">
        <v>2.2664005190074889E-6</v>
      </c>
      <c r="D2252" s="2"/>
      <c r="E2252" s="2">
        <v>0.39446728160178418</v>
      </c>
      <c r="F2252" s="3">
        <v>125.6229772457044</v>
      </c>
      <c r="G2252" s="3">
        <v>1</v>
      </c>
      <c r="H2252" s="2">
        <v>5.4188793757450959E-5</v>
      </c>
      <c r="I2252" s="4">
        <v>0</v>
      </c>
      <c r="J2252" s="4">
        <v>0.39446728160178418</v>
      </c>
      <c r="K2252" s="5">
        <v>1</v>
      </c>
      <c r="L2252" s="5">
        <v>0</v>
      </c>
      <c r="M2252" s="5">
        <v>0</v>
      </c>
    </row>
    <row r="2253" spans="1:13" hidden="1" x14ac:dyDescent="0.25">
      <c r="A2253" t="s">
        <v>2264</v>
      </c>
      <c r="B2253" s="1">
        <v>7.9488649721257826E-3</v>
      </c>
      <c r="C2253" s="2">
        <v>2.2649121114263732E-6</v>
      </c>
      <c r="D2253" s="2"/>
      <c r="E2253" s="2">
        <v>-0.63428001138379397</v>
      </c>
      <c r="F2253" s="3">
        <v>32.946512560308847</v>
      </c>
      <c r="G2253" s="3">
        <v>1</v>
      </c>
      <c r="H2253" s="2">
        <v>5.4188793757450959E-5</v>
      </c>
      <c r="I2253" s="4">
        <v>0</v>
      </c>
      <c r="J2253" s="4">
        <v>-0.63428001138379397</v>
      </c>
      <c r="K2253" s="5">
        <v>1</v>
      </c>
      <c r="L2253" s="5">
        <v>0</v>
      </c>
      <c r="M2253" s="5">
        <v>0</v>
      </c>
    </row>
    <row r="2254" spans="1:13" hidden="1" x14ac:dyDescent="0.25">
      <c r="A2254" t="s">
        <v>2265</v>
      </c>
      <c r="B2254" s="1">
        <v>7.90144676559058E-3</v>
      </c>
      <c r="C2254" s="2">
        <v>2.251400991202252E-6</v>
      </c>
      <c r="D2254" s="2"/>
      <c r="E2254" s="2">
        <v>-0.60740020819293095</v>
      </c>
      <c r="F2254" s="3">
        <v>35.368025742558657</v>
      </c>
      <c r="G2254" s="3">
        <v>1</v>
      </c>
      <c r="H2254" s="2">
        <v>5.4188793757450959E-5</v>
      </c>
      <c r="I2254" s="4">
        <v>0</v>
      </c>
      <c r="J2254" s="4">
        <v>-0.60740020819293095</v>
      </c>
      <c r="K2254" s="5">
        <v>1</v>
      </c>
      <c r="L2254" s="5">
        <v>0</v>
      </c>
      <c r="M2254" s="5">
        <v>0</v>
      </c>
    </row>
    <row r="2255" spans="1:13" hidden="1" x14ac:dyDescent="0.25">
      <c r="A2255" t="s">
        <v>2266</v>
      </c>
      <c r="B2255" s="1">
        <v>7.8937507967664702E-3</v>
      </c>
      <c r="C2255" s="2">
        <v>2.249208138127E-6</v>
      </c>
      <c r="D2255" s="2"/>
      <c r="E2255" s="2">
        <v>-0.18601476729606939</v>
      </c>
      <c r="F2255" s="3">
        <v>73.329256064615308</v>
      </c>
      <c r="G2255" s="3">
        <v>1</v>
      </c>
      <c r="H2255" s="2">
        <v>5.4188793757450959E-5</v>
      </c>
      <c r="I2255" s="4">
        <v>5.5511151231257827E-17</v>
      </c>
      <c r="J2255" s="4">
        <v>-0.18601476729606939</v>
      </c>
      <c r="K2255" s="5">
        <v>1</v>
      </c>
      <c r="L2255" s="5">
        <v>0</v>
      </c>
      <c r="M2255" s="5">
        <v>0</v>
      </c>
    </row>
    <row r="2256" spans="1:13" hidden="1" x14ac:dyDescent="0.25">
      <c r="A2256" t="s">
        <v>2267</v>
      </c>
      <c r="B2256" s="1">
        <v>7.8854782327726167E-3</v>
      </c>
      <c r="C2256" s="2">
        <v>2.2468509927423529E-6</v>
      </c>
      <c r="D2256" s="2"/>
      <c r="E2256" s="2">
        <v>-0.66836696004436813</v>
      </c>
      <c r="F2256" s="3">
        <v>29.875731314696491</v>
      </c>
      <c r="G2256" s="3">
        <v>1</v>
      </c>
      <c r="H2256" s="2">
        <v>5.4188793757450959E-5</v>
      </c>
      <c r="I2256" s="4">
        <v>1.110223024625157E-16</v>
      </c>
      <c r="J2256" s="4">
        <v>-0.66836696004436824</v>
      </c>
      <c r="K2256" s="5">
        <v>1</v>
      </c>
      <c r="L2256" s="5">
        <v>0</v>
      </c>
      <c r="M2256" s="5">
        <v>0</v>
      </c>
    </row>
    <row r="2257" spans="1:13" hidden="1" x14ac:dyDescent="0.25">
      <c r="A2257" t="s">
        <v>2268</v>
      </c>
      <c r="B2257" s="1">
        <v>7.8638431676085856E-3</v>
      </c>
      <c r="C2257" s="2">
        <v>2.240686399269782E-6</v>
      </c>
      <c r="D2257" s="2"/>
      <c r="E2257" s="2">
        <v>-0.12404506068980981</v>
      </c>
      <c r="F2257" s="3">
        <v>78.911903392115832</v>
      </c>
      <c r="G2257" s="3">
        <v>1</v>
      </c>
      <c r="H2257" s="2">
        <v>5.4188793757450959E-5</v>
      </c>
      <c r="I2257" s="4">
        <v>-5.5511151231257827E-17</v>
      </c>
      <c r="J2257" s="4">
        <v>-0.12404506068980969</v>
      </c>
      <c r="K2257" s="5">
        <v>1</v>
      </c>
      <c r="L2257" s="5">
        <v>0</v>
      </c>
      <c r="M2257" s="5">
        <v>0</v>
      </c>
    </row>
    <row r="2258" spans="1:13" hidden="1" x14ac:dyDescent="0.25">
      <c r="A2258" t="s">
        <v>2269</v>
      </c>
      <c r="B2258" s="1">
        <v>7.8477724729147606E-3</v>
      </c>
      <c r="C2258" s="2">
        <v>2.236107291286602E-6</v>
      </c>
      <c r="D2258" s="2"/>
      <c r="E2258" s="2">
        <v>-0.14840266206849259</v>
      </c>
      <c r="F2258" s="3">
        <v>76.717607086906412</v>
      </c>
      <c r="G2258" s="3">
        <v>1</v>
      </c>
      <c r="H2258" s="2">
        <v>5.4188793757450959E-5</v>
      </c>
      <c r="I2258" s="4">
        <v>0</v>
      </c>
      <c r="J2258" s="4">
        <v>-0.14840266206849259</v>
      </c>
      <c r="K2258" s="5">
        <v>1</v>
      </c>
      <c r="L2258" s="5">
        <v>0</v>
      </c>
      <c r="M2258" s="5">
        <v>0</v>
      </c>
    </row>
    <row r="2259" spans="1:13" hidden="1" x14ac:dyDescent="0.25">
      <c r="A2259" t="s">
        <v>2270</v>
      </c>
      <c r="B2259" s="1">
        <v>7.8106547762809434E-3</v>
      </c>
      <c r="C2259" s="2">
        <v>2.2255311497935728E-6</v>
      </c>
      <c r="D2259" s="2"/>
      <c r="E2259" s="2">
        <v>1.1354523893647841</v>
      </c>
      <c r="F2259" s="3">
        <v>192.3758918246634</v>
      </c>
      <c r="G2259" s="3">
        <v>1</v>
      </c>
      <c r="H2259" s="2">
        <v>5.4188793757450959E-5</v>
      </c>
      <c r="I2259" s="4">
        <v>2.2204460492503131E-16</v>
      </c>
      <c r="J2259" s="4">
        <v>1.1354523893647841</v>
      </c>
      <c r="K2259" s="5">
        <v>1</v>
      </c>
      <c r="L2259" s="5">
        <v>0</v>
      </c>
      <c r="M2259" s="5">
        <v>0</v>
      </c>
    </row>
    <row r="2260" spans="1:13" hidden="1" x14ac:dyDescent="0.25">
      <c r="A2260" t="s">
        <v>2271</v>
      </c>
      <c r="B2260" s="1">
        <v>7.8085389708938743E-3</v>
      </c>
      <c r="C2260" s="2">
        <v>2.224928282181229E-6</v>
      </c>
      <c r="D2260" s="2"/>
      <c r="E2260" s="2">
        <v>-0.27305590589682721</v>
      </c>
      <c r="F2260" s="3">
        <v>65.488005776316541</v>
      </c>
      <c r="G2260" s="3">
        <v>1</v>
      </c>
      <c r="H2260" s="2">
        <v>5.4188793757450959E-5</v>
      </c>
      <c r="I2260" s="4">
        <v>0</v>
      </c>
      <c r="J2260" s="4">
        <v>-0.27305590589682721</v>
      </c>
      <c r="K2260" s="5">
        <v>1</v>
      </c>
      <c r="L2260" s="5">
        <v>0</v>
      </c>
      <c r="M2260" s="5">
        <v>0</v>
      </c>
    </row>
    <row r="2261" spans="1:13" hidden="1" x14ac:dyDescent="0.25">
      <c r="A2261" t="s">
        <v>2272</v>
      </c>
      <c r="B2261" s="1">
        <v>7.7942284648367527E-3</v>
      </c>
      <c r="C2261" s="2">
        <v>2.220850714050046E-6</v>
      </c>
      <c r="D2261" s="2"/>
      <c r="E2261" s="2">
        <v>2.8204338253491331E-2</v>
      </c>
      <c r="F2261" s="3">
        <v>92.627551676926771</v>
      </c>
      <c r="G2261" s="3">
        <v>1</v>
      </c>
      <c r="H2261" s="2">
        <v>5.4188793757450959E-5</v>
      </c>
      <c r="I2261" s="4">
        <v>4.163336342344337E-17</v>
      </c>
      <c r="J2261" s="4">
        <v>2.8204338253491289E-2</v>
      </c>
      <c r="K2261" s="5">
        <v>1</v>
      </c>
      <c r="L2261" s="5">
        <v>0</v>
      </c>
      <c r="M2261" s="5">
        <v>0</v>
      </c>
    </row>
    <row r="2262" spans="1:13" hidden="1" x14ac:dyDescent="0.25">
      <c r="A2262" t="s">
        <v>2273</v>
      </c>
      <c r="B2262" s="1">
        <v>7.7637048413596726E-3</v>
      </c>
      <c r="C2262" s="2">
        <v>2.2121534566755299E-6</v>
      </c>
      <c r="D2262" s="2"/>
      <c r="E2262" s="2">
        <v>0.20178157758005111</v>
      </c>
      <c r="F2262" s="3">
        <v>108.2645550501759</v>
      </c>
      <c r="G2262" s="3">
        <v>1</v>
      </c>
      <c r="H2262" s="2">
        <v>5.4188793757450959E-5</v>
      </c>
      <c r="I2262" s="4">
        <v>0.20178157758005111</v>
      </c>
      <c r="J2262" s="4">
        <v>0</v>
      </c>
      <c r="K2262" s="5">
        <v>1</v>
      </c>
      <c r="L2262" s="5">
        <v>0</v>
      </c>
      <c r="M2262" s="5">
        <v>1</v>
      </c>
    </row>
    <row r="2263" spans="1:13" hidden="1" x14ac:dyDescent="0.25">
      <c r="A2263" t="s">
        <v>2274</v>
      </c>
      <c r="B2263" s="1">
        <v>7.6956209480435762E-3</v>
      </c>
      <c r="C2263" s="2">
        <v>2.19275395308534E-6</v>
      </c>
      <c r="D2263" s="2"/>
      <c r="E2263" s="2">
        <v>-0.63717593017595586</v>
      </c>
      <c r="F2263" s="3">
        <v>32.685628748022282</v>
      </c>
      <c r="G2263" s="3">
        <v>1</v>
      </c>
      <c r="H2263" s="2">
        <v>5.4188793757450959E-5</v>
      </c>
      <c r="I2263" s="4">
        <v>0</v>
      </c>
      <c r="J2263" s="4">
        <v>-0.63717593017595586</v>
      </c>
      <c r="K2263" s="5">
        <v>1</v>
      </c>
      <c r="L2263" s="5">
        <v>0</v>
      </c>
      <c r="M2263" s="5">
        <v>1</v>
      </c>
    </row>
    <row r="2264" spans="1:13" hidden="1" x14ac:dyDescent="0.25">
      <c r="A2264" t="s">
        <v>2275</v>
      </c>
      <c r="B2264" s="1">
        <v>7.6914047822534519E-3</v>
      </c>
      <c r="C2264" s="2">
        <v>2.191552618681583E-6</v>
      </c>
      <c r="D2264" s="2"/>
      <c r="E2264" s="2">
        <v>-0.40778301032631759</v>
      </c>
      <c r="F2264" s="3">
        <v>53.350883451951589</v>
      </c>
      <c r="G2264" s="3">
        <v>1</v>
      </c>
      <c r="H2264" s="2">
        <v>5.4188793757450959E-5</v>
      </c>
      <c r="I2264" s="4">
        <v>-5.5511151231257827E-17</v>
      </c>
      <c r="J2264" s="4">
        <v>-0.40778301032631747</v>
      </c>
      <c r="K2264" s="5">
        <v>1</v>
      </c>
      <c r="L2264" s="5">
        <v>0</v>
      </c>
      <c r="M2264" s="5">
        <v>0</v>
      </c>
    </row>
    <row r="2265" spans="1:13" hidden="1" x14ac:dyDescent="0.25">
      <c r="A2265" t="s">
        <v>2276</v>
      </c>
      <c r="B2265" s="1">
        <v>7.6602841900805466E-3</v>
      </c>
      <c r="C2265" s="2">
        <v>2.1826852638611982E-6</v>
      </c>
      <c r="D2265" s="2"/>
      <c r="E2265" s="2">
        <v>-0.56907135816935961</v>
      </c>
      <c r="F2265" s="3">
        <v>38.820945949359277</v>
      </c>
      <c r="G2265" s="3">
        <v>1</v>
      </c>
      <c r="H2265" s="2">
        <v>5.4188793757450959E-5</v>
      </c>
      <c r="I2265" s="4">
        <v>-1.110223024625157E-16</v>
      </c>
      <c r="J2265" s="4">
        <v>-0.5690713581693595</v>
      </c>
      <c r="K2265" s="5">
        <v>1</v>
      </c>
      <c r="L2265" s="5">
        <v>0</v>
      </c>
      <c r="M2265" s="5">
        <v>0</v>
      </c>
    </row>
    <row r="2266" spans="1:13" hidden="1" x14ac:dyDescent="0.25">
      <c r="A2266" t="s">
        <v>2277</v>
      </c>
      <c r="B2266" s="1">
        <v>7.6176605687720937E-3</v>
      </c>
      <c r="C2266" s="2">
        <v>2.1705402901482342E-6</v>
      </c>
      <c r="D2266" s="2"/>
      <c r="E2266" s="2">
        <v>-0.82320093262354788</v>
      </c>
      <c r="F2266" s="3">
        <v>15.927247280109571</v>
      </c>
      <c r="G2266" s="3">
        <v>1</v>
      </c>
      <c r="H2266" s="2">
        <v>5.4188793757450959E-5</v>
      </c>
      <c r="I2266" s="4">
        <v>1.110223024625157E-16</v>
      </c>
      <c r="J2266" s="4">
        <v>-0.82320093262354799</v>
      </c>
      <c r="K2266" s="5">
        <v>1</v>
      </c>
      <c r="L2266" s="5">
        <v>0</v>
      </c>
      <c r="M2266" s="5">
        <v>0</v>
      </c>
    </row>
    <row r="2267" spans="1:13" hidden="1" x14ac:dyDescent="0.25">
      <c r="A2267" t="s">
        <v>2278</v>
      </c>
      <c r="B2267" s="1">
        <v>7.6049923186408911E-3</v>
      </c>
      <c r="C2267" s="2">
        <v>2.1669306586784128E-6</v>
      </c>
      <c r="D2267" s="2"/>
      <c r="E2267" s="2">
        <v>-0.46041968302056441</v>
      </c>
      <c r="F2267" s="3">
        <v>48.609018495060312</v>
      </c>
      <c r="G2267" s="3">
        <v>1</v>
      </c>
      <c r="H2267" s="2">
        <v>5.4188793757450959E-5</v>
      </c>
      <c r="I2267" s="4">
        <v>0</v>
      </c>
      <c r="J2267" s="4">
        <v>-0.46041968302056441</v>
      </c>
      <c r="K2267" s="5">
        <v>1</v>
      </c>
      <c r="L2267" s="5">
        <v>0</v>
      </c>
      <c r="M2267" s="5">
        <v>1</v>
      </c>
    </row>
    <row r="2268" spans="1:13" hidden="1" x14ac:dyDescent="0.25">
      <c r="A2268" t="s">
        <v>2279</v>
      </c>
      <c r="B2268" s="1">
        <v>7.5656010042458519E-3</v>
      </c>
      <c r="C2268" s="2">
        <v>2.1557066832591321E-6</v>
      </c>
      <c r="D2268" s="2"/>
      <c r="E2268" s="2">
        <v>-0.64440437570331521</v>
      </c>
      <c r="F2268" s="3">
        <v>32.034441832426651</v>
      </c>
      <c r="G2268" s="3">
        <v>1</v>
      </c>
      <c r="H2268" s="2">
        <v>5.4188793757450959E-5</v>
      </c>
      <c r="I2268" s="4">
        <v>0</v>
      </c>
      <c r="J2268" s="4">
        <v>-0.64440437570331521</v>
      </c>
      <c r="K2268" s="5">
        <v>1</v>
      </c>
      <c r="L2268" s="5">
        <v>0</v>
      </c>
      <c r="M2268" s="5">
        <v>0</v>
      </c>
    </row>
    <row r="2269" spans="1:13" hidden="1" x14ac:dyDescent="0.25">
      <c r="A2269" t="s">
        <v>2280</v>
      </c>
      <c r="B2269" s="1">
        <v>7.5477546331049906E-3</v>
      </c>
      <c r="C2269" s="2">
        <v>2.150621622400293E-6</v>
      </c>
      <c r="D2269" s="2"/>
      <c r="E2269" s="2">
        <v>-0.76359283929634181</v>
      </c>
      <c r="F2269" s="3">
        <v>21.29714462406303</v>
      </c>
      <c r="G2269" s="3">
        <v>1</v>
      </c>
      <c r="H2269" s="2">
        <v>5.4188793757450959E-5</v>
      </c>
      <c r="I2269" s="4">
        <v>1.110223024625157E-16</v>
      </c>
      <c r="J2269" s="4">
        <v>-0.76359283929634192</v>
      </c>
      <c r="K2269" s="5">
        <v>1</v>
      </c>
      <c r="L2269" s="5">
        <v>0</v>
      </c>
      <c r="M2269" s="5">
        <v>0</v>
      </c>
    </row>
    <row r="2270" spans="1:13" hidden="1" x14ac:dyDescent="0.25">
      <c r="A2270" t="s">
        <v>2281</v>
      </c>
      <c r="B2270" s="1">
        <v>7.4990378207125006E-3</v>
      </c>
      <c r="C2270" s="2">
        <v>2.136740483545279E-6</v>
      </c>
      <c r="D2270" s="2"/>
      <c r="E2270" s="2">
        <v>1.2362265260355529</v>
      </c>
      <c r="F2270" s="3">
        <v>201.45430280280121</v>
      </c>
      <c r="G2270" s="3">
        <v>1</v>
      </c>
      <c r="H2270" s="2">
        <v>5.4188793757450959E-5</v>
      </c>
      <c r="I2270" s="4">
        <v>0</v>
      </c>
      <c r="J2270" s="4">
        <v>1.2362265260355529</v>
      </c>
      <c r="K2270" s="5">
        <v>1</v>
      </c>
      <c r="L2270" s="5">
        <v>0</v>
      </c>
      <c r="M2270" s="5">
        <v>0</v>
      </c>
    </row>
    <row r="2271" spans="1:13" hidden="1" x14ac:dyDescent="0.25">
      <c r="A2271" t="s">
        <v>2282</v>
      </c>
      <c r="B2271" s="1">
        <v>7.4783492469843544E-3</v>
      </c>
      <c r="C2271" s="2">
        <v>2.1308455788803569E-6</v>
      </c>
      <c r="D2271" s="2"/>
      <c r="E2271" s="2">
        <v>-0.26358713849513599</v>
      </c>
      <c r="F2271" s="3">
        <v>66.34101593119172</v>
      </c>
      <c r="G2271" s="3">
        <v>1</v>
      </c>
      <c r="H2271" s="2">
        <v>5.4188793757450959E-5</v>
      </c>
      <c r="I2271" s="4">
        <v>0</v>
      </c>
      <c r="J2271" s="4">
        <v>-0.26358713849513599</v>
      </c>
      <c r="K2271" s="5">
        <v>1</v>
      </c>
      <c r="L2271" s="5">
        <v>0</v>
      </c>
      <c r="M2271" s="5">
        <v>0</v>
      </c>
    </row>
    <row r="2272" spans="1:13" hidden="1" x14ac:dyDescent="0.25">
      <c r="A2272" t="s">
        <v>2283</v>
      </c>
      <c r="B2272" s="1">
        <v>7.4783492469843544E-3</v>
      </c>
      <c r="C2272" s="2">
        <v>2.1308455788803569E-6</v>
      </c>
      <c r="D2272" s="2"/>
      <c r="E2272" s="2">
        <v>-0.26358713849513599</v>
      </c>
      <c r="F2272" s="3">
        <v>66.34101593119172</v>
      </c>
      <c r="G2272" s="3">
        <v>1</v>
      </c>
      <c r="H2272" s="2">
        <v>5.4188793757450959E-5</v>
      </c>
      <c r="I2272" s="4">
        <v>0</v>
      </c>
      <c r="J2272" s="4">
        <v>-0.26358713849513599</v>
      </c>
      <c r="K2272" s="5">
        <v>1</v>
      </c>
      <c r="L2272" s="5">
        <v>0</v>
      </c>
      <c r="M2272" s="5">
        <v>0</v>
      </c>
    </row>
    <row r="2273" spans="1:13" hidden="1" x14ac:dyDescent="0.25">
      <c r="A2273" t="s">
        <v>2284</v>
      </c>
      <c r="B2273" s="1">
        <v>7.468298594788347E-3</v>
      </c>
      <c r="C2273" s="2">
        <v>2.1279817934259192E-6</v>
      </c>
      <c r="D2273" s="2"/>
      <c r="E2273" s="2">
        <v>-0.59107891959767755</v>
      </c>
      <c r="F2273" s="3">
        <v>36.838357024528172</v>
      </c>
      <c r="G2273" s="3">
        <v>1</v>
      </c>
      <c r="H2273" s="2">
        <v>5.4188793757450959E-5</v>
      </c>
      <c r="I2273" s="4">
        <v>-1.110223024625157E-16</v>
      </c>
      <c r="J2273" s="4">
        <v>-0.59107891959767744</v>
      </c>
      <c r="K2273" s="5">
        <v>1</v>
      </c>
      <c r="L2273" s="5">
        <v>0</v>
      </c>
      <c r="M2273" s="5">
        <v>0</v>
      </c>
    </row>
    <row r="2274" spans="1:13" hidden="1" x14ac:dyDescent="0.25">
      <c r="A2274" t="s">
        <v>2285</v>
      </c>
      <c r="B2274" s="1">
        <v>7.4407879283152744E-3</v>
      </c>
      <c r="C2274" s="2">
        <v>2.12014303381599E-6</v>
      </c>
      <c r="D2274" s="2"/>
      <c r="E2274" s="2">
        <v>-0.20463131336040311</v>
      </c>
      <c r="F2274" s="3">
        <v>71.652152576072325</v>
      </c>
      <c r="G2274" s="3">
        <v>2</v>
      </c>
      <c r="H2274" s="2">
        <v>1.083775875149019E-4</v>
      </c>
      <c r="I2274" s="4">
        <v>1.6653345369377351E-16</v>
      </c>
      <c r="J2274" s="4">
        <v>-0.20463131336040319</v>
      </c>
      <c r="K2274" s="5">
        <v>2</v>
      </c>
      <c r="L2274" s="5">
        <v>0</v>
      </c>
      <c r="M2274" s="5">
        <v>0</v>
      </c>
    </row>
    <row r="2275" spans="1:13" hidden="1" x14ac:dyDescent="0.25">
      <c r="A2275" t="s">
        <v>2286</v>
      </c>
      <c r="B2275" s="1">
        <v>7.4039363841498576E-3</v>
      </c>
      <c r="C2275" s="2">
        <v>2.1096427285525722E-6</v>
      </c>
      <c r="D2275" s="2"/>
      <c r="E2275" s="2">
        <v>-0.57394318811291334</v>
      </c>
      <c r="F2275" s="3">
        <v>38.382058791360862</v>
      </c>
      <c r="G2275" s="3">
        <v>1</v>
      </c>
      <c r="H2275" s="2">
        <v>5.4188793757450959E-5</v>
      </c>
      <c r="I2275" s="4">
        <v>-1.110223024625157E-16</v>
      </c>
      <c r="J2275" s="4">
        <v>-0.57394318811291323</v>
      </c>
      <c r="K2275" s="5">
        <v>1</v>
      </c>
      <c r="L2275" s="5">
        <v>0</v>
      </c>
      <c r="M2275" s="5">
        <v>0</v>
      </c>
    </row>
    <row r="2276" spans="1:13" hidden="1" x14ac:dyDescent="0.25">
      <c r="A2276" t="s">
        <v>2287</v>
      </c>
      <c r="B2276" s="1">
        <v>7.352024713364257E-3</v>
      </c>
      <c r="C2276" s="2">
        <v>2.0948512618087049E-6</v>
      </c>
      <c r="D2276" s="2"/>
      <c r="E2276" s="2">
        <v>0.1686281835280703</v>
      </c>
      <c r="F2276" s="3">
        <v>105.27787467297421</v>
      </c>
      <c r="G2276" s="3">
        <v>1</v>
      </c>
      <c r="H2276" s="2">
        <v>5.4188793757450959E-5</v>
      </c>
      <c r="I2276" s="4">
        <v>0</v>
      </c>
      <c r="J2276" s="4">
        <v>0.1686281835280703</v>
      </c>
      <c r="K2276" s="5">
        <v>1</v>
      </c>
      <c r="L2276" s="5">
        <v>0</v>
      </c>
      <c r="M2276" s="5">
        <v>0</v>
      </c>
    </row>
    <row r="2277" spans="1:13" hidden="1" x14ac:dyDescent="0.25">
      <c r="A2277" t="s">
        <v>2288</v>
      </c>
      <c r="B2277" s="1">
        <v>7.3240954522041301E-3</v>
      </c>
      <c r="C2277" s="2">
        <v>2.0868932298020489E-6</v>
      </c>
      <c r="D2277" s="2"/>
      <c r="E2277" s="2">
        <v>0.1386249766151135</v>
      </c>
      <c r="F2277" s="3">
        <v>102.5749843082787</v>
      </c>
      <c r="G2277" s="3">
        <v>1</v>
      </c>
      <c r="H2277" s="2">
        <v>5.4188793757450959E-5</v>
      </c>
      <c r="I2277" s="4">
        <v>-8.3266726846886741E-17</v>
      </c>
      <c r="J2277" s="4">
        <v>0.13862497661511361</v>
      </c>
      <c r="K2277" s="5">
        <v>1</v>
      </c>
      <c r="L2277" s="5">
        <v>0</v>
      </c>
      <c r="M2277" s="5">
        <v>0</v>
      </c>
    </row>
    <row r="2278" spans="1:13" hidden="1" x14ac:dyDescent="0.25">
      <c r="A2278" t="s">
        <v>2289</v>
      </c>
      <c r="B2278" s="1">
        <v>7.2985844506982117E-3</v>
      </c>
      <c r="C2278" s="2">
        <v>2.0796242453007421E-6</v>
      </c>
      <c r="D2278" s="2"/>
      <c r="E2278" s="2">
        <v>-0.69229437853973397</v>
      </c>
      <c r="F2278" s="3">
        <v>27.720188772501391</v>
      </c>
      <c r="G2278" s="3">
        <v>1</v>
      </c>
      <c r="H2278" s="2">
        <v>5.4188793757450959E-5</v>
      </c>
      <c r="I2278" s="4">
        <v>0</v>
      </c>
      <c r="J2278" s="4">
        <v>-0.69229437853973397</v>
      </c>
      <c r="K2278" s="5">
        <v>1</v>
      </c>
      <c r="L2278" s="5">
        <v>0</v>
      </c>
      <c r="M2278" s="5">
        <v>1</v>
      </c>
    </row>
    <row r="2279" spans="1:13" hidden="1" x14ac:dyDescent="0.25">
      <c r="A2279" t="s">
        <v>2290</v>
      </c>
      <c r="B2279" s="1">
        <v>7.2932035897820494E-3</v>
      </c>
      <c r="C2279" s="2">
        <v>2.0780910481585521E-6</v>
      </c>
      <c r="D2279" s="2"/>
      <c r="E2279" s="2">
        <v>-0.96209335604947199</v>
      </c>
      <c r="F2279" s="3">
        <v>3.4148850484238591</v>
      </c>
      <c r="G2279" s="3">
        <v>2</v>
      </c>
      <c r="H2279" s="2">
        <v>1.083775875149019E-4</v>
      </c>
      <c r="I2279" s="4">
        <v>-0.95209063852469311</v>
      </c>
      <c r="J2279" s="4">
        <v>-1.000271752477888E-2</v>
      </c>
      <c r="K2279" s="5">
        <v>2</v>
      </c>
      <c r="L2279" s="5">
        <v>0</v>
      </c>
      <c r="M2279" s="5">
        <v>0</v>
      </c>
    </row>
    <row r="2280" spans="1:13" hidden="1" x14ac:dyDescent="0.25">
      <c r="A2280" t="s">
        <v>2291</v>
      </c>
      <c r="B2280" s="1">
        <v>7.201965159463585E-3</v>
      </c>
      <c r="C2280" s="2">
        <v>2.0520939999534979E-6</v>
      </c>
      <c r="D2280" s="2"/>
      <c r="E2280" s="2">
        <v>-0.85579626289432353</v>
      </c>
      <c r="F2280" s="3">
        <v>12.99084103598573</v>
      </c>
      <c r="G2280" s="3">
        <v>2</v>
      </c>
      <c r="H2280" s="2">
        <v>1.083775875149019E-4</v>
      </c>
      <c r="I2280" s="4">
        <v>-1.110223024625157E-16</v>
      </c>
      <c r="J2280" s="4">
        <v>-0.85579626289432342</v>
      </c>
      <c r="K2280" s="5">
        <v>2</v>
      </c>
      <c r="L2280" s="5">
        <v>0</v>
      </c>
      <c r="M2280" s="5">
        <v>0</v>
      </c>
    </row>
    <row r="2281" spans="1:13" hidden="1" x14ac:dyDescent="0.25">
      <c r="A2281" t="s">
        <v>2292</v>
      </c>
      <c r="B2281" s="1">
        <v>7.191085916152703E-3</v>
      </c>
      <c r="C2281" s="2">
        <v>2.0489941196530549E-6</v>
      </c>
      <c r="D2281" s="2"/>
      <c r="E2281" s="2">
        <v>-0.7517610680194643</v>
      </c>
      <c r="F2281" s="3">
        <v>22.363030036723451</v>
      </c>
      <c r="G2281" s="3">
        <v>1</v>
      </c>
      <c r="H2281" s="2">
        <v>5.4188793757450959E-5</v>
      </c>
      <c r="I2281" s="4">
        <v>0</v>
      </c>
      <c r="J2281" s="4">
        <v>-0.7517610680194643</v>
      </c>
      <c r="K2281" s="5">
        <v>1</v>
      </c>
      <c r="L2281" s="5">
        <v>0</v>
      </c>
      <c r="M2281" s="5">
        <v>0</v>
      </c>
    </row>
    <row r="2282" spans="1:13" hidden="1" x14ac:dyDescent="0.25">
      <c r="A2282" t="s">
        <v>2293</v>
      </c>
      <c r="B2282" s="1">
        <v>7.1275862822729576E-3</v>
      </c>
      <c r="C2282" s="2">
        <v>2.0309008333348561E-6</v>
      </c>
      <c r="D2282" s="2"/>
      <c r="E2282" s="2">
        <v>1.382328517607748</v>
      </c>
      <c r="F2282" s="3">
        <v>214.61615134882331</v>
      </c>
      <c r="G2282" s="3">
        <v>1</v>
      </c>
      <c r="H2282" s="2">
        <v>5.4188793757450959E-5</v>
      </c>
      <c r="I2282" s="4">
        <v>0</v>
      </c>
      <c r="J2282" s="4">
        <v>1.382328517607748</v>
      </c>
      <c r="K2282" s="5">
        <v>1</v>
      </c>
      <c r="L2282" s="5">
        <v>0</v>
      </c>
      <c r="M2282" s="5">
        <v>0</v>
      </c>
    </row>
    <row r="2283" spans="1:13" hidden="1" x14ac:dyDescent="0.25">
      <c r="A2283" t="s">
        <v>2294</v>
      </c>
      <c r="B2283" s="1">
        <v>7.0986490489050036E-3</v>
      </c>
      <c r="C2283" s="2">
        <v>2.0226555944792362E-6</v>
      </c>
      <c r="D2283" s="2"/>
      <c r="E2283" s="2">
        <v>-0.52761233564346233</v>
      </c>
      <c r="F2283" s="3">
        <v>42.555853115784451</v>
      </c>
      <c r="G2283" s="3">
        <v>1</v>
      </c>
      <c r="H2283" s="2">
        <v>5.4188793757450959E-5</v>
      </c>
      <c r="I2283" s="4">
        <v>1.110223024625157E-16</v>
      </c>
      <c r="J2283" s="4">
        <v>-0.52761233564346244</v>
      </c>
      <c r="K2283" s="5">
        <v>1</v>
      </c>
      <c r="L2283" s="5">
        <v>0</v>
      </c>
      <c r="M2283" s="5">
        <v>0</v>
      </c>
    </row>
    <row r="2284" spans="1:13" hidden="1" x14ac:dyDescent="0.25">
      <c r="A2284" t="s">
        <v>2295</v>
      </c>
      <c r="B2284" s="1">
        <v>7.0586685946633591E-3</v>
      </c>
      <c r="C2284" s="2">
        <v>2.0112637523294729E-6</v>
      </c>
      <c r="D2284" s="2"/>
      <c r="E2284" s="2">
        <v>-0.84332886331251422</v>
      </c>
      <c r="F2284" s="3">
        <v>14.11398811490443</v>
      </c>
      <c r="G2284" s="3">
        <v>1</v>
      </c>
      <c r="H2284" s="2">
        <v>5.4188793757450959E-5</v>
      </c>
      <c r="I2284" s="4">
        <v>0</v>
      </c>
      <c r="J2284" s="4">
        <v>-0.84332886331251422</v>
      </c>
      <c r="K2284" s="5">
        <v>0</v>
      </c>
      <c r="L2284" s="5">
        <v>0</v>
      </c>
      <c r="M2284" s="5">
        <v>0</v>
      </c>
    </row>
    <row r="2285" spans="1:13" hidden="1" x14ac:dyDescent="0.25">
      <c r="A2285" t="s">
        <v>2296</v>
      </c>
      <c r="B2285" s="1">
        <v>7.0266168831999848E-3</v>
      </c>
      <c r="C2285" s="2">
        <v>2.0021310887680839E-6</v>
      </c>
      <c r="D2285" s="2"/>
      <c r="E2285" s="2">
        <v>-0.72955509573648958</v>
      </c>
      <c r="F2285" s="3">
        <v>24.363493143766419</v>
      </c>
      <c r="G2285" s="3">
        <v>1</v>
      </c>
      <c r="H2285" s="2">
        <v>5.4188793757450959E-5</v>
      </c>
      <c r="I2285" s="4">
        <v>0</v>
      </c>
      <c r="J2285" s="4">
        <v>-0.72955509573648958</v>
      </c>
      <c r="K2285" s="5">
        <v>1</v>
      </c>
      <c r="L2285" s="5">
        <v>0</v>
      </c>
      <c r="M2285" s="5">
        <v>0</v>
      </c>
    </row>
    <row r="2286" spans="1:13" hidden="1" x14ac:dyDescent="0.25">
      <c r="A2286" t="s">
        <v>2297</v>
      </c>
      <c r="B2286" s="1">
        <v>6.9592206241283162E-3</v>
      </c>
      <c r="C2286" s="2">
        <v>1.982927516437753E-6</v>
      </c>
      <c r="D2286" s="2"/>
      <c r="E2286" s="2">
        <v>-0.41649553280941942</v>
      </c>
      <c r="F2286" s="3">
        <v>52.566000917891579</v>
      </c>
      <c r="G2286" s="3">
        <v>1</v>
      </c>
      <c r="H2286" s="2">
        <v>5.4188793757450959E-5</v>
      </c>
      <c r="I2286" s="4">
        <v>5.5511151231257827E-17</v>
      </c>
      <c r="J2286" s="4">
        <v>-0.41649553280941948</v>
      </c>
      <c r="K2286" s="5">
        <v>1</v>
      </c>
      <c r="L2286" s="5">
        <v>0</v>
      </c>
      <c r="M2286" s="5">
        <v>0</v>
      </c>
    </row>
    <row r="2287" spans="1:13" hidden="1" x14ac:dyDescent="0.25">
      <c r="A2287" t="s">
        <v>2298</v>
      </c>
      <c r="B2287" s="1">
        <v>6.9374313702225297E-3</v>
      </c>
      <c r="C2287" s="2">
        <v>1.9767189891520058E-6</v>
      </c>
      <c r="D2287" s="2"/>
      <c r="E2287" s="2">
        <v>-0.47000062593723418</v>
      </c>
      <c r="F2287" s="3">
        <v>47.745902816483252</v>
      </c>
      <c r="G2287" s="3">
        <v>1</v>
      </c>
      <c r="H2287" s="2">
        <v>5.4188793757450959E-5</v>
      </c>
      <c r="I2287" s="4">
        <v>5.5511151231257827E-17</v>
      </c>
      <c r="J2287" s="4">
        <v>-0.4700006259372343</v>
      </c>
      <c r="K2287" s="5">
        <v>1</v>
      </c>
      <c r="L2287" s="5">
        <v>0</v>
      </c>
      <c r="M2287" s="5">
        <v>0</v>
      </c>
    </row>
    <row r="2288" spans="1:13" hidden="1" x14ac:dyDescent="0.25">
      <c r="A2288" t="s">
        <v>2299</v>
      </c>
      <c r="B2288" s="1">
        <v>6.8989188977534198E-3</v>
      </c>
      <c r="C2288" s="2">
        <v>1.96574542680793E-6</v>
      </c>
      <c r="D2288" s="2"/>
      <c r="E2288" s="2">
        <v>-0.70489578731867653</v>
      </c>
      <c r="F2288" s="3">
        <v>26.584969245168679</v>
      </c>
      <c r="G2288" s="3">
        <v>1</v>
      </c>
      <c r="H2288" s="2">
        <v>5.4188793757450959E-5</v>
      </c>
      <c r="I2288" s="4">
        <v>0</v>
      </c>
      <c r="J2288" s="4">
        <v>-0.70489578731867653</v>
      </c>
      <c r="K2288" s="5">
        <v>1</v>
      </c>
      <c r="L2288" s="5">
        <v>0</v>
      </c>
      <c r="M2288" s="5">
        <v>0</v>
      </c>
    </row>
    <row r="2289" spans="1:13" hidden="1" x14ac:dyDescent="0.25">
      <c r="A2289" t="s">
        <v>2300</v>
      </c>
      <c r="B2289" s="1">
        <v>6.8725116926365648E-3</v>
      </c>
      <c r="C2289" s="2">
        <v>1.95822108227474E-6</v>
      </c>
      <c r="D2289" s="2"/>
      <c r="E2289" s="2">
        <v>-0.67967509274694005</v>
      </c>
      <c r="F2289" s="3">
        <v>28.85701878129461</v>
      </c>
      <c r="G2289" s="3">
        <v>1</v>
      </c>
      <c r="H2289" s="2">
        <v>5.4188793757450959E-5</v>
      </c>
      <c r="I2289" s="4">
        <v>-1.110223024625157E-16</v>
      </c>
      <c r="J2289" s="4">
        <v>-0.67967509274693994</v>
      </c>
      <c r="K2289" s="5">
        <v>0</v>
      </c>
      <c r="L2289" s="5">
        <v>0</v>
      </c>
      <c r="M2289" s="5">
        <v>0</v>
      </c>
    </row>
    <row r="2290" spans="1:13" hidden="1" x14ac:dyDescent="0.25">
      <c r="A2290" t="s">
        <v>2301</v>
      </c>
      <c r="B2290" s="1">
        <v>6.8375240110345788E-3</v>
      </c>
      <c r="C2290" s="2">
        <v>1.9482518572232451E-6</v>
      </c>
      <c r="D2290" s="2"/>
      <c r="E2290" s="2">
        <v>-0.54437388178180746</v>
      </c>
      <c r="F2290" s="3">
        <v>41.045860477791933</v>
      </c>
      <c r="G2290" s="3">
        <v>1</v>
      </c>
      <c r="H2290" s="2">
        <v>5.4188793757450959E-5</v>
      </c>
      <c r="I2290" s="4">
        <v>2.2204460492503131E-16</v>
      </c>
      <c r="J2290" s="4">
        <v>-0.54437388178180768</v>
      </c>
      <c r="K2290" s="5">
        <v>1</v>
      </c>
      <c r="L2290" s="5">
        <v>0</v>
      </c>
      <c r="M2290" s="5">
        <v>0</v>
      </c>
    </row>
    <row r="2291" spans="1:13" hidden="1" x14ac:dyDescent="0.25">
      <c r="A2291" t="s">
        <v>2302</v>
      </c>
      <c r="B2291" s="1">
        <v>6.7943694290545954E-3</v>
      </c>
      <c r="C2291" s="2">
        <v>1.9359555940796692E-6</v>
      </c>
      <c r="D2291" s="2"/>
      <c r="E2291" s="2">
        <v>-0.56458769932873976</v>
      </c>
      <c r="F2291" s="3">
        <v>39.224864047649611</v>
      </c>
      <c r="G2291" s="3">
        <v>1</v>
      </c>
      <c r="H2291" s="2">
        <v>5.4188793757450959E-5</v>
      </c>
      <c r="I2291" s="4">
        <v>1.110223024625157E-16</v>
      </c>
      <c r="J2291" s="4">
        <v>-0.56458769932873987</v>
      </c>
      <c r="K2291" s="5">
        <v>1</v>
      </c>
      <c r="L2291" s="5">
        <v>0</v>
      </c>
      <c r="M2291" s="5">
        <v>0</v>
      </c>
    </row>
    <row r="2292" spans="1:13" hidden="1" x14ac:dyDescent="0.25">
      <c r="A2292" t="s">
        <v>2303</v>
      </c>
      <c r="B2292" s="1">
        <v>6.784431121349071E-3</v>
      </c>
      <c r="C2292" s="2">
        <v>1.9331238195347178E-6</v>
      </c>
      <c r="D2292" s="2"/>
      <c r="E2292" s="2">
        <v>-0.50012816599662624</v>
      </c>
      <c r="F2292" s="3">
        <v>45.031811686999987</v>
      </c>
      <c r="G2292" s="3">
        <v>1</v>
      </c>
      <c r="H2292" s="2">
        <v>5.4188793757450959E-5</v>
      </c>
      <c r="I2292" s="4">
        <v>0</v>
      </c>
      <c r="J2292" s="4">
        <v>-0.50012816599662624</v>
      </c>
      <c r="K2292" s="5">
        <v>1</v>
      </c>
      <c r="L2292" s="5">
        <v>0</v>
      </c>
      <c r="M2292" s="5">
        <v>0</v>
      </c>
    </row>
    <row r="2293" spans="1:13" hidden="1" x14ac:dyDescent="0.25">
      <c r="A2293" t="s">
        <v>2304</v>
      </c>
      <c r="B2293" s="1">
        <v>6.7454494312665847E-3</v>
      </c>
      <c r="C2293" s="2">
        <v>1.9220165605359418E-6</v>
      </c>
      <c r="D2293" s="2"/>
      <c r="E2293" s="2">
        <v>-0.11048158538812999</v>
      </c>
      <c r="F2293" s="3">
        <v>80.133792332556496</v>
      </c>
      <c r="G2293" s="3">
        <v>1</v>
      </c>
      <c r="H2293" s="2">
        <v>5.4188793757450959E-5</v>
      </c>
      <c r="I2293" s="4">
        <v>1.387778780781446E-17</v>
      </c>
      <c r="J2293" s="4">
        <v>-0.11048158538812999</v>
      </c>
      <c r="K2293" s="5">
        <v>1</v>
      </c>
      <c r="L2293" s="5">
        <v>0</v>
      </c>
      <c r="M2293" s="5">
        <v>0</v>
      </c>
    </row>
    <row r="2294" spans="1:13" hidden="1" x14ac:dyDescent="0.25">
      <c r="A2294" t="s">
        <v>2305</v>
      </c>
      <c r="B2294" s="1">
        <v>6.7289983527837353E-3</v>
      </c>
      <c r="C2294" s="2">
        <v>1.9173290677891801E-6</v>
      </c>
      <c r="D2294" s="2"/>
      <c r="E2294" s="2">
        <v>-0.66132854598061863</v>
      </c>
      <c r="F2294" s="3">
        <v>30.509798919897381</v>
      </c>
      <c r="G2294" s="3">
        <v>2</v>
      </c>
      <c r="H2294" s="2">
        <v>1.083775875149019E-4</v>
      </c>
      <c r="I2294" s="4">
        <v>0</v>
      </c>
      <c r="J2294" s="4">
        <v>-0.66132854598061863</v>
      </c>
      <c r="K2294" s="5">
        <v>2</v>
      </c>
      <c r="L2294" s="5">
        <v>0</v>
      </c>
      <c r="M2294" s="5">
        <v>0</v>
      </c>
    </row>
    <row r="2295" spans="1:13" hidden="1" x14ac:dyDescent="0.25">
      <c r="A2295" t="s">
        <v>2306</v>
      </c>
      <c r="B2295" s="1">
        <v>6.6864293500751293E-3</v>
      </c>
      <c r="C2295" s="2">
        <v>1.9051996568425659E-6</v>
      </c>
      <c r="D2295" s="2"/>
      <c r="E2295" s="2">
        <v>-0.6111695556686132</v>
      </c>
      <c r="F2295" s="3">
        <v>35.028457608966548</v>
      </c>
      <c r="G2295" s="3">
        <v>1</v>
      </c>
      <c r="H2295" s="2">
        <v>5.4188793757450959E-5</v>
      </c>
      <c r="I2295" s="4">
        <v>0</v>
      </c>
      <c r="J2295" s="4">
        <v>-0.6111695556686132</v>
      </c>
      <c r="K2295" s="5">
        <v>1</v>
      </c>
      <c r="L2295" s="5">
        <v>0</v>
      </c>
      <c r="M2295" s="5">
        <v>0</v>
      </c>
    </row>
    <row r="2296" spans="1:13" hidden="1" x14ac:dyDescent="0.25">
      <c r="A2296" t="s">
        <v>2307</v>
      </c>
      <c r="B2296" s="1">
        <v>6.664524680978938E-3</v>
      </c>
      <c r="C2296" s="2">
        <v>1.8989582436965719E-6</v>
      </c>
      <c r="D2296" s="2"/>
      <c r="E2296" s="2">
        <v>-0.64795266624616854</v>
      </c>
      <c r="F2296" s="3">
        <v>31.71478799184748</v>
      </c>
      <c r="G2296" s="3">
        <v>1</v>
      </c>
      <c r="H2296" s="2">
        <v>5.4188793757450959E-5</v>
      </c>
      <c r="I2296" s="4">
        <v>-1.110223024625157E-16</v>
      </c>
      <c r="J2296" s="4">
        <v>-0.64795266624616843</v>
      </c>
      <c r="K2296" s="5">
        <v>1</v>
      </c>
      <c r="L2296" s="5">
        <v>0</v>
      </c>
      <c r="M2296" s="5">
        <v>0</v>
      </c>
    </row>
    <row r="2297" spans="1:13" hidden="1" x14ac:dyDescent="0.25">
      <c r="A2297" t="s">
        <v>2308</v>
      </c>
      <c r="B2297" s="1">
        <v>6.6612610628242206E-3</v>
      </c>
      <c r="C2297" s="2">
        <v>1.898028323725405E-6</v>
      </c>
      <c r="D2297" s="2"/>
      <c r="E2297" s="2">
        <v>-0.85170520041789077</v>
      </c>
      <c r="F2297" s="3">
        <v>13.359391417316539</v>
      </c>
      <c r="G2297" s="3">
        <v>1</v>
      </c>
      <c r="H2297" s="2">
        <v>5.4188793757450959E-5</v>
      </c>
      <c r="I2297" s="4">
        <v>-0.71014011753858852</v>
      </c>
      <c r="J2297" s="4">
        <v>-0.14156508287930231</v>
      </c>
      <c r="K2297" s="5">
        <v>1</v>
      </c>
      <c r="L2297" s="5">
        <v>0</v>
      </c>
      <c r="M2297" s="5">
        <v>0</v>
      </c>
    </row>
    <row r="2298" spans="1:13" hidden="1" x14ac:dyDescent="0.25">
      <c r="A2298" t="s">
        <v>2309</v>
      </c>
      <c r="B2298" s="1">
        <v>6.6300087827722096E-3</v>
      </c>
      <c r="C2298" s="2">
        <v>1.8891234463815701E-6</v>
      </c>
      <c r="D2298" s="2"/>
      <c r="E2298" s="2">
        <v>-0.4601113795536369</v>
      </c>
      <c r="F2298" s="3">
        <v>48.636792541767313</v>
      </c>
      <c r="G2298" s="3">
        <v>1</v>
      </c>
      <c r="H2298" s="2">
        <v>5.4188793757450959E-5</v>
      </c>
      <c r="I2298" s="4">
        <v>5.5511151231257827E-17</v>
      </c>
      <c r="J2298" s="4">
        <v>-0.4601113795536369</v>
      </c>
      <c r="K2298" s="5">
        <v>1</v>
      </c>
      <c r="L2298" s="5">
        <v>0</v>
      </c>
      <c r="M2298" s="5">
        <v>0</v>
      </c>
    </row>
    <row r="2299" spans="1:13" hidden="1" x14ac:dyDescent="0.25">
      <c r="A2299" t="s">
        <v>2310</v>
      </c>
      <c r="B2299" s="1">
        <v>6.6126346903558359E-3</v>
      </c>
      <c r="C2299" s="2">
        <v>1.884172954396E-6</v>
      </c>
      <c r="D2299" s="2"/>
      <c r="E2299" s="2">
        <v>-0.70516756505244771</v>
      </c>
      <c r="F2299" s="3">
        <v>26.560485681792269</v>
      </c>
      <c r="G2299" s="3">
        <v>1</v>
      </c>
      <c r="H2299" s="2">
        <v>5.4188793757450959E-5</v>
      </c>
      <c r="I2299" s="4">
        <v>2.2204460492503131E-16</v>
      </c>
      <c r="J2299" s="4">
        <v>-0.70516756505244782</v>
      </c>
      <c r="K2299" s="5">
        <v>1</v>
      </c>
      <c r="L2299" s="5">
        <v>0</v>
      </c>
      <c r="M2299" s="5">
        <v>0</v>
      </c>
    </row>
    <row r="2300" spans="1:13" hidden="1" x14ac:dyDescent="0.25">
      <c r="A2300" t="s">
        <v>2311</v>
      </c>
      <c r="B2300" s="1">
        <v>6.595201639774625E-3</v>
      </c>
      <c r="C2300" s="2">
        <v>1.8792056631488911E-6</v>
      </c>
      <c r="D2300" s="2"/>
      <c r="E2300" s="2">
        <v>-6.2496267227140183E-2</v>
      </c>
      <c r="F2300" s="3">
        <v>84.456632037007424</v>
      </c>
      <c r="G2300" s="3">
        <v>1</v>
      </c>
      <c r="H2300" s="2">
        <v>5.4188793757450959E-5</v>
      </c>
      <c r="I2300" s="4">
        <v>6.9388939039072284E-18</v>
      </c>
      <c r="J2300" s="4">
        <v>-6.2496267227140197E-2</v>
      </c>
      <c r="K2300" s="5">
        <v>1</v>
      </c>
      <c r="L2300" s="5">
        <v>0</v>
      </c>
      <c r="M2300" s="5">
        <v>0</v>
      </c>
    </row>
    <row r="2301" spans="1:13" hidden="1" x14ac:dyDescent="0.25">
      <c r="A2301" t="s">
        <v>2312</v>
      </c>
      <c r="B2301" s="1">
        <v>6.5695662154989006E-3</v>
      </c>
      <c r="C2301" s="2">
        <v>1.8719012262101279E-6</v>
      </c>
      <c r="D2301" s="2"/>
      <c r="E2301" s="2">
        <v>-0.76235082246315866</v>
      </c>
      <c r="F2301" s="3">
        <v>21.409033841137042</v>
      </c>
      <c r="G2301" s="3">
        <v>1</v>
      </c>
      <c r="H2301" s="2">
        <v>5.4188793757450959E-5</v>
      </c>
      <c r="I2301" s="4">
        <v>0</v>
      </c>
      <c r="J2301" s="4">
        <v>-0.76235082246315866</v>
      </c>
      <c r="K2301" s="5">
        <v>1</v>
      </c>
      <c r="L2301" s="5">
        <v>0</v>
      </c>
      <c r="M2301" s="5">
        <v>0</v>
      </c>
    </row>
    <row r="2302" spans="1:13" hidden="1" x14ac:dyDescent="0.25">
      <c r="A2302" t="s">
        <v>2313</v>
      </c>
      <c r="B2302" s="1">
        <v>6.4922717725132348E-3</v>
      </c>
      <c r="C2302" s="2">
        <v>1.8498773120188449E-6</v>
      </c>
      <c r="D2302" s="2"/>
      <c r="E2302" s="2">
        <v>0.10327060961412469</v>
      </c>
      <c r="F2302" s="3">
        <v>99.390025507237581</v>
      </c>
      <c r="G2302" s="3">
        <v>1</v>
      </c>
      <c r="H2302" s="2">
        <v>5.4188793757450959E-5</v>
      </c>
      <c r="I2302" s="4">
        <v>-4.163336342344337E-17</v>
      </c>
      <c r="J2302" s="4">
        <v>0.10327060961412481</v>
      </c>
      <c r="K2302" s="5">
        <v>1</v>
      </c>
      <c r="L2302" s="5">
        <v>0</v>
      </c>
      <c r="M2302" s="5">
        <v>0</v>
      </c>
    </row>
    <row r="2303" spans="1:13" hidden="1" x14ac:dyDescent="0.25">
      <c r="A2303" t="s">
        <v>2314</v>
      </c>
      <c r="B2303" s="1">
        <v>6.4740099015330654E-3</v>
      </c>
      <c r="C2303" s="2">
        <v>1.8446738605946061E-6</v>
      </c>
      <c r="D2303" s="2"/>
      <c r="E2303" s="2">
        <v>-0.56579011359422937</v>
      </c>
      <c r="F2303" s="3">
        <v>39.116542495823737</v>
      </c>
      <c r="G2303" s="3">
        <v>1</v>
      </c>
      <c r="H2303" s="2">
        <v>5.4188793757450959E-5</v>
      </c>
      <c r="I2303" s="4">
        <v>1.110223024625157E-16</v>
      </c>
      <c r="J2303" s="4">
        <v>-0.56579011359422948</v>
      </c>
      <c r="K2303" s="5">
        <v>1</v>
      </c>
      <c r="L2303" s="5">
        <v>0</v>
      </c>
      <c r="M2303" s="5">
        <v>0</v>
      </c>
    </row>
    <row r="2304" spans="1:13" hidden="1" x14ac:dyDescent="0.25">
      <c r="A2304" t="s">
        <v>2315</v>
      </c>
      <c r="B2304" s="1">
        <v>6.4494501712285884E-3</v>
      </c>
      <c r="C2304" s="2">
        <v>1.837675926824812E-6</v>
      </c>
      <c r="D2304" s="2"/>
      <c r="E2304" s="2">
        <v>-0.44773136460159979</v>
      </c>
      <c r="F2304" s="3">
        <v>49.752067426406271</v>
      </c>
      <c r="G2304" s="3">
        <v>1</v>
      </c>
      <c r="H2304" s="2">
        <v>5.4188793757450959E-5</v>
      </c>
      <c r="I2304" s="4">
        <v>-5.5511151231257827E-17</v>
      </c>
      <c r="J2304" s="4">
        <v>-0.44773136460159979</v>
      </c>
      <c r="K2304" s="5">
        <v>1</v>
      </c>
      <c r="L2304" s="5">
        <v>0</v>
      </c>
      <c r="M2304" s="5">
        <v>0</v>
      </c>
    </row>
    <row r="2305" spans="1:13" hidden="1" x14ac:dyDescent="0.25">
      <c r="A2305" t="s">
        <v>2316</v>
      </c>
      <c r="B2305" s="1">
        <v>6.4336913063905484E-3</v>
      </c>
      <c r="C2305" s="2">
        <v>1.833185670170664E-6</v>
      </c>
      <c r="D2305" s="2"/>
      <c r="E2305" s="2">
        <v>-0.91695686132810716</v>
      </c>
      <c r="F2305" s="3">
        <v>7.4810836062126764</v>
      </c>
      <c r="G2305" s="3">
        <v>1</v>
      </c>
      <c r="H2305" s="2">
        <v>5.4188793757450959E-5</v>
      </c>
      <c r="I2305" s="4">
        <v>-0.36924695386402018</v>
      </c>
      <c r="J2305" s="4">
        <v>-0.54770990746408699</v>
      </c>
      <c r="K2305" s="5">
        <v>1</v>
      </c>
      <c r="L2305" s="5">
        <v>0</v>
      </c>
      <c r="M2305" s="5">
        <v>0</v>
      </c>
    </row>
    <row r="2306" spans="1:13" hidden="1" x14ac:dyDescent="0.25">
      <c r="A2306" t="s">
        <v>2317</v>
      </c>
      <c r="B2306" s="1">
        <v>6.3999810518748698E-3</v>
      </c>
      <c r="C2306" s="2">
        <v>1.8235804291709029E-6</v>
      </c>
      <c r="D2306" s="2"/>
      <c r="E2306" s="2">
        <v>0.42315221491560912</v>
      </c>
      <c r="F2306" s="3">
        <v>128.2071086717483</v>
      </c>
      <c r="G2306" s="3">
        <v>1</v>
      </c>
      <c r="H2306" s="2">
        <v>5.4188793757450959E-5</v>
      </c>
      <c r="I2306" s="4">
        <v>-5.5511151231257827E-17</v>
      </c>
      <c r="J2306" s="4">
        <v>0.42315221491560912</v>
      </c>
      <c r="K2306" s="5">
        <v>1</v>
      </c>
      <c r="L2306" s="5">
        <v>0</v>
      </c>
      <c r="M2306" s="5">
        <v>0</v>
      </c>
    </row>
    <row r="2307" spans="1:13" hidden="1" x14ac:dyDescent="0.25">
      <c r="A2307" t="s">
        <v>2318</v>
      </c>
      <c r="B2307" s="1">
        <v>6.3401016524696242E-3</v>
      </c>
      <c r="C2307" s="2">
        <v>1.8065186753968159E-6</v>
      </c>
      <c r="D2307" s="2"/>
      <c r="E2307" s="2">
        <v>-0.56277475814365252</v>
      </c>
      <c r="F2307" s="3">
        <v>39.388185964374983</v>
      </c>
      <c r="G2307" s="3">
        <v>1</v>
      </c>
      <c r="H2307" s="2">
        <v>5.4188793757450959E-5</v>
      </c>
      <c r="I2307" s="4">
        <v>-1.110223024625157E-16</v>
      </c>
      <c r="J2307" s="4">
        <v>-0.56277475814365241</v>
      </c>
      <c r="K2307" s="5">
        <v>1</v>
      </c>
      <c r="L2307" s="5">
        <v>0</v>
      </c>
      <c r="M2307" s="5">
        <v>0</v>
      </c>
    </row>
    <row r="2308" spans="1:13" hidden="1" x14ac:dyDescent="0.25">
      <c r="A2308" t="s">
        <v>2319</v>
      </c>
      <c r="B2308" s="1">
        <v>6.2737466169406489E-3</v>
      </c>
      <c r="C2308" s="2">
        <v>1.7876117843940469E-6</v>
      </c>
      <c r="D2308" s="2"/>
      <c r="E2308" s="2">
        <v>0.8553473615492837</v>
      </c>
      <c r="F2308" s="3">
        <v>167.1421498789542</v>
      </c>
      <c r="G2308" s="3">
        <v>1</v>
      </c>
      <c r="H2308" s="2">
        <v>5.4188793757450959E-5</v>
      </c>
      <c r="I2308" s="4">
        <v>0</v>
      </c>
      <c r="J2308" s="4">
        <v>0.8553473615492837</v>
      </c>
      <c r="K2308" s="5">
        <v>1</v>
      </c>
      <c r="L2308" s="5">
        <v>0</v>
      </c>
      <c r="M2308" s="5">
        <v>0</v>
      </c>
    </row>
    <row r="2309" spans="1:13" hidden="1" x14ac:dyDescent="0.25">
      <c r="A2309" t="s">
        <v>2320</v>
      </c>
      <c r="B2309" s="1">
        <v>6.2356258313111118E-3</v>
      </c>
      <c r="C2309" s="2">
        <v>1.7767498274514911E-6</v>
      </c>
      <c r="D2309" s="2"/>
      <c r="E2309" s="2">
        <v>-0.66312002575797691</v>
      </c>
      <c r="F2309" s="3">
        <v>30.348410390903929</v>
      </c>
      <c r="G2309" s="3">
        <v>1</v>
      </c>
      <c r="H2309" s="2">
        <v>5.4188793757450959E-5</v>
      </c>
      <c r="I2309" s="4">
        <v>0</v>
      </c>
      <c r="J2309" s="4">
        <v>-0.66312002575797691</v>
      </c>
      <c r="K2309" s="5">
        <v>1</v>
      </c>
      <c r="L2309" s="5">
        <v>0</v>
      </c>
      <c r="M2309" s="5">
        <v>0</v>
      </c>
    </row>
    <row r="2310" spans="1:13" hidden="1" x14ac:dyDescent="0.25">
      <c r="A2310" t="s">
        <v>2321</v>
      </c>
      <c r="B2310" s="1">
        <v>6.184119607825422E-3</v>
      </c>
      <c r="C2310" s="2">
        <v>1.7620738869498401E-6</v>
      </c>
      <c r="D2310" s="2"/>
      <c r="E2310" s="2">
        <v>-0.70079084649039025</v>
      </c>
      <c r="F2310" s="3">
        <v>26.95476988163426</v>
      </c>
      <c r="G2310" s="3">
        <v>1</v>
      </c>
      <c r="H2310" s="2">
        <v>5.4188793757450959E-5</v>
      </c>
      <c r="I2310" s="4">
        <v>0</v>
      </c>
      <c r="J2310" s="4">
        <v>-0.70079084649039025</v>
      </c>
      <c r="K2310" s="5">
        <v>1</v>
      </c>
      <c r="L2310" s="5">
        <v>0</v>
      </c>
      <c r="M2310" s="5">
        <v>0</v>
      </c>
    </row>
    <row r="2311" spans="1:13" hidden="1" x14ac:dyDescent="0.25">
      <c r="A2311" t="s">
        <v>2322</v>
      </c>
      <c r="B2311" s="1">
        <v>6.1696650274163439E-3</v>
      </c>
      <c r="C2311" s="2">
        <v>1.7579552669520281E-6</v>
      </c>
      <c r="D2311" s="2"/>
      <c r="E2311" s="2">
        <v>-8.1688164286041642E-2</v>
      </c>
      <c r="F2311" s="3">
        <v>82.727697067114889</v>
      </c>
      <c r="G2311" s="3">
        <v>1</v>
      </c>
      <c r="H2311" s="2">
        <v>5.4188793757450959E-5</v>
      </c>
      <c r="I2311" s="4">
        <v>1.387778780781446E-17</v>
      </c>
      <c r="J2311" s="4">
        <v>-8.1688164286041656E-2</v>
      </c>
      <c r="K2311" s="5">
        <v>1</v>
      </c>
      <c r="L2311" s="5">
        <v>0</v>
      </c>
      <c r="M2311" s="5">
        <v>0</v>
      </c>
    </row>
    <row r="2312" spans="1:13" hidden="1" x14ac:dyDescent="0.25">
      <c r="A2312" t="s">
        <v>2323</v>
      </c>
      <c r="B2312" s="1">
        <v>6.0983549284218492E-3</v>
      </c>
      <c r="C2312" s="2">
        <v>1.7376365035252979E-6</v>
      </c>
      <c r="D2312" s="2"/>
      <c r="E2312" s="2">
        <v>-0.53157549515128133</v>
      </c>
      <c r="F2312" s="3">
        <v>42.198825092796383</v>
      </c>
      <c r="G2312" s="3">
        <v>1</v>
      </c>
      <c r="H2312" s="2">
        <v>5.4188793757450959E-5</v>
      </c>
      <c r="I2312" s="4">
        <v>0</v>
      </c>
      <c r="J2312" s="4">
        <v>-0.53157549515128133</v>
      </c>
      <c r="K2312" s="5">
        <v>1</v>
      </c>
      <c r="L2312" s="5">
        <v>0</v>
      </c>
      <c r="M2312" s="5">
        <v>0</v>
      </c>
    </row>
    <row r="2313" spans="1:13" hidden="1" x14ac:dyDescent="0.25">
      <c r="A2313" t="s">
        <v>2324</v>
      </c>
      <c r="B2313" s="1">
        <v>6.0867270256738364E-3</v>
      </c>
      <c r="C2313" s="2">
        <v>1.734323303734281E-6</v>
      </c>
      <c r="D2313" s="2"/>
      <c r="E2313" s="2">
        <v>-0.38537493898852532</v>
      </c>
      <c r="F2313" s="3">
        <v>55.369552999044963</v>
      </c>
      <c r="G2313" s="3">
        <v>1</v>
      </c>
      <c r="H2313" s="2">
        <v>5.4188793757450959E-5</v>
      </c>
      <c r="I2313" s="4">
        <v>5.5511151231257827E-17</v>
      </c>
      <c r="J2313" s="4">
        <v>-0.38537493898852532</v>
      </c>
      <c r="K2313" s="5">
        <v>1</v>
      </c>
      <c r="L2313" s="5">
        <v>0</v>
      </c>
      <c r="M2313" s="5">
        <v>0</v>
      </c>
    </row>
    <row r="2314" spans="1:13" hidden="1" x14ac:dyDescent="0.25">
      <c r="A2314" t="s">
        <v>2325</v>
      </c>
      <c r="B2314" s="1">
        <v>6.0738160137192732E-3</v>
      </c>
      <c r="C2314" s="2">
        <v>1.7306445008549769E-6</v>
      </c>
      <c r="D2314" s="2"/>
      <c r="E2314" s="2">
        <v>0.52202118233295658</v>
      </c>
      <c r="F2314" s="3">
        <v>137.11388920940919</v>
      </c>
      <c r="G2314" s="3">
        <v>1</v>
      </c>
      <c r="H2314" s="2">
        <v>5.4188793757450959E-5</v>
      </c>
      <c r="I2314" s="4">
        <v>0</v>
      </c>
      <c r="J2314" s="4">
        <v>0.52202118233295658</v>
      </c>
      <c r="K2314" s="5">
        <v>1</v>
      </c>
      <c r="L2314" s="5">
        <v>0</v>
      </c>
      <c r="M2314" s="5">
        <v>0</v>
      </c>
    </row>
    <row r="2315" spans="1:13" hidden="1" x14ac:dyDescent="0.25">
      <c r="A2315" t="s">
        <v>2326</v>
      </c>
      <c r="B2315" s="1">
        <v>6.0428471102671501E-3</v>
      </c>
      <c r="C2315" s="2">
        <v>1.721820367503577E-6</v>
      </c>
      <c r="D2315" s="2"/>
      <c r="E2315" s="2">
        <v>-0.6857197319042323</v>
      </c>
      <c r="F2315" s="3">
        <v>28.312477093344221</v>
      </c>
      <c r="G2315" s="3">
        <v>1</v>
      </c>
      <c r="H2315" s="2">
        <v>5.4188793757450959E-5</v>
      </c>
      <c r="I2315" s="4">
        <v>0</v>
      </c>
      <c r="J2315" s="4">
        <v>-0.6857197319042323</v>
      </c>
      <c r="K2315" s="5">
        <v>1</v>
      </c>
      <c r="L2315" s="5">
        <v>0</v>
      </c>
      <c r="M2315" s="5">
        <v>0</v>
      </c>
    </row>
    <row r="2316" spans="1:13" hidden="1" x14ac:dyDescent="0.25">
      <c r="A2316" t="s">
        <v>2327</v>
      </c>
      <c r="B2316" s="1">
        <v>6.0418144326915843E-3</v>
      </c>
      <c r="C2316" s="2">
        <v>1.7215261212235991E-6</v>
      </c>
      <c r="D2316" s="2"/>
      <c r="E2316" s="2">
        <v>-0.72804557472041309</v>
      </c>
      <c r="F2316" s="3">
        <v>24.499480934054819</v>
      </c>
      <c r="G2316" s="3">
        <v>1</v>
      </c>
      <c r="H2316" s="2">
        <v>5.4188793757450959E-5</v>
      </c>
      <c r="I2316" s="4">
        <v>0</v>
      </c>
      <c r="J2316" s="4">
        <v>-0.72804557472041309</v>
      </c>
      <c r="K2316" s="5">
        <v>1</v>
      </c>
      <c r="L2316" s="5">
        <v>0</v>
      </c>
      <c r="M2316" s="5">
        <v>0</v>
      </c>
    </row>
    <row r="2317" spans="1:13" hidden="1" x14ac:dyDescent="0.25">
      <c r="A2317" t="s">
        <v>2328</v>
      </c>
      <c r="B2317" s="1">
        <v>6.0283049109855586E-3</v>
      </c>
      <c r="C2317" s="2">
        <v>1.717676781797298E-6</v>
      </c>
      <c r="D2317" s="2"/>
      <c r="E2317" s="2">
        <v>-0.31372580854516807</v>
      </c>
      <c r="F2317" s="3">
        <v>61.824187827781451</v>
      </c>
      <c r="G2317" s="3">
        <v>1</v>
      </c>
      <c r="H2317" s="2">
        <v>5.4188793757450959E-5</v>
      </c>
      <c r="I2317" s="4">
        <v>5.5511151231257827E-17</v>
      </c>
      <c r="J2317" s="4">
        <v>-0.31372580854516807</v>
      </c>
      <c r="K2317" s="5">
        <v>1</v>
      </c>
      <c r="L2317" s="5">
        <v>0</v>
      </c>
      <c r="M2317" s="5">
        <v>0</v>
      </c>
    </row>
    <row r="2318" spans="1:13" hidden="1" x14ac:dyDescent="0.25">
      <c r="A2318" t="s">
        <v>2329</v>
      </c>
      <c r="B2318" s="1">
        <v>5.9850945145598798E-3</v>
      </c>
      <c r="C2318" s="2">
        <v>1.705364615148694E-6</v>
      </c>
      <c r="D2318" s="2"/>
      <c r="E2318" s="2">
        <v>-0.49279055305235719</v>
      </c>
      <c r="F2318" s="3">
        <v>45.692833136622603</v>
      </c>
      <c r="G2318" s="3">
        <v>1</v>
      </c>
      <c r="H2318" s="2">
        <v>5.4188793757450959E-5</v>
      </c>
      <c r="I2318" s="4">
        <v>-2.2204460492503131E-16</v>
      </c>
      <c r="J2318" s="4">
        <v>-0.49279055305235703</v>
      </c>
      <c r="K2318" s="5">
        <v>1</v>
      </c>
      <c r="L2318" s="5">
        <v>0</v>
      </c>
      <c r="M2318" s="5">
        <v>0</v>
      </c>
    </row>
    <row r="2319" spans="1:13" hidden="1" x14ac:dyDescent="0.25">
      <c r="A2319" t="s">
        <v>2330</v>
      </c>
      <c r="B2319" s="1">
        <v>5.9440987408616143E-3</v>
      </c>
      <c r="C2319" s="2">
        <v>1.6936834726595339E-6</v>
      </c>
      <c r="D2319" s="2"/>
      <c r="E2319" s="2">
        <v>1.0116284595751869E-2</v>
      </c>
      <c r="F2319" s="3">
        <v>90.9980583334507</v>
      </c>
      <c r="G2319" s="3">
        <v>1</v>
      </c>
      <c r="H2319" s="2">
        <v>5.4188793757450959E-5</v>
      </c>
      <c r="I2319" s="4">
        <v>8.3266726846886741E-17</v>
      </c>
      <c r="J2319" s="4">
        <v>1.0116284595751779E-2</v>
      </c>
      <c r="K2319" s="5">
        <v>1</v>
      </c>
      <c r="L2319" s="5">
        <v>0</v>
      </c>
      <c r="M2319" s="5">
        <v>0</v>
      </c>
    </row>
    <row r="2320" spans="1:13" hidden="1" x14ac:dyDescent="0.25">
      <c r="A2320" t="s">
        <v>2331</v>
      </c>
      <c r="B2320" s="1">
        <v>5.9307347525326161E-3</v>
      </c>
      <c r="C2320" s="2">
        <v>1.6898756008275871E-6</v>
      </c>
      <c r="D2320" s="2"/>
      <c r="E2320" s="2">
        <v>-0.57005111767846151</v>
      </c>
      <c r="F2320" s="3">
        <v>38.732682633222673</v>
      </c>
      <c r="G2320" s="3">
        <v>1</v>
      </c>
      <c r="H2320" s="2">
        <v>5.4188793757450959E-5</v>
      </c>
      <c r="I2320" s="4">
        <v>-0.377939171168862</v>
      </c>
      <c r="J2320" s="4">
        <v>-0.19211194650959951</v>
      </c>
      <c r="K2320" s="5">
        <v>1</v>
      </c>
      <c r="L2320" s="5">
        <v>0</v>
      </c>
      <c r="M2320" s="5">
        <v>0</v>
      </c>
    </row>
    <row r="2321" spans="1:13" hidden="1" x14ac:dyDescent="0.25">
      <c r="A2321" t="s">
        <v>2332</v>
      </c>
      <c r="B2321" s="1">
        <v>5.871317399053143E-3</v>
      </c>
      <c r="C2321" s="2">
        <v>1.672945500241343E-6</v>
      </c>
      <c r="D2321" s="2"/>
      <c r="E2321" s="2">
        <v>-0.72105498738976381</v>
      </c>
      <c r="F2321" s="3">
        <v>25.12923998595851</v>
      </c>
      <c r="G2321" s="3">
        <v>1</v>
      </c>
      <c r="H2321" s="2">
        <v>5.4188793757450959E-5</v>
      </c>
      <c r="I2321" s="4">
        <v>0</v>
      </c>
      <c r="J2321" s="4">
        <v>-0.72105498738976381</v>
      </c>
      <c r="K2321" s="5">
        <v>1</v>
      </c>
      <c r="L2321" s="5">
        <v>0</v>
      </c>
      <c r="M2321" s="5">
        <v>0</v>
      </c>
    </row>
    <row r="2322" spans="1:13" hidden="1" x14ac:dyDescent="0.25">
      <c r="A2322" t="s">
        <v>2333</v>
      </c>
      <c r="B2322" s="1">
        <v>5.8623560747463142E-3</v>
      </c>
      <c r="C2322" s="2">
        <v>1.6703921027401741E-6</v>
      </c>
      <c r="D2322" s="2"/>
      <c r="E2322" s="2">
        <v>-0.47694628080758689</v>
      </c>
      <c r="F2322" s="3">
        <v>47.12019158234618</v>
      </c>
      <c r="G2322" s="3">
        <v>1</v>
      </c>
      <c r="H2322" s="2">
        <v>5.4188793757450959E-5</v>
      </c>
      <c r="I2322" s="4">
        <v>0</v>
      </c>
      <c r="J2322" s="4">
        <v>-0.47694628080758689</v>
      </c>
      <c r="K2322" s="5">
        <v>1</v>
      </c>
      <c r="L2322" s="5">
        <v>0</v>
      </c>
      <c r="M2322" s="5">
        <v>0</v>
      </c>
    </row>
    <row r="2323" spans="1:13" hidden="1" x14ac:dyDescent="0.25">
      <c r="A2323" t="s">
        <v>2334</v>
      </c>
      <c r="B2323" s="1">
        <v>5.8311981989906166E-3</v>
      </c>
      <c r="C2323" s="2">
        <v>1.661514124511475E-6</v>
      </c>
      <c r="D2323" s="2"/>
      <c r="E2323" s="2">
        <v>-0.8607006984531026</v>
      </c>
      <c r="F2323" s="3">
        <v>12.54901654520541</v>
      </c>
      <c r="G2323" s="3">
        <v>1</v>
      </c>
      <c r="H2323" s="2">
        <v>5.4188793757450959E-5</v>
      </c>
      <c r="I2323" s="4">
        <v>0</v>
      </c>
      <c r="J2323" s="4">
        <v>-0.8607006984531026</v>
      </c>
      <c r="K2323" s="5">
        <v>1</v>
      </c>
      <c r="L2323" s="5">
        <v>0</v>
      </c>
      <c r="M2323" s="5">
        <v>0</v>
      </c>
    </row>
    <row r="2324" spans="1:13" hidden="1" x14ac:dyDescent="0.25">
      <c r="A2324" t="s">
        <v>2335</v>
      </c>
      <c r="B2324" s="1">
        <v>5.7946508427513636E-3</v>
      </c>
      <c r="C2324" s="2">
        <v>1.65110049312169E-6</v>
      </c>
      <c r="D2324" s="2"/>
      <c r="E2324" s="2">
        <v>-0.62808529535203272</v>
      </c>
      <c r="F2324" s="3">
        <v>33.504574180949852</v>
      </c>
      <c r="G2324" s="3">
        <v>2</v>
      </c>
      <c r="H2324" s="2">
        <v>1.083775875149019E-4</v>
      </c>
      <c r="I2324" s="4">
        <v>0</v>
      </c>
      <c r="J2324" s="4">
        <v>-0.62808529535203272</v>
      </c>
      <c r="K2324" s="5">
        <v>2</v>
      </c>
      <c r="L2324" s="5">
        <v>0</v>
      </c>
      <c r="M2324" s="5">
        <v>0</v>
      </c>
    </row>
    <row r="2325" spans="1:13" hidden="1" x14ac:dyDescent="0.25">
      <c r="A2325" t="s">
        <v>2336</v>
      </c>
      <c r="B2325" s="1">
        <v>5.7944573693656642E-3</v>
      </c>
      <c r="C2325" s="2">
        <v>1.6510453657272689E-6</v>
      </c>
      <c r="D2325" s="2"/>
      <c r="E2325" s="2">
        <v>-0.47966623188721652</v>
      </c>
      <c r="F2325" s="3">
        <v>46.875160123312419</v>
      </c>
      <c r="G2325" s="3">
        <v>1</v>
      </c>
      <c r="H2325" s="2">
        <v>5.4188793757450959E-5</v>
      </c>
      <c r="I2325" s="4">
        <v>0</v>
      </c>
      <c r="J2325" s="4">
        <v>-0.47966623188721652</v>
      </c>
      <c r="K2325" s="5">
        <v>1</v>
      </c>
      <c r="L2325" s="5">
        <v>0</v>
      </c>
      <c r="M2325" s="5">
        <v>0</v>
      </c>
    </row>
    <row r="2326" spans="1:13" hidden="1" x14ac:dyDescent="0.25">
      <c r="A2326" t="s">
        <v>2337</v>
      </c>
      <c r="B2326" s="1">
        <v>5.7383484783227684E-3</v>
      </c>
      <c r="C2326" s="2">
        <v>1.635057962830454E-6</v>
      </c>
      <c r="D2326" s="2"/>
      <c r="E2326" s="2">
        <v>0.47958997818221583</v>
      </c>
      <c r="F2326" s="3">
        <v>133.2914013935505</v>
      </c>
      <c r="G2326" s="3">
        <v>1</v>
      </c>
      <c r="H2326" s="2">
        <v>5.4188793757450959E-5</v>
      </c>
      <c r="I2326" s="4">
        <v>1.110223024625157E-16</v>
      </c>
      <c r="J2326" s="4">
        <v>0.4795899781822156</v>
      </c>
      <c r="K2326" s="5">
        <v>1</v>
      </c>
      <c r="L2326" s="5">
        <v>0</v>
      </c>
      <c r="M2326" s="5">
        <v>0</v>
      </c>
    </row>
    <row r="2327" spans="1:13" hidden="1" x14ac:dyDescent="0.25">
      <c r="A2327" t="s">
        <v>2338</v>
      </c>
      <c r="B2327" s="1">
        <v>5.6632966949801957E-3</v>
      </c>
      <c r="C2327" s="2">
        <v>1.613673061505192E-6</v>
      </c>
      <c r="D2327" s="2"/>
      <c r="E2327" s="2">
        <v>-0.5784649648057355</v>
      </c>
      <c r="F2327" s="3">
        <v>37.974706780964397</v>
      </c>
      <c r="G2327" s="3">
        <v>1</v>
      </c>
      <c r="H2327" s="2">
        <v>5.4188793757450959E-5</v>
      </c>
      <c r="I2327" s="4">
        <v>0</v>
      </c>
      <c r="J2327" s="4">
        <v>-0.5784649648057355</v>
      </c>
      <c r="K2327" s="5">
        <v>1</v>
      </c>
      <c r="L2327" s="5">
        <v>0</v>
      </c>
      <c r="M2327" s="5">
        <v>0</v>
      </c>
    </row>
    <row r="2328" spans="1:13" hidden="1" x14ac:dyDescent="0.25">
      <c r="A2328" t="s">
        <v>2339</v>
      </c>
      <c r="B2328" s="1">
        <v>5.6533390052781428E-3</v>
      </c>
      <c r="C2328" s="2">
        <v>1.610835764345523E-6</v>
      </c>
      <c r="D2328" s="2"/>
      <c r="E2328" s="2">
        <v>-0.79315352343238155</v>
      </c>
      <c r="F2328" s="3">
        <v>18.63411968286572</v>
      </c>
      <c r="G2328" s="3">
        <v>1</v>
      </c>
      <c r="H2328" s="2">
        <v>5.4188793757450959E-5</v>
      </c>
      <c r="I2328" s="4">
        <v>0</v>
      </c>
      <c r="J2328" s="4">
        <v>-0.79315352343238155</v>
      </c>
      <c r="K2328" s="5">
        <v>1</v>
      </c>
      <c r="L2328" s="5">
        <v>0</v>
      </c>
      <c r="M2328" s="5">
        <v>0</v>
      </c>
    </row>
    <row r="2329" spans="1:13" hidden="1" x14ac:dyDescent="0.25">
      <c r="A2329" t="s">
        <v>2340</v>
      </c>
      <c r="B2329" s="1">
        <v>5.6244279564525001E-3</v>
      </c>
      <c r="C2329" s="2">
        <v>1.602597986389946E-6</v>
      </c>
      <c r="D2329" s="2"/>
      <c r="E2329" s="2">
        <v>-0.34753397084223558</v>
      </c>
      <c r="F2329" s="3">
        <v>58.778521529978391</v>
      </c>
      <c r="G2329" s="3">
        <v>1</v>
      </c>
      <c r="H2329" s="2">
        <v>5.4188793757450959E-5</v>
      </c>
      <c r="I2329" s="4">
        <v>0</v>
      </c>
      <c r="J2329" s="4">
        <v>-0.34753397084223558</v>
      </c>
      <c r="K2329" s="5">
        <v>1</v>
      </c>
      <c r="L2329" s="5">
        <v>0</v>
      </c>
      <c r="M2329" s="5">
        <v>0</v>
      </c>
    </row>
    <row r="2330" spans="1:13" hidden="1" x14ac:dyDescent="0.25">
      <c r="A2330" t="s">
        <v>2341</v>
      </c>
      <c r="B2330" s="1">
        <v>5.6093252602709837E-3</v>
      </c>
      <c r="C2330" s="2">
        <v>1.59829469533938E-6</v>
      </c>
      <c r="D2330" s="2"/>
      <c r="E2330" s="2">
        <v>-9.8753044624028452E-2</v>
      </c>
      <c r="F2330" s="3">
        <v>81.190378047383476</v>
      </c>
      <c r="G2330" s="3">
        <v>2</v>
      </c>
      <c r="H2330" s="2">
        <v>1.083775875149019E-4</v>
      </c>
      <c r="I2330" s="4">
        <v>-2.775557561562891E-17</v>
      </c>
      <c r="J2330" s="4">
        <v>-9.8753044624028424E-2</v>
      </c>
      <c r="K2330" s="5">
        <v>2</v>
      </c>
      <c r="L2330" s="5">
        <v>0</v>
      </c>
      <c r="M2330" s="5">
        <v>0</v>
      </c>
    </row>
    <row r="2331" spans="1:13" hidden="1" x14ac:dyDescent="0.25">
      <c r="A2331" t="s">
        <v>2342</v>
      </c>
      <c r="B2331" s="1">
        <v>5.5488503097716694E-3</v>
      </c>
      <c r="C2331" s="2">
        <v>1.5810632480441841E-6</v>
      </c>
      <c r="D2331" s="2"/>
      <c r="E2331" s="2">
        <v>-3.7546656728860588E-2</v>
      </c>
      <c r="F2331" s="3">
        <v>86.7042604993363</v>
      </c>
      <c r="G2331" s="3">
        <v>1</v>
      </c>
      <c r="H2331" s="2">
        <v>5.4188793757450959E-5</v>
      </c>
      <c r="I2331" s="4">
        <v>4.163336342344337E-17</v>
      </c>
      <c r="J2331" s="4">
        <v>-3.7546656728860643E-2</v>
      </c>
      <c r="K2331" s="5">
        <v>1</v>
      </c>
      <c r="L2331" s="5">
        <v>0</v>
      </c>
      <c r="M2331" s="5">
        <v>0</v>
      </c>
    </row>
    <row r="2332" spans="1:13" hidden="1" x14ac:dyDescent="0.25">
      <c r="A2332" t="s">
        <v>2343</v>
      </c>
      <c r="B2332" s="1">
        <v>5.5003215420993054E-3</v>
      </c>
      <c r="C2332" s="2">
        <v>1.567235689765214E-6</v>
      </c>
      <c r="D2332" s="2"/>
      <c r="E2332" s="2">
        <v>-0.83468840921989307</v>
      </c>
      <c r="F2332" s="3">
        <v>14.89237824437601</v>
      </c>
      <c r="G2332" s="3">
        <v>1</v>
      </c>
      <c r="H2332" s="2">
        <v>5.4188793757450959E-5</v>
      </c>
      <c r="I2332" s="4">
        <v>0</v>
      </c>
      <c r="J2332" s="4">
        <v>-0.83468840921989307</v>
      </c>
      <c r="K2332" s="5">
        <v>1</v>
      </c>
      <c r="L2332" s="5">
        <v>0</v>
      </c>
      <c r="M2332" s="5">
        <v>0</v>
      </c>
    </row>
    <row r="2333" spans="1:13" hidden="1" x14ac:dyDescent="0.25">
      <c r="A2333" t="s">
        <v>2344</v>
      </c>
      <c r="B2333" s="1">
        <v>5.4931570455884256E-3</v>
      </c>
      <c r="C2333" s="2">
        <v>1.5651942719053479E-6</v>
      </c>
      <c r="D2333" s="2"/>
      <c r="E2333" s="2">
        <v>-0.1346625053532676</v>
      </c>
      <c r="F2333" s="3">
        <v>77.955412675579979</v>
      </c>
      <c r="G2333" s="3">
        <v>1</v>
      </c>
      <c r="H2333" s="2">
        <v>5.4188793757450959E-5</v>
      </c>
      <c r="I2333" s="4">
        <v>-5.5511151231257827E-17</v>
      </c>
      <c r="J2333" s="4">
        <v>-0.1346625053532676</v>
      </c>
      <c r="K2333" s="5">
        <v>1</v>
      </c>
      <c r="L2333" s="5">
        <v>0</v>
      </c>
      <c r="M2333" s="5">
        <v>0</v>
      </c>
    </row>
    <row r="2334" spans="1:13" hidden="1" x14ac:dyDescent="0.25">
      <c r="A2334" t="s">
        <v>2345</v>
      </c>
      <c r="B2334" s="1">
        <v>5.4531865683356204E-3</v>
      </c>
      <c r="C2334" s="2">
        <v>1.553805272551751E-6</v>
      </c>
      <c r="D2334" s="2"/>
      <c r="E2334" s="2">
        <v>-0.4744456610094171</v>
      </c>
      <c r="F2334" s="3">
        <v>47.345464206630929</v>
      </c>
      <c r="G2334" s="3">
        <v>1</v>
      </c>
      <c r="H2334" s="2">
        <v>5.4188793757450959E-5</v>
      </c>
      <c r="I2334" s="4">
        <v>-5.5511151231257827E-17</v>
      </c>
      <c r="J2334" s="4">
        <v>-0.47444566100941699</v>
      </c>
      <c r="K2334" s="5">
        <v>1</v>
      </c>
      <c r="L2334" s="5">
        <v>0</v>
      </c>
      <c r="M2334" s="5">
        <v>0</v>
      </c>
    </row>
    <row r="2335" spans="1:13" hidden="1" x14ac:dyDescent="0.25">
      <c r="A2335" t="s">
        <v>2346</v>
      </c>
      <c r="B2335" s="1">
        <v>5.4369305152936094E-3</v>
      </c>
      <c r="C2335" s="2">
        <v>1.549173349434683E-6</v>
      </c>
      <c r="D2335" s="2"/>
      <c r="E2335" s="2">
        <v>-0.94412314444702927</v>
      </c>
      <c r="F2335" s="3">
        <v>5.0337623881926801</v>
      </c>
      <c r="G2335" s="3">
        <v>2</v>
      </c>
      <c r="H2335" s="2">
        <v>1.083775875149019E-4</v>
      </c>
      <c r="I2335" s="4">
        <v>0</v>
      </c>
      <c r="J2335" s="4">
        <v>-0.94412314444702927</v>
      </c>
      <c r="K2335" s="5">
        <v>0</v>
      </c>
      <c r="L2335" s="5">
        <v>0</v>
      </c>
      <c r="M2335" s="5">
        <v>0</v>
      </c>
    </row>
    <row r="2336" spans="1:13" hidden="1" x14ac:dyDescent="0.25">
      <c r="A2336" t="s">
        <v>2347</v>
      </c>
      <c r="B2336" s="1">
        <v>5.3777581512011244E-3</v>
      </c>
      <c r="C2336" s="2">
        <v>1.5323130549694019E-6</v>
      </c>
      <c r="D2336" s="2"/>
      <c r="E2336" s="2">
        <v>-0.88909598602055262</v>
      </c>
      <c r="F2336" s="3">
        <v>9.9909783531055698</v>
      </c>
      <c r="G2336" s="3">
        <v>1</v>
      </c>
      <c r="H2336" s="2">
        <v>5.4188793757450959E-5</v>
      </c>
      <c r="I2336" s="4">
        <v>-0.85087147330772783</v>
      </c>
      <c r="J2336" s="4">
        <v>-3.8224512712824787E-2</v>
      </c>
      <c r="K2336" s="5">
        <v>1</v>
      </c>
      <c r="L2336" s="5">
        <v>0</v>
      </c>
      <c r="M2336" s="5">
        <v>0</v>
      </c>
    </row>
    <row r="2337" spans="1:13" hidden="1" x14ac:dyDescent="0.25">
      <c r="A2337" t="s">
        <v>2348</v>
      </c>
      <c r="B2337" s="1">
        <v>5.3312879385598406E-3</v>
      </c>
      <c r="C2337" s="2">
        <v>1.5190720516562389E-6</v>
      </c>
      <c r="D2337" s="2"/>
      <c r="E2337" s="2">
        <v>0.25089444848270509</v>
      </c>
      <c r="F2337" s="3">
        <v>112.6889722776553</v>
      </c>
      <c r="G2337" s="3">
        <v>1</v>
      </c>
      <c r="H2337" s="2">
        <v>5.4188793757450959E-5</v>
      </c>
      <c r="I2337" s="4">
        <v>-1.6653345369377351E-16</v>
      </c>
      <c r="J2337" s="4">
        <v>0.25089444848270531</v>
      </c>
      <c r="K2337" s="5">
        <v>1</v>
      </c>
      <c r="L2337" s="5">
        <v>0</v>
      </c>
      <c r="M2337" s="5">
        <v>0</v>
      </c>
    </row>
    <row r="2338" spans="1:13" hidden="1" x14ac:dyDescent="0.25">
      <c r="A2338" t="s">
        <v>2349</v>
      </c>
      <c r="B2338" s="1">
        <v>5.2994450397666386E-3</v>
      </c>
      <c r="C2338" s="2">
        <v>1.509998886192673E-6</v>
      </c>
      <c r="D2338" s="2"/>
      <c r="E2338" s="2">
        <v>-0.83522149093642417</v>
      </c>
      <c r="F2338" s="3">
        <v>14.844354663450559</v>
      </c>
      <c r="G2338" s="3">
        <v>1</v>
      </c>
      <c r="H2338" s="2">
        <v>5.4188793757450959E-5</v>
      </c>
      <c r="I2338" s="4">
        <v>-1.110223024625157E-16</v>
      </c>
      <c r="J2338" s="4">
        <v>-0.83522149093642406</v>
      </c>
      <c r="K2338" s="5">
        <v>1</v>
      </c>
      <c r="L2338" s="5">
        <v>0</v>
      </c>
      <c r="M2338" s="5">
        <v>0</v>
      </c>
    </row>
    <row r="2339" spans="1:13" hidden="1" x14ac:dyDescent="0.25">
      <c r="A2339" t="s">
        <v>2350</v>
      </c>
      <c r="B2339" s="1">
        <v>5.2510464099724324E-3</v>
      </c>
      <c r="C2339" s="2">
        <v>1.4962084087871879E-6</v>
      </c>
      <c r="D2339" s="2"/>
      <c r="E2339" s="2">
        <v>-9.9156694238895504E-2</v>
      </c>
      <c r="F2339" s="3">
        <v>81.154014579374802</v>
      </c>
      <c r="G2339" s="3">
        <v>1</v>
      </c>
      <c r="H2339" s="2">
        <v>5.4188793757450959E-5</v>
      </c>
      <c r="I2339" s="4">
        <v>0</v>
      </c>
      <c r="J2339" s="4">
        <v>-9.9156694238895504E-2</v>
      </c>
      <c r="K2339" s="5">
        <v>1</v>
      </c>
      <c r="L2339" s="5">
        <v>0</v>
      </c>
      <c r="M2339" s="5">
        <v>0</v>
      </c>
    </row>
    <row r="2340" spans="1:13" hidden="1" x14ac:dyDescent="0.25">
      <c r="A2340" t="s">
        <v>2351</v>
      </c>
      <c r="B2340" s="1">
        <v>5.2377791211517246E-3</v>
      </c>
      <c r="C2340" s="2">
        <v>1.4924280900572589E-6</v>
      </c>
      <c r="D2340" s="2"/>
      <c r="E2340" s="2">
        <v>0.47629740847320789</v>
      </c>
      <c r="F2340" s="3">
        <v>132.99478460297269</v>
      </c>
      <c r="G2340" s="3">
        <v>1</v>
      </c>
      <c r="H2340" s="2">
        <v>5.4188793757450959E-5</v>
      </c>
      <c r="I2340" s="4">
        <v>-5.5511151231257827E-17</v>
      </c>
      <c r="J2340" s="4">
        <v>0.47629740847320801</v>
      </c>
      <c r="K2340" s="5">
        <v>1</v>
      </c>
      <c r="L2340" s="5">
        <v>0</v>
      </c>
      <c r="M2340" s="5">
        <v>0</v>
      </c>
    </row>
    <row r="2341" spans="1:13" hidden="1" x14ac:dyDescent="0.25">
      <c r="A2341" t="s">
        <v>2352</v>
      </c>
      <c r="B2341" s="1">
        <v>5.2306224029982414E-3</v>
      </c>
      <c r="C2341" s="2">
        <v>1.490388888525879E-6</v>
      </c>
      <c r="D2341" s="2"/>
      <c r="E2341" s="2">
        <v>-0.46736077720308289</v>
      </c>
      <c r="F2341" s="3">
        <v>47.983718118310541</v>
      </c>
      <c r="G2341" s="3">
        <v>1</v>
      </c>
      <c r="H2341" s="2">
        <v>5.4188793757450959E-5</v>
      </c>
      <c r="I2341" s="4">
        <v>0</v>
      </c>
      <c r="J2341" s="4">
        <v>-0.46736077720308289</v>
      </c>
      <c r="K2341" s="5">
        <v>1</v>
      </c>
      <c r="L2341" s="5">
        <v>0</v>
      </c>
      <c r="M2341" s="5">
        <v>0</v>
      </c>
    </row>
    <row r="2342" spans="1:13" hidden="1" x14ac:dyDescent="0.25">
      <c r="A2342" t="s">
        <v>2353</v>
      </c>
      <c r="B2342" s="1">
        <v>5.2207965643152037E-3</v>
      </c>
      <c r="C2342" s="2">
        <v>1.4875891603739761E-6</v>
      </c>
      <c r="D2342" s="2"/>
      <c r="E2342" s="2">
        <v>-0.6107592007877809</v>
      </c>
      <c r="F2342" s="3">
        <v>35.065425132362478</v>
      </c>
      <c r="G2342" s="3">
        <v>2</v>
      </c>
      <c r="H2342" s="2">
        <v>1.083775875149019E-4</v>
      </c>
      <c r="I2342" s="4">
        <v>2.2204460492503131E-16</v>
      </c>
      <c r="J2342" s="4">
        <v>-0.61075920078778112</v>
      </c>
      <c r="K2342" s="5">
        <v>2</v>
      </c>
      <c r="L2342" s="5">
        <v>0</v>
      </c>
      <c r="M2342" s="5">
        <v>0</v>
      </c>
    </row>
    <row r="2343" spans="1:13" hidden="1" x14ac:dyDescent="0.25">
      <c r="A2343" t="s">
        <v>2354</v>
      </c>
      <c r="B2343" s="1">
        <v>5.2195021375713866E-3</v>
      </c>
      <c r="C2343" s="2">
        <v>1.487220332519974E-6</v>
      </c>
      <c r="D2343" s="2"/>
      <c r="E2343" s="2">
        <v>-0.49758832035432637</v>
      </c>
      <c r="F2343" s="3">
        <v>45.26061803874439</v>
      </c>
      <c r="G2343" s="3">
        <v>1</v>
      </c>
      <c r="H2343" s="2">
        <v>5.4188793757450959E-5</v>
      </c>
      <c r="I2343" s="4">
        <v>0</v>
      </c>
      <c r="J2343" s="4">
        <v>-0.49758832035432637</v>
      </c>
      <c r="K2343" s="5">
        <v>1</v>
      </c>
      <c r="L2343" s="5">
        <v>0</v>
      </c>
      <c r="M2343" s="5">
        <v>0</v>
      </c>
    </row>
    <row r="2344" spans="1:13" hidden="1" x14ac:dyDescent="0.25">
      <c r="A2344" t="s">
        <v>2355</v>
      </c>
      <c r="B2344" s="1">
        <v>5.2098079715494506E-3</v>
      </c>
      <c r="C2344" s="2">
        <v>1.4844581225553739E-6</v>
      </c>
      <c r="D2344" s="2"/>
      <c r="E2344" s="2">
        <v>-0.56508885616864979</v>
      </c>
      <c r="F2344" s="3">
        <v>39.179716474001097</v>
      </c>
      <c r="G2344" s="3">
        <v>1</v>
      </c>
      <c r="H2344" s="2">
        <v>5.4188793757450959E-5</v>
      </c>
      <c r="I2344" s="4">
        <v>-0.28403912047319257</v>
      </c>
      <c r="J2344" s="4">
        <v>-0.28104973569545721</v>
      </c>
      <c r="K2344" s="5">
        <v>1</v>
      </c>
      <c r="L2344" s="5">
        <v>0</v>
      </c>
      <c r="M2344" s="5">
        <v>0</v>
      </c>
    </row>
    <row r="2345" spans="1:13" hidden="1" x14ac:dyDescent="0.25">
      <c r="A2345" t="s">
        <v>2356</v>
      </c>
      <c r="B2345" s="1">
        <v>5.1999054555124814E-3</v>
      </c>
      <c r="C2345" s="2">
        <v>1.4816365463197261E-6</v>
      </c>
      <c r="D2345" s="2"/>
      <c r="E2345" s="2">
        <v>-0.24471293868488939</v>
      </c>
      <c r="F2345" s="3">
        <v>68.041330599435454</v>
      </c>
      <c r="G2345" s="3">
        <v>1</v>
      </c>
      <c r="H2345" s="2">
        <v>5.4188793757450959E-5</v>
      </c>
      <c r="I2345" s="4">
        <v>5.5511151231257827E-17</v>
      </c>
      <c r="J2345" s="4">
        <v>-0.2447129386848895</v>
      </c>
      <c r="K2345" s="5">
        <v>1</v>
      </c>
      <c r="L2345" s="5">
        <v>0</v>
      </c>
      <c r="M2345" s="5">
        <v>0</v>
      </c>
    </row>
    <row r="2346" spans="1:13" hidden="1" x14ac:dyDescent="0.25">
      <c r="A2346" t="s">
        <v>2357</v>
      </c>
      <c r="B2346" s="1">
        <v>5.1918699570019291E-3</v>
      </c>
      <c r="C2346" s="2">
        <v>1.479346949256281E-6</v>
      </c>
      <c r="D2346" s="2"/>
      <c r="E2346" s="2">
        <v>-0.235822539339026</v>
      </c>
      <c r="F2346" s="3">
        <v>68.842237475821804</v>
      </c>
      <c r="G2346" s="3">
        <v>1</v>
      </c>
      <c r="H2346" s="2">
        <v>5.4188793757450959E-5</v>
      </c>
      <c r="I2346" s="4">
        <v>2.775557561562891E-17</v>
      </c>
      <c r="J2346" s="4">
        <v>-0.235822539339026</v>
      </c>
      <c r="K2346" s="5">
        <v>1</v>
      </c>
      <c r="L2346" s="5">
        <v>0</v>
      </c>
      <c r="M2346" s="5">
        <v>0</v>
      </c>
    </row>
    <row r="2347" spans="1:13" hidden="1" x14ac:dyDescent="0.25">
      <c r="A2347" t="s">
        <v>2358</v>
      </c>
      <c r="B2347" s="1">
        <v>5.149745572009091E-3</v>
      </c>
      <c r="C2347" s="2">
        <v>1.467344225585514E-6</v>
      </c>
      <c r="D2347" s="2"/>
      <c r="E2347" s="2" t="s">
        <v>303</v>
      </c>
      <c r="F2347" s="3" t="s">
        <v>303</v>
      </c>
      <c r="G2347" s="3">
        <v>1</v>
      </c>
      <c r="H2347" s="2">
        <v>5.4188793757450959E-5</v>
      </c>
      <c r="I2347" s="4" t="s">
        <v>303</v>
      </c>
      <c r="J2347" s="4">
        <v>0</v>
      </c>
      <c r="K2347" s="5">
        <v>1</v>
      </c>
      <c r="L2347" s="5">
        <v>0</v>
      </c>
      <c r="M2347" s="5">
        <v>0</v>
      </c>
    </row>
    <row r="2348" spans="1:13" hidden="1" x14ac:dyDescent="0.25">
      <c r="A2348" t="s">
        <v>2359</v>
      </c>
      <c r="B2348" s="1">
        <v>5.1350621988514164E-3</v>
      </c>
      <c r="C2348" s="2">
        <v>1.463160414460525E-6</v>
      </c>
      <c r="D2348" s="2"/>
      <c r="E2348" s="2">
        <v>0.38665631731068778</v>
      </c>
      <c r="F2348" s="3">
        <v>124.9193131279774</v>
      </c>
      <c r="G2348" s="3">
        <v>1</v>
      </c>
      <c r="H2348" s="2">
        <v>5.4188793757450959E-5</v>
      </c>
      <c r="I2348" s="4">
        <v>5.5511151231257827E-17</v>
      </c>
      <c r="J2348" s="4">
        <v>0.38665631731068778</v>
      </c>
      <c r="K2348" s="5">
        <v>1</v>
      </c>
      <c r="L2348" s="5">
        <v>0</v>
      </c>
      <c r="M2348" s="5">
        <v>0</v>
      </c>
    </row>
    <row r="2349" spans="1:13" hidden="1" x14ac:dyDescent="0.25">
      <c r="A2349" t="s">
        <v>2360</v>
      </c>
      <c r="B2349" s="1">
        <v>5.1147528229151442E-3</v>
      </c>
      <c r="C2349" s="2">
        <v>1.45737355662675E-6</v>
      </c>
      <c r="D2349" s="2"/>
      <c r="E2349" s="2">
        <v>-0.55430108741015904</v>
      </c>
      <c r="F2349" s="3">
        <v>40.151551128825822</v>
      </c>
      <c r="G2349" s="3">
        <v>1</v>
      </c>
      <c r="H2349" s="2">
        <v>5.4188793757450959E-5</v>
      </c>
      <c r="I2349" s="4">
        <v>-1.110223024625157E-16</v>
      </c>
      <c r="J2349" s="4">
        <v>-0.55430108741015893</v>
      </c>
      <c r="K2349" s="5">
        <v>1</v>
      </c>
      <c r="L2349" s="5">
        <v>0</v>
      </c>
      <c r="M2349" s="5">
        <v>0</v>
      </c>
    </row>
    <row r="2350" spans="1:13" hidden="1" x14ac:dyDescent="0.25">
      <c r="A2350" t="s">
        <v>2361</v>
      </c>
      <c r="B2350" s="1">
        <v>5.1099419529335704E-3</v>
      </c>
      <c r="C2350" s="2">
        <v>1.456002770014325E-6</v>
      </c>
      <c r="D2350" s="2"/>
      <c r="E2350" s="2">
        <v>-0.44838792738865979</v>
      </c>
      <c r="F2350" s="3">
        <v>49.69291984141276</v>
      </c>
      <c r="G2350" s="3">
        <v>1</v>
      </c>
      <c r="H2350" s="2">
        <v>5.4188793757450959E-5</v>
      </c>
      <c r="I2350" s="4">
        <v>-5.5511151231257827E-17</v>
      </c>
      <c r="J2350" s="4">
        <v>-0.44838792738865979</v>
      </c>
      <c r="K2350" s="5">
        <v>1</v>
      </c>
      <c r="L2350" s="5">
        <v>0</v>
      </c>
      <c r="M2350" s="5">
        <v>0</v>
      </c>
    </row>
    <row r="2351" spans="1:13" hidden="1" x14ac:dyDescent="0.25">
      <c r="A2351" t="s">
        <v>2362</v>
      </c>
      <c r="B2351" s="1">
        <v>5.0953023687308622E-3</v>
      </c>
      <c r="C2351" s="2">
        <v>1.451831435907728E-6</v>
      </c>
      <c r="D2351" s="2"/>
      <c r="E2351" s="2">
        <v>-0.3278668938144445</v>
      </c>
      <c r="F2351" s="3">
        <v>60.550263902530723</v>
      </c>
      <c r="G2351" s="3">
        <v>1</v>
      </c>
      <c r="H2351" s="2">
        <v>5.4188793757450959E-5</v>
      </c>
      <c r="I2351" s="4">
        <v>0</v>
      </c>
      <c r="J2351" s="4">
        <v>-0.3278668938144445</v>
      </c>
      <c r="K2351" s="5">
        <v>1</v>
      </c>
      <c r="L2351" s="5">
        <v>0</v>
      </c>
      <c r="M2351" s="5">
        <v>0</v>
      </c>
    </row>
    <row r="2352" spans="1:13" hidden="1" x14ac:dyDescent="0.25">
      <c r="A2352" t="s">
        <v>2363</v>
      </c>
      <c r="B2352" s="1">
        <v>5.0820766674830493E-3</v>
      </c>
      <c r="C2352" s="2">
        <v>1.4480629669447601E-6</v>
      </c>
      <c r="D2352" s="2"/>
      <c r="E2352" s="2">
        <v>-9.897941610536809E-2</v>
      </c>
      <c r="F2352" s="3">
        <v>81.169984984150943</v>
      </c>
      <c r="G2352" s="3">
        <v>1</v>
      </c>
      <c r="H2352" s="2">
        <v>5.4188793757450959E-5</v>
      </c>
      <c r="I2352" s="4">
        <v>-4.163336342344337E-17</v>
      </c>
      <c r="J2352" s="4">
        <v>-9.8979416105368048E-2</v>
      </c>
      <c r="K2352" s="5">
        <v>1</v>
      </c>
      <c r="L2352" s="5">
        <v>0</v>
      </c>
      <c r="M2352" s="5">
        <v>0</v>
      </c>
    </row>
    <row r="2353" spans="1:13" hidden="1" x14ac:dyDescent="0.25">
      <c r="A2353" t="s">
        <v>2364</v>
      </c>
      <c r="B2353" s="1">
        <v>5.0714329109200883E-3</v>
      </c>
      <c r="C2353" s="2">
        <v>1.445030185128103E-6</v>
      </c>
      <c r="D2353" s="2"/>
      <c r="E2353" s="2">
        <v>-0.69226446640605821</v>
      </c>
      <c r="F2353" s="3">
        <v>27.722883458377289</v>
      </c>
      <c r="G2353" s="3">
        <v>1</v>
      </c>
      <c r="H2353" s="2">
        <v>5.4188793757450959E-5</v>
      </c>
      <c r="I2353" s="4">
        <v>0</v>
      </c>
      <c r="J2353" s="4">
        <v>-0.69226446640605821</v>
      </c>
      <c r="K2353" s="5">
        <v>1</v>
      </c>
      <c r="L2353" s="5">
        <v>0</v>
      </c>
      <c r="M2353" s="5">
        <v>0</v>
      </c>
    </row>
    <row r="2354" spans="1:13" hidden="1" x14ac:dyDescent="0.25">
      <c r="A2354" t="s">
        <v>2365</v>
      </c>
      <c r="B2354" s="1">
        <v>5.0614459167523679E-3</v>
      </c>
      <c r="C2354" s="2">
        <v>1.4421845380921389E-6</v>
      </c>
      <c r="D2354" s="2"/>
      <c r="E2354" s="2">
        <v>-0.64103628275073454</v>
      </c>
      <c r="F2354" s="3">
        <v>32.337862263960503</v>
      </c>
      <c r="G2354" s="3">
        <v>1</v>
      </c>
      <c r="H2354" s="2">
        <v>5.4188793757450959E-5</v>
      </c>
      <c r="I2354" s="4">
        <v>0</v>
      </c>
      <c r="J2354" s="4">
        <v>-0.64103628275073454</v>
      </c>
      <c r="K2354" s="5">
        <v>1</v>
      </c>
      <c r="L2354" s="5">
        <v>0</v>
      </c>
      <c r="M2354" s="5">
        <v>0</v>
      </c>
    </row>
    <row r="2355" spans="1:13" hidden="1" x14ac:dyDescent="0.25">
      <c r="A2355" t="s">
        <v>2366</v>
      </c>
      <c r="B2355" s="1">
        <v>4.9222113817286263E-3</v>
      </c>
      <c r="C2355" s="2">
        <v>1.402511706082796E-6</v>
      </c>
      <c r="D2355" s="2"/>
      <c r="E2355" s="2">
        <v>-0.90000857611145557</v>
      </c>
      <c r="F2355" s="3">
        <v>9.007898954421858</v>
      </c>
      <c r="G2355" s="3">
        <v>1</v>
      </c>
      <c r="H2355" s="2">
        <v>5.4188793757450959E-5</v>
      </c>
      <c r="I2355" s="4">
        <v>0</v>
      </c>
      <c r="J2355" s="4">
        <v>-0.90000857611145557</v>
      </c>
      <c r="K2355" s="5">
        <v>1</v>
      </c>
      <c r="L2355" s="5">
        <v>0</v>
      </c>
      <c r="M2355" s="5">
        <v>0</v>
      </c>
    </row>
    <row r="2356" spans="1:13" hidden="1" x14ac:dyDescent="0.25">
      <c r="A2356" t="s">
        <v>2367</v>
      </c>
      <c r="B2356" s="1">
        <v>4.8973480631689121E-3</v>
      </c>
      <c r="C2356" s="2">
        <v>1.395427269306776E-6</v>
      </c>
      <c r="D2356" s="2"/>
      <c r="E2356" s="2">
        <v>-0.71621672579179441</v>
      </c>
      <c r="F2356" s="3">
        <v>25.565103081959101</v>
      </c>
      <c r="G2356" s="3">
        <v>1</v>
      </c>
      <c r="H2356" s="2">
        <v>5.4188793757450959E-5</v>
      </c>
      <c r="I2356" s="4">
        <v>-1.110223024625157E-16</v>
      </c>
      <c r="J2356" s="4">
        <v>-0.7162167257917943</v>
      </c>
      <c r="K2356" s="5">
        <v>1</v>
      </c>
      <c r="L2356" s="5">
        <v>0</v>
      </c>
      <c r="M2356" s="5">
        <v>0</v>
      </c>
    </row>
    <row r="2357" spans="1:13" hidden="1" x14ac:dyDescent="0.25">
      <c r="A2357" t="s">
        <v>2368</v>
      </c>
      <c r="B2357" s="1">
        <v>4.894295000494665E-3</v>
      </c>
      <c r="C2357" s="2">
        <v>1.3945573440215809E-6</v>
      </c>
      <c r="D2357" s="2"/>
      <c r="E2357" s="2">
        <v>-0.87471178878478506</v>
      </c>
      <c r="F2357" s="3">
        <v>11.28680343691172</v>
      </c>
      <c r="G2357" s="3">
        <v>1</v>
      </c>
      <c r="H2357" s="2">
        <v>5.4188793757450959E-5</v>
      </c>
      <c r="I2357" s="4">
        <v>-3.3306690738754701E-16</v>
      </c>
      <c r="J2357" s="4">
        <v>-0.87471178878478473</v>
      </c>
      <c r="K2357" s="5">
        <v>1</v>
      </c>
      <c r="L2357" s="5">
        <v>0</v>
      </c>
      <c r="M2357" s="5">
        <v>0</v>
      </c>
    </row>
    <row r="2358" spans="1:13" hidden="1" x14ac:dyDescent="0.25">
      <c r="A2358" t="s">
        <v>2369</v>
      </c>
      <c r="B2358" s="1">
        <v>4.8931520275681114E-3</v>
      </c>
      <c r="C2358" s="2">
        <v>1.3942316707042641E-6</v>
      </c>
      <c r="D2358" s="2"/>
      <c r="E2358" s="2" t="s">
        <v>303</v>
      </c>
      <c r="F2358" s="3" t="s">
        <v>303</v>
      </c>
      <c r="G2358" s="3">
        <v>1</v>
      </c>
      <c r="H2358" s="2">
        <v>5.4188793757450959E-5</v>
      </c>
      <c r="I2358" s="4" t="s">
        <v>303</v>
      </c>
      <c r="J2358" s="4">
        <v>0</v>
      </c>
      <c r="K2358" s="5">
        <v>1</v>
      </c>
      <c r="L2358" s="5">
        <v>0</v>
      </c>
      <c r="M2358" s="5">
        <v>0</v>
      </c>
    </row>
    <row r="2359" spans="1:13" hidden="1" x14ac:dyDescent="0.25">
      <c r="A2359" t="s">
        <v>2370</v>
      </c>
      <c r="B2359" s="1">
        <v>4.8451576520237849E-3</v>
      </c>
      <c r="C2359" s="2">
        <v>1.3805563795989451E-6</v>
      </c>
      <c r="D2359" s="2"/>
      <c r="E2359" s="2">
        <v>-0.52717184814468454</v>
      </c>
      <c r="F2359" s="3">
        <v>42.595535187759928</v>
      </c>
      <c r="G2359" s="3">
        <v>1</v>
      </c>
      <c r="H2359" s="2">
        <v>5.4188793757450959E-5</v>
      </c>
      <c r="I2359" s="4">
        <v>0</v>
      </c>
      <c r="J2359" s="4">
        <v>-0.52717184814468454</v>
      </c>
      <c r="K2359" s="5">
        <v>0</v>
      </c>
      <c r="L2359" s="5">
        <v>0</v>
      </c>
      <c r="M2359" s="5">
        <v>0</v>
      </c>
    </row>
    <row r="2360" spans="1:13" hidden="1" x14ac:dyDescent="0.25">
      <c r="A2360" t="s">
        <v>2371</v>
      </c>
      <c r="B2360" s="1">
        <v>4.8151286092964736E-3</v>
      </c>
      <c r="C2360" s="2">
        <v>1.372000045731641E-6</v>
      </c>
      <c r="D2360" s="2"/>
      <c r="E2360" s="2">
        <v>-0.76136314724869558</v>
      </c>
      <c r="F2360" s="3">
        <v>21.49801025717036</v>
      </c>
      <c r="G2360" s="3">
        <v>1</v>
      </c>
      <c r="H2360" s="2">
        <v>5.4188793757450959E-5</v>
      </c>
      <c r="I2360" s="4">
        <v>1.110223024625157E-16</v>
      </c>
      <c r="J2360" s="4">
        <v>-0.76136314724869569</v>
      </c>
      <c r="K2360" s="5">
        <v>1</v>
      </c>
      <c r="L2360" s="5">
        <v>0</v>
      </c>
      <c r="M2360" s="5">
        <v>0</v>
      </c>
    </row>
    <row r="2361" spans="1:13" hidden="1" x14ac:dyDescent="0.25">
      <c r="A2361" t="s">
        <v>2372</v>
      </c>
      <c r="B2361" s="1">
        <v>4.8032695371702551E-3</v>
      </c>
      <c r="C2361" s="2">
        <v>1.368620977627812E-6</v>
      </c>
      <c r="D2361" s="2"/>
      <c r="E2361" s="2">
        <v>-0.72631599697141025</v>
      </c>
      <c r="F2361" s="3">
        <v>24.655292912632088</v>
      </c>
      <c r="G2361" s="3">
        <v>1</v>
      </c>
      <c r="H2361" s="2">
        <v>5.4188793757450959E-5</v>
      </c>
      <c r="I2361" s="4">
        <v>0</v>
      </c>
      <c r="J2361" s="4">
        <v>-0.72631599697141025</v>
      </c>
      <c r="K2361" s="5">
        <v>1</v>
      </c>
      <c r="L2361" s="5">
        <v>0</v>
      </c>
      <c r="M2361" s="5">
        <v>0</v>
      </c>
    </row>
    <row r="2362" spans="1:13" hidden="1" x14ac:dyDescent="0.25">
      <c r="A2362" t="s">
        <v>2373</v>
      </c>
      <c r="B2362" s="1">
        <v>4.7856192476681079E-3</v>
      </c>
      <c r="C2362" s="2">
        <v>1.3635917873467121E-6</v>
      </c>
      <c r="D2362" s="2"/>
      <c r="E2362" s="2">
        <v>-0.72146371739918025</v>
      </c>
      <c r="F2362" s="3">
        <v>25.092418841891519</v>
      </c>
      <c r="G2362" s="3">
        <v>1</v>
      </c>
      <c r="H2362" s="2">
        <v>5.4188793757450959E-5</v>
      </c>
      <c r="I2362" s="4">
        <v>0</v>
      </c>
      <c r="J2362" s="4">
        <v>-0.72146371739918025</v>
      </c>
      <c r="K2362" s="5">
        <v>1</v>
      </c>
      <c r="L2362" s="5">
        <v>0</v>
      </c>
      <c r="M2362" s="5">
        <v>0</v>
      </c>
    </row>
    <row r="2363" spans="1:13" hidden="1" x14ac:dyDescent="0.25">
      <c r="A2363" t="s">
        <v>2374</v>
      </c>
      <c r="B2363" s="1">
        <v>4.7824911409296306E-3</v>
      </c>
      <c r="C2363" s="2">
        <v>1.3627004793596401E-6</v>
      </c>
      <c r="D2363" s="2"/>
      <c r="E2363" s="2">
        <v>-0.85979562619503525</v>
      </c>
      <c r="F2363" s="3">
        <v>12.63055153220798</v>
      </c>
      <c r="G2363" s="3">
        <v>1</v>
      </c>
      <c r="H2363" s="2">
        <v>5.4188793757450959E-5</v>
      </c>
      <c r="I2363" s="4">
        <v>1.110223024625157E-16</v>
      </c>
      <c r="J2363" s="4">
        <v>-0.85979562619503536</v>
      </c>
      <c r="K2363" s="5">
        <v>1</v>
      </c>
      <c r="L2363" s="5">
        <v>0</v>
      </c>
      <c r="M2363" s="5">
        <v>0</v>
      </c>
    </row>
    <row r="2364" spans="1:13" hidden="1" x14ac:dyDescent="0.25">
      <c r="A2364" t="s">
        <v>2375</v>
      </c>
      <c r="B2364" s="1">
        <v>4.771698049306496E-3</v>
      </c>
      <c r="C2364" s="2">
        <v>1.3596251467149549E-6</v>
      </c>
      <c r="D2364" s="2"/>
      <c r="E2364" s="2">
        <v>8.6755771439053442E-2</v>
      </c>
      <c r="F2364" s="3">
        <v>97.902257979339481</v>
      </c>
      <c r="G2364" s="3">
        <v>1</v>
      </c>
      <c r="H2364" s="2">
        <v>5.4188793757450959E-5</v>
      </c>
      <c r="I2364" s="4">
        <v>-1.387778780781446E-17</v>
      </c>
      <c r="J2364" s="4">
        <v>8.6755771439053456E-2</v>
      </c>
      <c r="K2364" s="5">
        <v>1</v>
      </c>
      <c r="L2364" s="5">
        <v>0</v>
      </c>
      <c r="M2364" s="5">
        <v>0</v>
      </c>
    </row>
    <row r="2365" spans="1:13" hidden="1" x14ac:dyDescent="0.25">
      <c r="A2365" t="s">
        <v>2376</v>
      </c>
      <c r="B2365" s="1">
        <v>4.7685642018640432E-3</v>
      </c>
      <c r="C2365" s="2">
        <v>1.358732202998756E-6</v>
      </c>
      <c r="D2365" s="2"/>
      <c r="E2365" s="2">
        <v>-0.43075398011542071</v>
      </c>
      <c r="F2365" s="3">
        <v>51.281504232230091</v>
      </c>
      <c r="G2365" s="3">
        <v>1</v>
      </c>
      <c r="H2365" s="2">
        <v>5.4188793757450959E-5</v>
      </c>
      <c r="I2365" s="4">
        <v>0</v>
      </c>
      <c r="J2365" s="4">
        <v>-0.43075398011542071</v>
      </c>
      <c r="K2365" s="5">
        <v>1</v>
      </c>
      <c r="L2365" s="5">
        <v>0</v>
      </c>
      <c r="M2365" s="5">
        <v>0</v>
      </c>
    </row>
    <row r="2366" spans="1:13" hidden="1" x14ac:dyDescent="0.25">
      <c r="A2366" t="s">
        <v>2377</v>
      </c>
      <c r="B2366" s="1">
        <v>4.7265792544147816E-3</v>
      </c>
      <c r="C2366" s="2">
        <v>1.3467692100042979E-6</v>
      </c>
      <c r="D2366" s="2"/>
      <c r="E2366" s="2">
        <v>-0.69546513425044187</v>
      </c>
      <c r="F2366" s="3">
        <v>27.43454580493</v>
      </c>
      <c r="G2366" s="3">
        <v>1</v>
      </c>
      <c r="H2366" s="2">
        <v>5.4188793757450959E-5</v>
      </c>
      <c r="I2366" s="4">
        <v>-1.110223024625157E-16</v>
      </c>
      <c r="J2366" s="4">
        <v>-0.69546513425044176</v>
      </c>
      <c r="K2366" s="5">
        <v>1</v>
      </c>
      <c r="L2366" s="5">
        <v>0</v>
      </c>
      <c r="M2366" s="5">
        <v>0</v>
      </c>
    </row>
    <row r="2367" spans="1:13" hidden="1" x14ac:dyDescent="0.25">
      <c r="A2367" t="s">
        <v>2378</v>
      </c>
      <c r="B2367" s="1">
        <v>4.7230985579186533E-3</v>
      </c>
      <c r="C2367" s="2">
        <v>1.345777436753912E-6</v>
      </c>
      <c r="D2367" s="2"/>
      <c r="E2367" s="2">
        <v>-0.57893801844520842</v>
      </c>
      <c r="F2367" s="3">
        <v>37.9320909323378</v>
      </c>
      <c r="G2367" s="3">
        <v>1</v>
      </c>
      <c r="H2367" s="2">
        <v>5.4188793757450959E-5</v>
      </c>
      <c r="I2367" s="4">
        <v>0</v>
      </c>
      <c r="J2367" s="4">
        <v>-0.57893801844520842</v>
      </c>
      <c r="K2367" s="5">
        <v>1</v>
      </c>
      <c r="L2367" s="5">
        <v>0</v>
      </c>
      <c r="M2367" s="5">
        <v>0</v>
      </c>
    </row>
    <row r="2368" spans="1:13" hidden="1" x14ac:dyDescent="0.25">
      <c r="A2368" t="s">
        <v>2379</v>
      </c>
      <c r="B2368" s="1">
        <v>4.687596019407483E-3</v>
      </c>
      <c r="C2368" s="2">
        <v>1.33566151080193E-6</v>
      </c>
      <c r="D2368" s="2"/>
      <c r="E2368" s="2">
        <v>-0.51526542742614967</v>
      </c>
      <c r="F2368" s="3">
        <v>43.668145523431782</v>
      </c>
      <c r="G2368" s="3">
        <v>1</v>
      </c>
      <c r="H2368" s="2">
        <v>5.4188793757450959E-5</v>
      </c>
      <c r="I2368" s="4">
        <v>-1.110223024625157E-16</v>
      </c>
      <c r="J2368" s="4">
        <v>-0.51526542742614956</v>
      </c>
      <c r="K2368" s="5">
        <v>1</v>
      </c>
      <c r="L2368" s="5">
        <v>0</v>
      </c>
      <c r="M2368" s="5">
        <v>0</v>
      </c>
    </row>
    <row r="2369" spans="1:13" hidden="1" x14ac:dyDescent="0.25">
      <c r="A2369" t="s">
        <v>2380</v>
      </c>
      <c r="B2369" s="1">
        <v>4.6808316563236186E-3</v>
      </c>
      <c r="C2369" s="2">
        <v>1.333734105074389E-6</v>
      </c>
      <c r="D2369" s="2"/>
      <c r="E2369" s="2">
        <v>-0.34448278407157917</v>
      </c>
      <c r="F2369" s="3">
        <v>59.053392924466984</v>
      </c>
      <c r="G2369" s="3">
        <v>1</v>
      </c>
      <c r="H2369" s="2">
        <v>5.4188793757450959E-5</v>
      </c>
      <c r="I2369" s="4">
        <v>-5.5511151231257827E-17</v>
      </c>
      <c r="J2369" s="4">
        <v>-0.34448278407157912</v>
      </c>
      <c r="K2369" s="5">
        <v>1</v>
      </c>
      <c r="L2369" s="5">
        <v>0</v>
      </c>
      <c r="M2369" s="5">
        <v>0</v>
      </c>
    </row>
    <row r="2370" spans="1:13" hidden="1" x14ac:dyDescent="0.25">
      <c r="A2370" t="s">
        <v>2381</v>
      </c>
      <c r="B2370" s="1">
        <v>4.6792869926116703E-3</v>
      </c>
      <c r="C2370" s="2">
        <v>1.333293975878391E-6</v>
      </c>
      <c r="D2370" s="2"/>
      <c r="E2370" s="2">
        <v>-0.64899117865303502</v>
      </c>
      <c r="F2370" s="3">
        <v>31.621231820126251</v>
      </c>
      <c r="G2370" s="3">
        <v>1</v>
      </c>
      <c r="H2370" s="2">
        <v>5.4188793757450959E-5</v>
      </c>
      <c r="I2370" s="4">
        <v>0</v>
      </c>
      <c r="J2370" s="4">
        <v>-0.64899117865303502</v>
      </c>
      <c r="K2370" s="5">
        <v>1</v>
      </c>
      <c r="L2370" s="5">
        <v>0</v>
      </c>
      <c r="M2370" s="5">
        <v>0</v>
      </c>
    </row>
    <row r="2371" spans="1:13" hidden="1" x14ac:dyDescent="0.25">
      <c r="A2371" t="s">
        <v>2382</v>
      </c>
      <c r="B2371" s="1">
        <v>4.6716272720409586E-3</v>
      </c>
      <c r="C2371" s="2">
        <v>1.3311114512095761E-6</v>
      </c>
      <c r="D2371" s="2"/>
      <c r="E2371" s="2">
        <v>1.1437630278850071</v>
      </c>
      <c r="F2371" s="3">
        <v>193.12456995250309</v>
      </c>
      <c r="G2371" s="3">
        <v>1</v>
      </c>
      <c r="H2371" s="2">
        <v>5.4188793757450959E-5</v>
      </c>
      <c r="I2371" s="4">
        <v>0</v>
      </c>
      <c r="J2371" s="4">
        <v>1.1437630278850071</v>
      </c>
      <c r="K2371" s="5">
        <v>1</v>
      </c>
      <c r="L2371" s="5">
        <v>0</v>
      </c>
      <c r="M2371" s="5">
        <v>0</v>
      </c>
    </row>
    <row r="2372" spans="1:13" hidden="1" x14ac:dyDescent="0.25">
      <c r="A2372" t="s">
        <v>2383</v>
      </c>
      <c r="B2372" s="1">
        <v>4.6542607143458094E-3</v>
      </c>
      <c r="C2372" s="2">
        <v>1.3261631061319501E-6</v>
      </c>
      <c r="D2372" s="2"/>
      <c r="E2372" s="2">
        <v>-0.39374955194307071</v>
      </c>
      <c r="F2372" s="3">
        <v>54.615111624542443</v>
      </c>
      <c r="G2372" s="3">
        <v>1</v>
      </c>
      <c r="H2372" s="2">
        <v>5.4188793757450959E-5</v>
      </c>
      <c r="I2372" s="4">
        <v>5.5511151231257827E-17</v>
      </c>
      <c r="J2372" s="4">
        <v>-0.39374955194307082</v>
      </c>
      <c r="K2372" s="5">
        <v>1</v>
      </c>
      <c r="L2372" s="5">
        <v>0</v>
      </c>
      <c r="M2372" s="5">
        <v>0</v>
      </c>
    </row>
    <row r="2373" spans="1:13" hidden="1" x14ac:dyDescent="0.25">
      <c r="A2373" t="s">
        <v>2384</v>
      </c>
      <c r="B2373" s="1">
        <v>4.5871469536974642E-3</v>
      </c>
      <c r="C2373" s="2">
        <v>1.307040027570565E-6</v>
      </c>
      <c r="D2373" s="2"/>
      <c r="E2373" s="2">
        <v>-0.69382771458312598</v>
      </c>
      <c r="F2373" s="3">
        <v>27.582055564623051</v>
      </c>
      <c r="G2373" s="3">
        <v>1</v>
      </c>
      <c r="H2373" s="2">
        <v>5.4188793757450959E-5</v>
      </c>
      <c r="I2373" s="4">
        <v>0</v>
      </c>
      <c r="J2373" s="4">
        <v>-0.69382771458312598</v>
      </c>
      <c r="K2373" s="5">
        <v>1</v>
      </c>
      <c r="L2373" s="5">
        <v>0</v>
      </c>
      <c r="M2373" s="5">
        <v>0</v>
      </c>
    </row>
    <row r="2374" spans="1:13" hidden="1" x14ac:dyDescent="0.25">
      <c r="A2374" t="s">
        <v>2385</v>
      </c>
      <c r="B2374" s="1">
        <v>4.5777889125852246E-3</v>
      </c>
      <c r="C2374" s="2">
        <v>1.3043735914531241E-6</v>
      </c>
      <c r="D2374" s="2"/>
      <c r="E2374" s="2">
        <v>-0.90001658796344719</v>
      </c>
      <c r="F2374" s="3">
        <v>9.0071771929910032</v>
      </c>
      <c r="G2374" s="3">
        <v>1</v>
      </c>
      <c r="H2374" s="2">
        <v>5.4188793757450959E-5</v>
      </c>
      <c r="I2374" s="4">
        <v>1.110223024625157E-16</v>
      </c>
      <c r="J2374" s="4">
        <v>-0.9000165879634473</v>
      </c>
      <c r="K2374" s="5">
        <v>0</v>
      </c>
      <c r="L2374" s="5">
        <v>0</v>
      </c>
      <c r="M2374" s="5">
        <v>0</v>
      </c>
    </row>
    <row r="2375" spans="1:13" hidden="1" x14ac:dyDescent="0.25">
      <c r="A2375" t="s">
        <v>2386</v>
      </c>
      <c r="B2375" s="1">
        <v>4.5463243030335176E-3</v>
      </c>
      <c r="C2375" s="2">
        <v>1.2954082139426409E-6</v>
      </c>
      <c r="D2375" s="2"/>
      <c r="E2375" s="2">
        <v>-0.66278078803671414</v>
      </c>
      <c r="F2375" s="3">
        <v>30.378971202979869</v>
      </c>
      <c r="G2375" s="3">
        <v>1</v>
      </c>
      <c r="H2375" s="2">
        <v>5.4188793757450959E-5</v>
      </c>
      <c r="I2375" s="4">
        <v>0</v>
      </c>
      <c r="J2375" s="4">
        <v>-0.66278078803671414</v>
      </c>
      <c r="K2375" s="5">
        <v>1</v>
      </c>
      <c r="L2375" s="5">
        <v>0</v>
      </c>
      <c r="M2375" s="5">
        <v>0</v>
      </c>
    </row>
    <row r="2376" spans="1:13" hidden="1" x14ac:dyDescent="0.25">
      <c r="A2376" t="s">
        <v>2387</v>
      </c>
      <c r="B2376" s="1">
        <v>4.5329194558617683E-3</v>
      </c>
      <c r="C2376" s="2">
        <v>1.2915886999846629E-6</v>
      </c>
      <c r="D2376" s="2"/>
      <c r="E2376" s="2">
        <v>-0.38262404067842881</v>
      </c>
      <c r="F2376" s="3">
        <v>55.617372392424727</v>
      </c>
      <c r="G2376" s="3">
        <v>1</v>
      </c>
      <c r="H2376" s="2">
        <v>5.4188793757450959E-5</v>
      </c>
      <c r="I2376" s="4">
        <v>0</v>
      </c>
      <c r="J2376" s="4">
        <v>-0.38262404067842881</v>
      </c>
      <c r="K2376" s="5">
        <v>1</v>
      </c>
      <c r="L2376" s="5">
        <v>0</v>
      </c>
      <c r="M2376" s="5">
        <v>0</v>
      </c>
    </row>
    <row r="2377" spans="1:13" hidden="1" x14ac:dyDescent="0.25">
      <c r="A2377" t="s">
        <v>2388</v>
      </c>
      <c r="B2377" s="1">
        <v>4.4974746133626623E-3</v>
      </c>
      <c r="C2377" s="2">
        <v>1.2814892136623591E-6</v>
      </c>
      <c r="D2377" s="2"/>
      <c r="E2377" s="2">
        <v>-0.83130828163647563</v>
      </c>
      <c r="F2377" s="3">
        <v>15.196882836273989</v>
      </c>
      <c r="G2377" s="3">
        <v>2</v>
      </c>
      <c r="H2377" s="2">
        <v>1.083775875149019E-4</v>
      </c>
      <c r="I2377" s="4">
        <v>-1.110223024625157E-16</v>
      </c>
      <c r="J2377" s="4">
        <v>-0.83130828163647552</v>
      </c>
      <c r="K2377" s="5">
        <v>2</v>
      </c>
      <c r="L2377" s="5">
        <v>0</v>
      </c>
      <c r="M2377" s="5">
        <v>0</v>
      </c>
    </row>
    <row r="2378" spans="1:13" hidden="1" x14ac:dyDescent="0.25">
      <c r="A2378" t="s">
        <v>2389</v>
      </c>
      <c r="B2378" s="1">
        <v>4.4953497922195851E-3</v>
      </c>
      <c r="C2378" s="2">
        <v>1.280883777143001E-6</v>
      </c>
      <c r="D2378" s="2"/>
      <c r="E2378" s="2">
        <v>-0.58454495913541371</v>
      </c>
      <c r="F2378" s="3">
        <v>37.426980061658497</v>
      </c>
      <c r="G2378" s="3">
        <v>1</v>
      </c>
      <c r="H2378" s="2">
        <v>5.4188793757450959E-5</v>
      </c>
      <c r="I2378" s="4">
        <v>0</v>
      </c>
      <c r="J2378" s="4">
        <v>-0.58454495913541371</v>
      </c>
      <c r="K2378" s="5">
        <v>1</v>
      </c>
      <c r="L2378" s="5">
        <v>0</v>
      </c>
      <c r="M2378" s="5">
        <v>0</v>
      </c>
    </row>
    <row r="2379" spans="1:13" hidden="1" x14ac:dyDescent="0.25">
      <c r="A2379" t="s">
        <v>2390</v>
      </c>
      <c r="B2379" s="1">
        <v>4.491993336141969E-3</v>
      </c>
      <c r="C2379" s="2">
        <v>1.279927404371754E-6</v>
      </c>
      <c r="D2379" s="2"/>
      <c r="E2379" s="2">
        <v>-0.5586942826136746</v>
      </c>
      <c r="F2379" s="3">
        <v>39.755782602472692</v>
      </c>
      <c r="G2379" s="3">
        <v>2</v>
      </c>
      <c r="H2379" s="2">
        <v>1.083775875149019E-4</v>
      </c>
      <c r="I2379" s="4">
        <v>-1.110223024625157E-16</v>
      </c>
      <c r="J2379" s="4">
        <v>-0.55869428261367449</v>
      </c>
      <c r="K2379" s="5">
        <v>1</v>
      </c>
      <c r="L2379" s="5">
        <v>0</v>
      </c>
      <c r="M2379" s="5">
        <v>0</v>
      </c>
    </row>
    <row r="2380" spans="1:13" hidden="1" x14ac:dyDescent="0.25">
      <c r="A2380" t="s">
        <v>2391</v>
      </c>
      <c r="B2380" s="1">
        <v>4.4543327181954971E-3</v>
      </c>
      <c r="C2380" s="2">
        <v>1.269196565439418E-6</v>
      </c>
      <c r="D2380" s="2"/>
      <c r="E2380" s="2">
        <v>-0.49687303872038469</v>
      </c>
      <c r="F2380" s="3">
        <v>45.325055411790323</v>
      </c>
      <c r="G2380" s="3">
        <v>1</v>
      </c>
      <c r="H2380" s="2">
        <v>5.4188793757450959E-5</v>
      </c>
      <c r="I2380" s="4">
        <v>5.5511151231257827E-17</v>
      </c>
      <c r="J2380" s="4">
        <v>-0.49687303872038491</v>
      </c>
      <c r="K2380" s="5">
        <v>1</v>
      </c>
      <c r="L2380" s="5">
        <v>0</v>
      </c>
      <c r="M2380" s="5">
        <v>0</v>
      </c>
    </row>
    <row r="2381" spans="1:13" hidden="1" x14ac:dyDescent="0.25">
      <c r="A2381" t="s">
        <v>2392</v>
      </c>
      <c r="B2381" s="1">
        <v>4.4275085559728911E-3</v>
      </c>
      <c r="C2381" s="2">
        <v>1.2615534151141959E-6</v>
      </c>
      <c r="D2381" s="2"/>
      <c r="E2381" s="2">
        <v>-0.63202598404375265</v>
      </c>
      <c r="F2381" s="3">
        <v>33.149570479978308</v>
      </c>
      <c r="G2381" s="3">
        <v>2</v>
      </c>
      <c r="H2381" s="2">
        <v>1.083775875149019E-4</v>
      </c>
      <c r="I2381" s="4">
        <v>-1.110223024625157E-16</v>
      </c>
      <c r="J2381" s="4">
        <v>-0.63202598404375265</v>
      </c>
      <c r="K2381" s="5">
        <v>2</v>
      </c>
      <c r="L2381" s="5">
        <v>0</v>
      </c>
      <c r="M2381" s="5">
        <v>0</v>
      </c>
    </row>
    <row r="2382" spans="1:13" hidden="1" x14ac:dyDescent="0.25">
      <c r="A2382" t="s">
        <v>2393</v>
      </c>
      <c r="B2382" s="1">
        <v>4.369697671806551E-3</v>
      </c>
      <c r="C2382" s="2">
        <v>1.2450810543205781E-6</v>
      </c>
      <c r="D2382" s="2"/>
      <c r="E2382" s="2">
        <v>-0.30962748452310612</v>
      </c>
      <c r="F2382" s="3">
        <v>62.193392377907301</v>
      </c>
      <c r="G2382" s="3">
        <v>1</v>
      </c>
      <c r="H2382" s="2">
        <v>5.4188793757450959E-5</v>
      </c>
      <c r="I2382" s="4">
        <v>0</v>
      </c>
      <c r="J2382" s="4">
        <v>-0.30962748452310612</v>
      </c>
      <c r="K2382" s="5">
        <v>1</v>
      </c>
      <c r="L2382" s="5">
        <v>0</v>
      </c>
      <c r="M2382" s="5">
        <v>0</v>
      </c>
    </row>
    <row r="2383" spans="1:13" hidden="1" x14ac:dyDescent="0.25">
      <c r="A2383" t="s">
        <v>2394</v>
      </c>
      <c r="B2383" s="1">
        <v>4.3587372503970717E-3</v>
      </c>
      <c r="C2383" s="2">
        <v>1.241958043515423E-6</v>
      </c>
      <c r="D2383" s="2"/>
      <c r="E2383" s="2">
        <v>-0.75377840775946714</v>
      </c>
      <c r="F2383" s="3">
        <v>22.1812945255366</v>
      </c>
      <c r="G2383" s="3">
        <v>1</v>
      </c>
      <c r="H2383" s="2">
        <v>5.4188793757450959E-5</v>
      </c>
      <c r="I2383" s="4">
        <v>-0.533147773747216</v>
      </c>
      <c r="J2383" s="4">
        <v>-0.22063063401225119</v>
      </c>
      <c r="K2383" s="5">
        <v>1</v>
      </c>
      <c r="L2383" s="5">
        <v>0</v>
      </c>
      <c r="M2383" s="5">
        <v>0</v>
      </c>
    </row>
    <row r="2384" spans="1:13" hidden="1" x14ac:dyDescent="0.25">
      <c r="A2384" t="s">
        <v>2395</v>
      </c>
      <c r="B2384" s="1">
        <v>4.2842778074087566E-3</v>
      </c>
      <c r="C2384" s="2">
        <v>1.2207419208582041E-6</v>
      </c>
      <c r="D2384" s="2"/>
      <c r="E2384" s="2">
        <v>-0.48277597862272681</v>
      </c>
      <c r="F2384" s="3">
        <v>46.595013253931462</v>
      </c>
      <c r="G2384" s="3">
        <v>1</v>
      </c>
      <c r="H2384" s="2">
        <v>5.4188793757450959E-5</v>
      </c>
      <c r="I2384" s="4">
        <v>-1.6653345369377351E-16</v>
      </c>
      <c r="J2384" s="4">
        <v>-0.48277597862272659</v>
      </c>
      <c r="K2384" s="5">
        <v>1</v>
      </c>
      <c r="L2384" s="5">
        <v>0</v>
      </c>
      <c r="M2384" s="5">
        <v>0</v>
      </c>
    </row>
    <row r="2385" spans="1:13" hidden="1" x14ac:dyDescent="0.25">
      <c r="A2385" t="s">
        <v>2396</v>
      </c>
      <c r="B2385" s="1">
        <v>4.2530961111525737E-3</v>
      </c>
      <c r="C2385" s="2">
        <v>1.211857155328395E-6</v>
      </c>
      <c r="D2385" s="2"/>
      <c r="E2385" s="2">
        <v>-0.94913613059359148</v>
      </c>
      <c r="F2385" s="3">
        <v>4.5821589314954183</v>
      </c>
      <c r="G2385" s="3">
        <v>1</v>
      </c>
      <c r="H2385" s="2">
        <v>5.4188793757450959E-5</v>
      </c>
      <c r="I2385" s="4">
        <v>-0.83406717198173685</v>
      </c>
      <c r="J2385" s="4">
        <v>-0.1150689586118545</v>
      </c>
      <c r="K2385" s="5">
        <v>1</v>
      </c>
      <c r="L2385" s="5">
        <v>1</v>
      </c>
      <c r="M2385" s="5">
        <v>0</v>
      </c>
    </row>
    <row r="2386" spans="1:13" hidden="1" x14ac:dyDescent="0.25">
      <c r="A2386" t="s">
        <v>2397</v>
      </c>
      <c r="B2386" s="1">
        <v>4.2281524921071352E-3</v>
      </c>
      <c r="C2386" s="2">
        <v>1.204749838110537E-6</v>
      </c>
      <c r="D2386" s="2"/>
      <c r="E2386" s="2">
        <v>-0.8439671039754828</v>
      </c>
      <c r="F2386" s="3">
        <v>14.05649110989096</v>
      </c>
      <c r="G2386" s="3">
        <v>1</v>
      </c>
      <c r="H2386" s="2">
        <v>5.4188793757450959E-5</v>
      </c>
      <c r="I2386" s="4">
        <v>0</v>
      </c>
      <c r="J2386" s="4">
        <v>-0.8439671039754828</v>
      </c>
      <c r="K2386" s="5">
        <v>1</v>
      </c>
      <c r="L2386" s="5">
        <v>0</v>
      </c>
      <c r="M2386" s="5">
        <v>0</v>
      </c>
    </row>
    <row r="2387" spans="1:13" hidden="1" x14ac:dyDescent="0.25">
      <c r="A2387" t="s">
        <v>2398</v>
      </c>
      <c r="B2387" s="1">
        <v>4.2281222711494926E-3</v>
      </c>
      <c r="C2387" s="2">
        <v>1.204741227093338E-6</v>
      </c>
      <c r="D2387" s="2"/>
      <c r="E2387" s="2">
        <v>-0.9125509339724468</v>
      </c>
      <c r="F2387" s="3">
        <v>7.8779991303335244</v>
      </c>
      <c r="G2387" s="3">
        <v>1</v>
      </c>
      <c r="H2387" s="2">
        <v>5.4188793757450959E-5</v>
      </c>
      <c r="I2387" s="4">
        <v>1.110223024625157E-16</v>
      </c>
      <c r="J2387" s="4">
        <v>-0.9125509339724468</v>
      </c>
      <c r="K2387" s="5">
        <v>0</v>
      </c>
      <c r="L2387" s="5">
        <v>0</v>
      </c>
      <c r="M2387" s="5">
        <v>0</v>
      </c>
    </row>
    <row r="2388" spans="1:13" hidden="1" x14ac:dyDescent="0.25">
      <c r="A2388" t="s">
        <v>2399</v>
      </c>
      <c r="B2388" s="1">
        <v>4.0969501987281184E-3</v>
      </c>
      <c r="C2388" s="2">
        <v>1.167365675168644E-6</v>
      </c>
      <c r="D2388" s="2"/>
      <c r="E2388" s="2">
        <v>-0.98421245477998476</v>
      </c>
      <c r="F2388" s="3">
        <v>1.4222480943843749</v>
      </c>
      <c r="G2388" s="3">
        <v>1</v>
      </c>
      <c r="H2388" s="2">
        <v>5.4188793757450959E-5</v>
      </c>
      <c r="I2388" s="4">
        <v>-0.97737008195894748</v>
      </c>
      <c r="J2388" s="4">
        <v>-6.8423728210373121E-3</v>
      </c>
      <c r="K2388" s="5">
        <v>1</v>
      </c>
      <c r="L2388" s="5">
        <v>0</v>
      </c>
      <c r="M2388" s="5">
        <v>0</v>
      </c>
    </row>
    <row r="2389" spans="1:13" hidden="1" x14ac:dyDescent="0.25">
      <c r="A2389" t="s">
        <v>2400</v>
      </c>
      <c r="B2389" s="1">
        <v>4.0875343770477666E-3</v>
      </c>
      <c r="C2389" s="2">
        <v>1.164682775328524E-6</v>
      </c>
      <c r="D2389" s="2"/>
      <c r="E2389" s="2">
        <v>-0.78638555478398287</v>
      </c>
      <c r="F2389" s="3">
        <v>19.243823748880679</v>
      </c>
      <c r="G2389" s="3">
        <v>1</v>
      </c>
      <c r="H2389" s="2">
        <v>5.4188793757450959E-5</v>
      </c>
      <c r="I2389" s="4">
        <v>-1.110223024625157E-16</v>
      </c>
      <c r="J2389" s="4">
        <v>-0.78638555478398275</v>
      </c>
      <c r="K2389" s="5">
        <v>1</v>
      </c>
      <c r="L2389" s="5">
        <v>0</v>
      </c>
      <c r="M2389" s="5">
        <v>0</v>
      </c>
    </row>
    <row r="2390" spans="1:13" hidden="1" x14ac:dyDescent="0.25">
      <c r="A2390" t="s">
        <v>2401</v>
      </c>
      <c r="B2390" s="1">
        <v>4.0748278447127959E-3</v>
      </c>
      <c r="C2390" s="2">
        <v>1.161062235908037E-6</v>
      </c>
      <c r="D2390" s="2"/>
      <c r="E2390" s="2">
        <v>-0.1092742528954764</v>
      </c>
      <c r="F2390" s="3">
        <v>80.242556951313574</v>
      </c>
      <c r="G2390" s="3">
        <v>1</v>
      </c>
      <c r="H2390" s="2">
        <v>5.4188793757450959E-5</v>
      </c>
      <c r="I2390" s="4">
        <v>-2.775557561562891E-17</v>
      </c>
      <c r="J2390" s="4">
        <v>-0.1092742528954764</v>
      </c>
      <c r="K2390" s="5">
        <v>1</v>
      </c>
      <c r="L2390" s="5">
        <v>0</v>
      </c>
      <c r="M2390" s="5">
        <v>0</v>
      </c>
    </row>
    <row r="2391" spans="1:13" hidden="1" x14ac:dyDescent="0.25">
      <c r="A2391" t="s">
        <v>2402</v>
      </c>
      <c r="B2391" s="1">
        <v>4.0556784349373362E-3</v>
      </c>
      <c r="C2391" s="2">
        <v>1.155605893363636E-6</v>
      </c>
      <c r="D2391" s="2"/>
      <c r="E2391" s="2">
        <v>-0.50591315691842242</v>
      </c>
      <c r="F2391" s="3">
        <v>44.510660855765977</v>
      </c>
      <c r="G2391" s="3">
        <v>1</v>
      </c>
      <c r="H2391" s="2">
        <v>5.4188793757450959E-5</v>
      </c>
      <c r="I2391" s="4">
        <v>0</v>
      </c>
      <c r="J2391" s="4">
        <v>-0.50591315691842242</v>
      </c>
      <c r="K2391" s="5">
        <v>1</v>
      </c>
      <c r="L2391" s="5">
        <v>0</v>
      </c>
      <c r="M2391" s="5">
        <v>0</v>
      </c>
    </row>
    <row r="2392" spans="1:13" hidden="1" x14ac:dyDescent="0.25">
      <c r="A2392" t="s">
        <v>2403</v>
      </c>
      <c r="B2392" s="1">
        <v>3.994466714472956E-3</v>
      </c>
      <c r="C2392" s="2">
        <v>1.1381645143079871E-6</v>
      </c>
      <c r="D2392" s="2"/>
      <c r="E2392" s="2">
        <v>-7.9263127052146998E-2</v>
      </c>
      <c r="F2392" s="3">
        <v>82.946160706436416</v>
      </c>
      <c r="G2392" s="3">
        <v>1</v>
      </c>
      <c r="H2392" s="2">
        <v>5.4188793757450959E-5</v>
      </c>
      <c r="I2392" s="4">
        <v>4.163336342344337E-17</v>
      </c>
      <c r="J2392" s="4">
        <v>-7.9263127052147039E-2</v>
      </c>
      <c r="K2392" s="5">
        <v>1</v>
      </c>
      <c r="L2392" s="5">
        <v>0</v>
      </c>
      <c r="M2392" s="5">
        <v>0</v>
      </c>
    </row>
    <row r="2393" spans="1:13" hidden="1" x14ac:dyDescent="0.25">
      <c r="A2393" t="s">
        <v>2404</v>
      </c>
      <c r="B2393" s="1">
        <v>3.9432803770136898E-3</v>
      </c>
      <c r="C2393" s="2">
        <v>1.123579720622651E-6</v>
      </c>
      <c r="D2393" s="2"/>
      <c r="E2393" s="2">
        <v>0.15840995929852</v>
      </c>
      <c r="F2393" s="3">
        <v>104.3573484140821</v>
      </c>
      <c r="G2393" s="3">
        <v>1</v>
      </c>
      <c r="H2393" s="2">
        <v>5.4188793757450959E-5</v>
      </c>
      <c r="I2393" s="4">
        <v>5.5511151231257827E-17</v>
      </c>
      <c r="J2393" s="4">
        <v>0.15840995929851989</v>
      </c>
      <c r="K2393" s="5">
        <v>1</v>
      </c>
      <c r="L2393" s="5">
        <v>0</v>
      </c>
      <c r="M2393" s="5">
        <v>0</v>
      </c>
    </row>
    <row r="2394" spans="1:13" hidden="1" x14ac:dyDescent="0.25">
      <c r="A2394" t="s">
        <v>2405</v>
      </c>
      <c r="B2394" s="1">
        <v>3.9290443167769116E-3</v>
      </c>
      <c r="C2394" s="2">
        <v>1.1195233647325529E-6</v>
      </c>
      <c r="D2394" s="2"/>
      <c r="E2394" s="2">
        <v>0.64335085034283246</v>
      </c>
      <c r="F2394" s="3">
        <v>148.04408049086089</v>
      </c>
      <c r="G2394" s="3">
        <v>1</v>
      </c>
      <c r="H2394" s="2">
        <v>5.4188793757450959E-5</v>
      </c>
      <c r="I2394" s="4">
        <v>0</v>
      </c>
      <c r="J2394" s="4">
        <v>0.64335085034283246</v>
      </c>
      <c r="K2394" s="5">
        <v>1</v>
      </c>
      <c r="L2394" s="5">
        <v>0</v>
      </c>
      <c r="M2394" s="5">
        <v>0</v>
      </c>
    </row>
    <row r="2395" spans="1:13" hidden="1" x14ac:dyDescent="0.25">
      <c r="A2395" t="s">
        <v>2406</v>
      </c>
      <c r="B2395" s="1">
        <v>3.9177718721484589E-3</v>
      </c>
      <c r="C2395" s="2">
        <v>1.1163114475023701E-6</v>
      </c>
      <c r="D2395" s="2"/>
      <c r="E2395" s="2">
        <v>1.4887518263402619</v>
      </c>
      <c r="F2395" s="3">
        <v>224.2034776831926</v>
      </c>
      <c r="G2395" s="3">
        <v>1</v>
      </c>
      <c r="H2395" s="2">
        <v>5.4188793757450959E-5</v>
      </c>
      <c r="I2395" s="4">
        <v>-2.2204460492503131E-16</v>
      </c>
      <c r="J2395" s="4">
        <v>1.4887518263402619</v>
      </c>
      <c r="K2395" s="5">
        <v>1</v>
      </c>
      <c r="L2395" s="5">
        <v>0</v>
      </c>
      <c r="M2395" s="5">
        <v>0</v>
      </c>
    </row>
    <row r="2396" spans="1:13" hidden="1" x14ac:dyDescent="0.25">
      <c r="A2396" t="s">
        <v>2407</v>
      </c>
      <c r="B2396" s="1">
        <v>3.864743632754387E-3</v>
      </c>
      <c r="C2396" s="2">
        <v>1.101201830963101E-6</v>
      </c>
      <c r="D2396" s="2"/>
      <c r="E2396" s="2">
        <v>-0.71600646639605059</v>
      </c>
      <c r="F2396" s="3">
        <v>25.58404466032075</v>
      </c>
      <c r="G2396" s="3">
        <v>1</v>
      </c>
      <c r="H2396" s="2">
        <v>5.4188793757450959E-5</v>
      </c>
      <c r="I2396" s="4">
        <v>0</v>
      </c>
      <c r="J2396" s="4">
        <v>-0.71600646639605059</v>
      </c>
      <c r="K2396" s="5">
        <v>1</v>
      </c>
      <c r="L2396" s="5">
        <v>0</v>
      </c>
      <c r="M2396" s="5">
        <v>0</v>
      </c>
    </row>
    <row r="2397" spans="1:13" hidden="1" x14ac:dyDescent="0.25">
      <c r="A2397" t="s">
        <v>2408</v>
      </c>
      <c r="B2397" s="1">
        <v>3.8593134532766962E-3</v>
      </c>
      <c r="C2397" s="2">
        <v>1.0996545812224941E-6</v>
      </c>
      <c r="D2397" s="2"/>
      <c r="E2397" s="2">
        <v>-0.47286658864557329</v>
      </c>
      <c r="F2397" s="3">
        <v>47.48771764939697</v>
      </c>
      <c r="G2397" s="3">
        <v>1</v>
      </c>
      <c r="H2397" s="2">
        <v>5.4188793757450959E-5</v>
      </c>
      <c r="I2397" s="4">
        <v>0</v>
      </c>
      <c r="J2397" s="4">
        <v>-0.47286658864557329</v>
      </c>
      <c r="K2397" s="5">
        <v>1</v>
      </c>
      <c r="L2397" s="5">
        <v>0</v>
      </c>
      <c r="M2397" s="5">
        <v>0</v>
      </c>
    </row>
    <row r="2398" spans="1:13" hidden="1" x14ac:dyDescent="0.25">
      <c r="A2398" t="s">
        <v>2409</v>
      </c>
      <c r="B2398" s="1">
        <v>3.8290464606753191E-3</v>
      </c>
      <c r="C2398" s="2">
        <v>1.0910304470398529E-6</v>
      </c>
      <c r="D2398" s="2"/>
      <c r="E2398" s="2">
        <v>-0.69752151451909483</v>
      </c>
      <c r="F2398" s="3">
        <v>27.24929326074642</v>
      </c>
      <c r="G2398" s="3">
        <v>1</v>
      </c>
      <c r="H2398" s="2">
        <v>5.4188793757450959E-5</v>
      </c>
      <c r="I2398" s="4">
        <v>-1.110223024625157E-16</v>
      </c>
      <c r="J2398" s="4">
        <v>-0.69752151451909483</v>
      </c>
      <c r="K2398" s="5">
        <v>1</v>
      </c>
      <c r="L2398" s="5">
        <v>0</v>
      </c>
      <c r="M2398" s="5">
        <v>0</v>
      </c>
    </row>
    <row r="2399" spans="1:13" hidden="1" x14ac:dyDescent="0.25">
      <c r="A2399" t="s">
        <v>2410</v>
      </c>
      <c r="B2399" s="1">
        <v>3.7868842251459118E-3</v>
      </c>
      <c r="C2399" s="2">
        <v>1.0790169384156361E-6</v>
      </c>
      <c r="D2399" s="2"/>
      <c r="E2399" s="2">
        <v>-0.80591901724747439</v>
      </c>
      <c r="F2399" s="3">
        <v>17.48411827356658</v>
      </c>
      <c r="G2399" s="3">
        <v>1</v>
      </c>
      <c r="H2399" s="2">
        <v>5.4188793757450959E-5</v>
      </c>
      <c r="I2399" s="4">
        <v>0</v>
      </c>
      <c r="J2399" s="4">
        <v>-0.80591901724747439</v>
      </c>
      <c r="K2399" s="5">
        <v>1</v>
      </c>
      <c r="L2399" s="5">
        <v>0</v>
      </c>
      <c r="M2399" s="5">
        <v>0</v>
      </c>
    </row>
    <row r="2400" spans="1:13" hidden="1" x14ac:dyDescent="0.25">
      <c r="A2400" t="s">
        <v>2411</v>
      </c>
      <c r="B2400" s="1">
        <v>3.7826337511837459E-3</v>
      </c>
      <c r="C2400" s="2">
        <v>1.077805828403078E-6</v>
      </c>
      <c r="D2400" s="2"/>
      <c r="E2400" s="2">
        <v>-0.28074862589613392</v>
      </c>
      <c r="F2400" s="3">
        <v>64.794993898461328</v>
      </c>
      <c r="G2400" s="3">
        <v>1</v>
      </c>
      <c r="H2400" s="2">
        <v>5.4188793757450959E-5</v>
      </c>
      <c r="I2400" s="4">
        <v>0</v>
      </c>
      <c r="J2400" s="4">
        <v>-0.28074862589613392</v>
      </c>
      <c r="K2400" s="5">
        <v>1</v>
      </c>
      <c r="L2400" s="5">
        <v>0</v>
      </c>
      <c r="M2400" s="5">
        <v>0</v>
      </c>
    </row>
    <row r="2401" spans="1:13" hidden="1" x14ac:dyDescent="0.25">
      <c r="A2401" t="s">
        <v>2412</v>
      </c>
      <c r="B2401" s="1">
        <v>3.7518841612960659E-3</v>
      </c>
      <c r="C2401" s="2">
        <v>1.0690441852248101E-6</v>
      </c>
      <c r="D2401" s="2"/>
      <c r="E2401" s="2">
        <v>-0.3159437822797283</v>
      </c>
      <c r="F2401" s="3">
        <v>61.62437785901102</v>
      </c>
      <c r="G2401" s="3">
        <v>1</v>
      </c>
      <c r="H2401" s="2">
        <v>5.4188793757450959E-5</v>
      </c>
      <c r="I2401" s="4">
        <v>0</v>
      </c>
      <c r="J2401" s="4">
        <v>-0.3159437822797283</v>
      </c>
      <c r="K2401" s="5">
        <v>1</v>
      </c>
      <c r="L2401" s="5">
        <v>0</v>
      </c>
      <c r="M2401" s="5">
        <v>0</v>
      </c>
    </row>
    <row r="2402" spans="1:13" hidden="1" x14ac:dyDescent="0.25">
      <c r="A2402" t="s">
        <v>2413</v>
      </c>
      <c r="B2402" s="1">
        <v>3.7433708457998279E-3</v>
      </c>
      <c r="C2402" s="2">
        <v>1.06661844124206E-6</v>
      </c>
      <c r="D2402" s="2"/>
      <c r="E2402" s="2">
        <v>-0.75821491648221617</v>
      </c>
      <c r="F2402" s="3">
        <v>21.781624026499799</v>
      </c>
      <c r="G2402" s="3">
        <v>1</v>
      </c>
      <c r="H2402" s="2">
        <v>5.4188793757450959E-5</v>
      </c>
      <c r="I2402" s="4">
        <v>-0.363619202624127</v>
      </c>
      <c r="J2402" s="4">
        <v>-0.39459571385808923</v>
      </c>
      <c r="K2402" s="5">
        <v>1</v>
      </c>
      <c r="L2402" s="5">
        <v>0</v>
      </c>
      <c r="M2402" s="5">
        <v>0</v>
      </c>
    </row>
    <row r="2403" spans="1:13" hidden="1" x14ac:dyDescent="0.25">
      <c r="A2403" t="s">
        <v>2414</v>
      </c>
      <c r="B2403" s="1">
        <v>3.742567308086826E-3</v>
      </c>
      <c r="C2403" s="2">
        <v>1.0663894849942759E-6</v>
      </c>
      <c r="D2403" s="2"/>
      <c r="E2403" s="2">
        <v>-0.46123945240078612</v>
      </c>
      <c r="F2403" s="3">
        <v>48.535168164143947</v>
      </c>
      <c r="G2403" s="3">
        <v>1</v>
      </c>
      <c r="H2403" s="2">
        <v>5.4188793757450959E-5</v>
      </c>
      <c r="I2403" s="4">
        <v>1.110223024625157E-16</v>
      </c>
      <c r="J2403" s="4">
        <v>-0.46123945240078618</v>
      </c>
      <c r="K2403" s="5">
        <v>1</v>
      </c>
      <c r="L2403" s="5">
        <v>0</v>
      </c>
      <c r="M2403" s="5">
        <v>0</v>
      </c>
    </row>
    <row r="2404" spans="1:13" hidden="1" x14ac:dyDescent="0.25">
      <c r="A2404" t="s">
        <v>2415</v>
      </c>
      <c r="B2404" s="1">
        <v>3.7300106371874059E-3</v>
      </c>
      <c r="C2404" s="2">
        <v>1.062811646384736E-6</v>
      </c>
      <c r="D2404" s="2"/>
      <c r="E2404" s="2">
        <v>-0.84163677534650849</v>
      </c>
      <c r="F2404" s="3">
        <v>14.266422762067389</v>
      </c>
      <c r="G2404" s="3">
        <v>1</v>
      </c>
      <c r="H2404" s="2">
        <v>5.4188793757450959E-5</v>
      </c>
      <c r="I2404" s="4">
        <v>-0.68311026500607885</v>
      </c>
      <c r="J2404" s="4">
        <v>-0.15852651034042961</v>
      </c>
      <c r="K2404" s="5">
        <v>1</v>
      </c>
      <c r="L2404" s="5">
        <v>0</v>
      </c>
      <c r="M2404" s="5">
        <v>1</v>
      </c>
    </row>
    <row r="2405" spans="1:13" hidden="1" x14ac:dyDescent="0.25">
      <c r="A2405" t="s">
        <v>2416</v>
      </c>
      <c r="B2405" s="1">
        <v>3.718275237842435E-3</v>
      </c>
      <c r="C2405" s="2">
        <v>1.059467817020159E-6</v>
      </c>
      <c r="D2405" s="2"/>
      <c r="E2405" s="2">
        <v>-0.92651324494273335</v>
      </c>
      <c r="F2405" s="3">
        <v>6.6201803944912667</v>
      </c>
      <c r="G2405" s="3">
        <v>1</v>
      </c>
      <c r="H2405" s="2">
        <v>5.4188793757450959E-5</v>
      </c>
      <c r="I2405" s="4">
        <v>0</v>
      </c>
      <c r="J2405" s="4">
        <v>-0.92651324494273335</v>
      </c>
      <c r="K2405" s="5">
        <v>1</v>
      </c>
      <c r="L2405" s="5">
        <v>0</v>
      </c>
      <c r="M2405" s="5">
        <v>0</v>
      </c>
    </row>
    <row r="2406" spans="1:13" hidden="1" x14ac:dyDescent="0.25">
      <c r="A2406" t="s">
        <v>2417</v>
      </c>
      <c r="B2406" s="1">
        <v>3.6963962838447539E-3</v>
      </c>
      <c r="C2406" s="2">
        <v>1.0532337310131059E-6</v>
      </c>
      <c r="D2406" s="2"/>
      <c r="E2406" s="2">
        <v>-0.8337541508302424</v>
      </c>
      <c r="F2406" s="3">
        <v>14.97654251411053</v>
      </c>
      <c r="G2406" s="3">
        <v>1</v>
      </c>
      <c r="H2406" s="2">
        <v>5.4188793757450959E-5</v>
      </c>
      <c r="I2406" s="4">
        <v>0</v>
      </c>
      <c r="J2406" s="4">
        <v>-0.8337541508302424</v>
      </c>
      <c r="K2406" s="5">
        <v>1</v>
      </c>
      <c r="L2406" s="5">
        <v>0</v>
      </c>
      <c r="M2406" s="5">
        <v>0</v>
      </c>
    </row>
    <row r="2407" spans="1:13" hidden="1" x14ac:dyDescent="0.25">
      <c r="A2407" t="s">
        <v>2418</v>
      </c>
      <c r="B2407" s="1">
        <v>3.6603240753109532E-3</v>
      </c>
      <c r="C2407" s="2">
        <v>1.0429554859704979E-6</v>
      </c>
      <c r="D2407" s="2"/>
      <c r="E2407" s="2">
        <v>-0.71609257508317281</v>
      </c>
      <c r="F2407" s="3">
        <v>25.576287411523499</v>
      </c>
      <c r="G2407" s="3">
        <v>1</v>
      </c>
      <c r="H2407" s="2">
        <v>5.4188793757450959E-5</v>
      </c>
      <c r="I2407" s="4">
        <v>-1.110223024625157E-16</v>
      </c>
      <c r="J2407" s="4">
        <v>-0.7160925750831727</v>
      </c>
      <c r="K2407" s="5">
        <v>1</v>
      </c>
      <c r="L2407" s="5">
        <v>0</v>
      </c>
      <c r="M2407" s="5">
        <v>0</v>
      </c>
    </row>
    <row r="2408" spans="1:13" hidden="1" x14ac:dyDescent="0.25">
      <c r="A2408" t="s">
        <v>2419</v>
      </c>
      <c r="B2408" s="1">
        <v>3.6159023475799239E-3</v>
      </c>
      <c r="C2408" s="2">
        <v>1.030298168290389E-6</v>
      </c>
      <c r="D2408" s="2"/>
      <c r="E2408" s="2">
        <v>-0.68288322105350441</v>
      </c>
      <c r="F2408" s="3">
        <v>28.56800903931348</v>
      </c>
      <c r="G2408" s="3">
        <v>1</v>
      </c>
      <c r="H2408" s="2">
        <v>5.4188793757450959E-5</v>
      </c>
      <c r="I2408" s="4">
        <v>0</v>
      </c>
      <c r="J2408" s="4">
        <v>-0.68288322105350441</v>
      </c>
      <c r="K2408" s="5">
        <v>1</v>
      </c>
      <c r="L2408" s="5">
        <v>0</v>
      </c>
      <c r="M2408" s="5">
        <v>0</v>
      </c>
    </row>
    <row r="2409" spans="1:13" hidden="1" x14ac:dyDescent="0.25">
      <c r="A2409" t="s">
        <v>2420</v>
      </c>
      <c r="B2409" s="1">
        <v>3.5984351040789309E-3</v>
      </c>
      <c r="C2409" s="2">
        <v>1.0253211342739139E-6</v>
      </c>
      <c r="D2409" s="2"/>
      <c r="E2409" s="2">
        <v>-0.85702195929251745</v>
      </c>
      <c r="F2409" s="3">
        <v>12.880422073295129</v>
      </c>
      <c r="G2409" s="3">
        <v>1</v>
      </c>
      <c r="H2409" s="2">
        <v>5.4188793757450959E-5</v>
      </c>
      <c r="I2409" s="4">
        <v>1.110223024625157E-16</v>
      </c>
      <c r="J2409" s="4">
        <v>-0.85702195929251745</v>
      </c>
      <c r="K2409" s="5">
        <v>1</v>
      </c>
      <c r="L2409" s="5">
        <v>0</v>
      </c>
      <c r="M2409" s="5">
        <v>0</v>
      </c>
    </row>
    <row r="2410" spans="1:13" hidden="1" x14ac:dyDescent="0.25">
      <c r="A2410" t="s">
        <v>2421</v>
      </c>
      <c r="B2410" s="1">
        <v>3.5960201638753288E-3</v>
      </c>
      <c r="C2410" s="2">
        <v>1.0246330325971729E-6</v>
      </c>
      <c r="D2410" s="2"/>
      <c r="E2410" s="2">
        <v>-0.90052561239230822</v>
      </c>
      <c r="F2410" s="3">
        <v>8.9613208540951508</v>
      </c>
      <c r="G2410" s="3">
        <v>1</v>
      </c>
      <c r="H2410" s="2">
        <v>5.4188793757450959E-5</v>
      </c>
      <c r="I2410" s="4">
        <v>0</v>
      </c>
      <c r="J2410" s="4">
        <v>-0.90052561239230822</v>
      </c>
      <c r="K2410" s="5">
        <v>1</v>
      </c>
      <c r="L2410" s="5">
        <v>0</v>
      </c>
      <c r="M2410" s="5">
        <v>0</v>
      </c>
    </row>
    <row r="2411" spans="1:13" hidden="1" x14ac:dyDescent="0.25">
      <c r="A2411" t="s">
        <v>2422</v>
      </c>
      <c r="B2411" s="1">
        <v>3.546422555712509E-3</v>
      </c>
      <c r="C2411" s="2">
        <v>1.01050092394774E-6</v>
      </c>
      <c r="D2411" s="2"/>
      <c r="E2411" s="2">
        <v>-0.82070736051153237</v>
      </c>
      <c r="F2411" s="3">
        <v>16.151885001496922</v>
      </c>
      <c r="G2411" s="3">
        <v>1</v>
      </c>
      <c r="H2411" s="2">
        <v>5.4188793757450959E-5</v>
      </c>
      <c r="I2411" s="4">
        <v>-1.110223024625157E-16</v>
      </c>
      <c r="J2411" s="4">
        <v>-0.82070736051153237</v>
      </c>
      <c r="K2411" s="5">
        <v>1</v>
      </c>
      <c r="L2411" s="5">
        <v>0</v>
      </c>
      <c r="M2411" s="5">
        <v>0</v>
      </c>
    </row>
    <row r="2412" spans="1:13" hidden="1" x14ac:dyDescent="0.25">
      <c r="A2412" t="s">
        <v>2423</v>
      </c>
      <c r="B2412" s="1">
        <v>3.5407171812330699E-3</v>
      </c>
      <c r="C2412" s="2">
        <v>1.008875261440701E-6</v>
      </c>
      <c r="D2412" s="2"/>
      <c r="E2412" s="2">
        <v>-0.43393394731016138</v>
      </c>
      <c r="F2412" s="3">
        <v>50.995031432317482</v>
      </c>
      <c r="G2412" s="3">
        <v>1</v>
      </c>
      <c r="H2412" s="2">
        <v>5.4188793757450959E-5</v>
      </c>
      <c r="I2412" s="4">
        <v>-5.5511151231257827E-17</v>
      </c>
      <c r="J2412" s="4">
        <v>-0.43393394731016138</v>
      </c>
      <c r="K2412" s="5">
        <v>1</v>
      </c>
      <c r="L2412" s="5">
        <v>0</v>
      </c>
      <c r="M2412" s="5">
        <v>0</v>
      </c>
    </row>
    <row r="2413" spans="1:13" hidden="1" x14ac:dyDescent="0.25">
      <c r="A2413" t="s">
        <v>2424</v>
      </c>
      <c r="B2413" s="1">
        <v>3.5337287698391862E-3</v>
      </c>
      <c r="C2413" s="2">
        <v>1.006884016443944E-6</v>
      </c>
      <c r="D2413" s="2"/>
      <c r="E2413" s="2">
        <v>-0.49006151436446088</v>
      </c>
      <c r="F2413" s="3">
        <v>45.938683268436677</v>
      </c>
      <c r="G2413" s="3">
        <v>1</v>
      </c>
      <c r="H2413" s="2">
        <v>5.4188793757450959E-5</v>
      </c>
      <c r="I2413" s="4">
        <v>5.5511151231257827E-17</v>
      </c>
      <c r="J2413" s="4">
        <v>-0.49006151436446088</v>
      </c>
      <c r="K2413" s="5">
        <v>1</v>
      </c>
      <c r="L2413" s="5">
        <v>0</v>
      </c>
      <c r="M2413" s="5">
        <v>0</v>
      </c>
    </row>
    <row r="2414" spans="1:13" hidden="1" x14ac:dyDescent="0.25">
      <c r="A2414" t="s">
        <v>2425</v>
      </c>
      <c r="B2414" s="1">
        <v>3.5130915121340351E-3</v>
      </c>
      <c r="C2414" s="2">
        <v>1.001003733524693E-6</v>
      </c>
      <c r="D2414" s="2"/>
      <c r="E2414" s="2">
        <v>-0.84030542178430401</v>
      </c>
      <c r="F2414" s="3">
        <v>14.38636003163078</v>
      </c>
      <c r="G2414" s="3">
        <v>1</v>
      </c>
      <c r="H2414" s="2">
        <v>5.4188793757450959E-5</v>
      </c>
      <c r="I2414" s="4">
        <v>-1.110223024625157E-16</v>
      </c>
      <c r="J2414" s="4">
        <v>-0.8403054217843039</v>
      </c>
      <c r="K2414" s="5">
        <v>1</v>
      </c>
      <c r="L2414" s="5">
        <v>0</v>
      </c>
      <c r="M2414" s="5">
        <v>0</v>
      </c>
    </row>
    <row r="2415" spans="1:13" hidden="1" x14ac:dyDescent="0.25">
      <c r="A2415" t="s">
        <v>2426</v>
      </c>
      <c r="B2415" s="1">
        <v>3.474936136596767E-3</v>
      </c>
      <c r="C2415" s="2">
        <v>9.901319206968968E-7</v>
      </c>
      <c r="D2415" s="2"/>
      <c r="E2415" s="2">
        <v>-0.74837650109233089</v>
      </c>
      <c r="F2415" s="3">
        <v>22.667934554515679</v>
      </c>
      <c r="G2415" s="3">
        <v>1</v>
      </c>
      <c r="H2415" s="2">
        <v>5.4188793757450959E-5</v>
      </c>
      <c r="I2415" s="4">
        <v>0</v>
      </c>
      <c r="J2415" s="4">
        <v>-0.74837650109233089</v>
      </c>
      <c r="K2415" s="5">
        <v>1</v>
      </c>
      <c r="L2415" s="5">
        <v>0</v>
      </c>
      <c r="M2415" s="5">
        <v>0</v>
      </c>
    </row>
    <row r="2416" spans="1:13" hidden="1" x14ac:dyDescent="0.25">
      <c r="A2416" t="s">
        <v>2427</v>
      </c>
      <c r="B2416" s="1">
        <v>3.4682668110070738E-3</v>
      </c>
      <c r="C2416" s="2">
        <v>9.8823159450490465E-7</v>
      </c>
      <c r="D2416" s="2"/>
      <c r="E2416" s="2">
        <v>-0.56579616671508448</v>
      </c>
      <c r="F2416" s="3">
        <v>39.115997190047487</v>
      </c>
      <c r="G2416" s="3">
        <v>1</v>
      </c>
      <c r="H2416" s="2">
        <v>5.4188793757450959E-5</v>
      </c>
      <c r="I2416" s="4">
        <v>-0.56579616671508448</v>
      </c>
      <c r="J2416" s="4">
        <v>0</v>
      </c>
      <c r="K2416" s="5">
        <v>1</v>
      </c>
      <c r="L2416" s="5">
        <v>0</v>
      </c>
      <c r="M2416" s="5">
        <v>0</v>
      </c>
    </row>
    <row r="2417" spans="1:13" hidden="1" x14ac:dyDescent="0.25">
      <c r="A2417" t="s">
        <v>2428</v>
      </c>
      <c r="B2417" s="1">
        <v>3.4124388676005238E-3</v>
      </c>
      <c r="C2417" s="2">
        <v>9.7232424350310427E-7</v>
      </c>
      <c r="D2417" s="2"/>
      <c r="E2417" s="2">
        <v>-0.83099166445324946</v>
      </c>
      <c r="F2417" s="3">
        <v>15.225405838375799</v>
      </c>
      <c r="G2417" s="3">
        <v>1</v>
      </c>
      <c r="H2417" s="2">
        <v>5.4188793757450959E-5</v>
      </c>
      <c r="I2417" s="4">
        <v>1.110223024625157E-16</v>
      </c>
      <c r="J2417" s="4">
        <v>-0.83099166445324946</v>
      </c>
      <c r="K2417" s="5">
        <v>1</v>
      </c>
      <c r="L2417" s="5">
        <v>0</v>
      </c>
      <c r="M2417" s="5">
        <v>0</v>
      </c>
    </row>
    <row r="2418" spans="1:13" hidden="1" x14ac:dyDescent="0.25">
      <c r="A2418" t="s">
        <v>2429</v>
      </c>
      <c r="B2418" s="1">
        <v>3.397800072454704E-3</v>
      </c>
      <c r="C2418" s="2">
        <v>9.6815313422665727E-7</v>
      </c>
      <c r="D2418" s="2"/>
      <c r="E2418" s="2">
        <v>-0.89354927563293074</v>
      </c>
      <c r="F2418" s="3">
        <v>9.5897961188392369</v>
      </c>
      <c r="G2418" s="3">
        <v>1</v>
      </c>
      <c r="H2418" s="2">
        <v>5.4188793757450959E-5</v>
      </c>
      <c r="I2418" s="4">
        <v>0</v>
      </c>
      <c r="J2418" s="4">
        <v>-0.89354927563293074</v>
      </c>
      <c r="K2418" s="5">
        <v>0</v>
      </c>
      <c r="L2418" s="5">
        <v>0</v>
      </c>
      <c r="M2418" s="5">
        <v>0</v>
      </c>
    </row>
    <row r="2419" spans="1:13" hidden="1" x14ac:dyDescent="0.25">
      <c r="A2419" t="s">
        <v>2430</v>
      </c>
      <c r="B2419" s="1">
        <v>3.3737766100178181E-3</v>
      </c>
      <c r="C2419" s="2">
        <v>9.6130800209489969E-7</v>
      </c>
      <c r="D2419" s="2"/>
      <c r="E2419" s="2">
        <v>-0.69927030977258942</v>
      </c>
      <c r="F2419" s="3">
        <v>27.091750040309719</v>
      </c>
      <c r="G2419" s="3">
        <v>1</v>
      </c>
      <c r="H2419" s="2">
        <v>5.4188793757450959E-5</v>
      </c>
      <c r="I2419" s="4">
        <v>0</v>
      </c>
      <c r="J2419" s="4">
        <v>-0.69927030977258942</v>
      </c>
      <c r="K2419" s="5">
        <v>1</v>
      </c>
      <c r="L2419" s="5">
        <v>0</v>
      </c>
      <c r="M2419" s="5">
        <v>0</v>
      </c>
    </row>
    <row r="2420" spans="1:13" hidden="1" x14ac:dyDescent="0.25">
      <c r="A2420" t="s">
        <v>2431</v>
      </c>
      <c r="B2420" s="1">
        <v>3.3054885550505959E-3</v>
      </c>
      <c r="C2420" s="2">
        <v>9.4185032564632769E-7</v>
      </c>
      <c r="D2420" s="2"/>
      <c r="E2420" s="2">
        <v>-0.87386066083785008</v>
      </c>
      <c r="F2420" s="3">
        <v>11.363478758105471</v>
      </c>
      <c r="G2420" s="3">
        <v>2</v>
      </c>
      <c r="H2420" s="2">
        <v>1.083775875149019E-4</v>
      </c>
      <c r="I2420" s="4">
        <v>-1.110223024625157E-16</v>
      </c>
      <c r="J2420" s="4">
        <v>-0.87386066083784997</v>
      </c>
      <c r="K2420" s="5">
        <v>2</v>
      </c>
      <c r="L2420" s="5">
        <v>0</v>
      </c>
      <c r="M2420" s="5">
        <v>0</v>
      </c>
    </row>
    <row r="2421" spans="1:13" hidden="1" x14ac:dyDescent="0.25">
      <c r="A2421" t="s">
        <v>2432</v>
      </c>
      <c r="B2421" s="1">
        <v>3.2208061945670661E-3</v>
      </c>
      <c r="C2421" s="2">
        <v>9.1772133307243244E-7</v>
      </c>
      <c r="D2421" s="2"/>
      <c r="E2421" s="2">
        <v>-0.59460830305120238</v>
      </c>
      <c r="F2421" s="3">
        <v>36.520406461525923</v>
      </c>
      <c r="G2421" s="3">
        <v>1</v>
      </c>
      <c r="H2421" s="2">
        <v>5.4188793757450959E-5</v>
      </c>
      <c r="I2421" s="4">
        <v>0</v>
      </c>
      <c r="J2421" s="4">
        <v>-0.59460830305120238</v>
      </c>
      <c r="K2421" s="5">
        <v>1</v>
      </c>
      <c r="L2421" s="5">
        <v>0</v>
      </c>
      <c r="M2421" s="5">
        <v>0</v>
      </c>
    </row>
    <row r="2422" spans="1:13" hidden="1" x14ac:dyDescent="0.25">
      <c r="A2422" t="s">
        <v>2433</v>
      </c>
      <c r="B2422" s="1">
        <v>3.2205882218803712E-3</v>
      </c>
      <c r="C2422" s="2">
        <v>9.1765922496268483E-7</v>
      </c>
      <c r="D2422" s="2"/>
      <c r="E2422" s="2">
        <v>-0.90090737113172437</v>
      </c>
      <c r="F2422" s="3">
        <v>8.9269294631548401</v>
      </c>
      <c r="G2422" s="3">
        <v>1</v>
      </c>
      <c r="H2422" s="2">
        <v>5.4188793757450959E-5</v>
      </c>
      <c r="I2422" s="4">
        <v>0</v>
      </c>
      <c r="J2422" s="4">
        <v>-0.90090737113172437</v>
      </c>
      <c r="K2422" s="5">
        <v>1</v>
      </c>
      <c r="L2422" s="5">
        <v>0</v>
      </c>
      <c r="M2422" s="5">
        <v>1</v>
      </c>
    </row>
    <row r="2423" spans="1:13" hidden="1" x14ac:dyDescent="0.25">
      <c r="A2423" t="s">
        <v>2434</v>
      </c>
      <c r="B2423" s="1">
        <v>3.2173770463766308E-3</v>
      </c>
      <c r="C2423" s="2">
        <v>9.1674424775325437E-7</v>
      </c>
      <c r="D2423" s="2"/>
      <c r="E2423" s="2">
        <v>-0.39598252068304812</v>
      </c>
      <c r="F2423" s="3">
        <v>54.413950804985369</v>
      </c>
      <c r="G2423" s="3">
        <v>1</v>
      </c>
      <c r="H2423" s="2">
        <v>5.4188793757450959E-5</v>
      </c>
      <c r="I2423" s="4">
        <v>0</v>
      </c>
      <c r="J2423" s="4">
        <v>-0.39598252068304812</v>
      </c>
      <c r="K2423" s="5">
        <v>1</v>
      </c>
      <c r="L2423" s="5">
        <v>0</v>
      </c>
      <c r="M2423" s="5">
        <v>0</v>
      </c>
    </row>
    <row r="2424" spans="1:13" hidden="1" x14ac:dyDescent="0.25">
      <c r="A2424" t="s">
        <v>2435</v>
      </c>
      <c r="B2424" s="1">
        <v>3.1308842212797098E-3</v>
      </c>
      <c r="C2424" s="2">
        <v>8.9209938992758282E-7</v>
      </c>
      <c r="D2424" s="2"/>
      <c r="E2424" s="2">
        <v>-0.4026528749331878</v>
      </c>
      <c r="F2424" s="3">
        <v>53.813040499493262</v>
      </c>
      <c r="G2424" s="3">
        <v>1</v>
      </c>
      <c r="H2424" s="2">
        <v>5.4188793757450959E-5</v>
      </c>
      <c r="I2424" s="4">
        <v>-5.5511151231257827E-17</v>
      </c>
      <c r="J2424" s="4">
        <v>-0.40265287493318769</v>
      </c>
      <c r="K2424" s="5">
        <v>1</v>
      </c>
      <c r="L2424" s="5">
        <v>0</v>
      </c>
      <c r="M2424" s="5">
        <v>0</v>
      </c>
    </row>
    <row r="2425" spans="1:13" hidden="1" x14ac:dyDescent="0.25">
      <c r="A2425" t="s">
        <v>2436</v>
      </c>
      <c r="B2425" s="1">
        <v>3.128611516070232E-3</v>
      </c>
      <c r="C2425" s="2">
        <v>8.9145181601952207E-7</v>
      </c>
      <c r="D2425" s="2"/>
      <c r="E2425" s="2">
        <v>-0.94323124896815813</v>
      </c>
      <c r="F2425" s="3">
        <v>5.1141103224368569</v>
      </c>
      <c r="G2425" s="3">
        <v>1</v>
      </c>
      <c r="H2425" s="2">
        <v>5.4188793757450959E-5</v>
      </c>
      <c r="I2425" s="4">
        <v>-0.65638070915298696</v>
      </c>
      <c r="J2425" s="4">
        <v>-0.28685053981517111</v>
      </c>
      <c r="K2425" s="5">
        <v>1</v>
      </c>
      <c r="L2425" s="5">
        <v>0</v>
      </c>
      <c r="M2425" s="5">
        <v>0</v>
      </c>
    </row>
    <row r="2426" spans="1:13" hidden="1" x14ac:dyDescent="0.25">
      <c r="A2426" t="s">
        <v>2437</v>
      </c>
      <c r="B2426" s="1">
        <v>3.1198984167692279E-3</v>
      </c>
      <c r="C2426" s="2">
        <v>8.8896914658129317E-7</v>
      </c>
      <c r="D2426" s="2"/>
      <c r="E2426" s="2">
        <v>0.17152343652372881</v>
      </c>
      <c r="F2426" s="3">
        <v>105.5386985058406</v>
      </c>
      <c r="G2426" s="3">
        <v>1</v>
      </c>
      <c r="H2426" s="2">
        <v>5.4188793757450959E-5</v>
      </c>
      <c r="I2426" s="4">
        <v>-8.3266726846886741E-17</v>
      </c>
      <c r="J2426" s="4">
        <v>0.17152343652372889</v>
      </c>
      <c r="K2426" s="5">
        <v>1</v>
      </c>
      <c r="L2426" s="5">
        <v>0</v>
      </c>
      <c r="M2426" s="5">
        <v>0</v>
      </c>
    </row>
    <row r="2427" spans="1:13" hidden="1" x14ac:dyDescent="0.25">
      <c r="A2427" t="s">
        <v>2438</v>
      </c>
      <c r="B2427" s="1">
        <v>3.0811701209977052E-3</v>
      </c>
      <c r="C2427" s="2">
        <v>8.7793408856289424E-7</v>
      </c>
      <c r="D2427" s="2"/>
      <c r="E2427" s="2">
        <v>-0.74793203853037649</v>
      </c>
      <c r="F2427" s="3">
        <v>22.707974726876579</v>
      </c>
      <c r="G2427" s="3">
        <v>1</v>
      </c>
      <c r="H2427" s="2">
        <v>5.4188793757450959E-5</v>
      </c>
      <c r="I2427" s="4">
        <v>-0.70387811338865525</v>
      </c>
      <c r="J2427" s="4">
        <v>-4.4053925141721267E-2</v>
      </c>
      <c r="K2427" s="5">
        <v>1</v>
      </c>
      <c r="L2427" s="5">
        <v>0</v>
      </c>
      <c r="M2427" s="5">
        <v>0</v>
      </c>
    </row>
    <row r="2428" spans="1:13" hidden="1" x14ac:dyDescent="0.25">
      <c r="A2428" t="s">
        <v>2439</v>
      </c>
      <c r="B2428" s="1">
        <v>3.025686609787481E-3</v>
      </c>
      <c r="C2428" s="2">
        <v>8.6212487844734129E-7</v>
      </c>
      <c r="D2428" s="2"/>
      <c r="E2428" s="2">
        <v>-0.77952209300392039</v>
      </c>
      <c r="F2428" s="3">
        <v>19.862130477478249</v>
      </c>
      <c r="G2428" s="3">
        <v>1</v>
      </c>
      <c r="H2428" s="2">
        <v>5.4188793757450959E-5</v>
      </c>
      <c r="I2428" s="4">
        <v>-2.2204460492503131E-16</v>
      </c>
      <c r="J2428" s="4">
        <v>-0.77952209300392017</v>
      </c>
      <c r="K2428" s="5">
        <v>1</v>
      </c>
      <c r="L2428" s="5">
        <v>0</v>
      </c>
      <c r="M2428" s="5">
        <v>0</v>
      </c>
    </row>
    <row r="2429" spans="1:13" hidden="1" x14ac:dyDescent="0.25">
      <c r="A2429" t="s">
        <v>2440</v>
      </c>
      <c r="B2429" s="1">
        <v>3.0205160601429961E-3</v>
      </c>
      <c r="C2429" s="2">
        <v>8.6065160640742218E-7</v>
      </c>
      <c r="D2429" s="2"/>
      <c r="E2429" s="2">
        <v>0.49523273889013719</v>
      </c>
      <c r="F2429" s="3">
        <v>134.70060632678781</v>
      </c>
      <c r="G2429" s="3">
        <v>1</v>
      </c>
      <c r="H2429" s="2">
        <v>5.4188793757450959E-5</v>
      </c>
      <c r="I2429" s="4">
        <v>-5.5511151231257827E-17</v>
      </c>
      <c r="J2429" s="4">
        <v>0.49523273889013719</v>
      </c>
      <c r="K2429" s="5">
        <v>1</v>
      </c>
      <c r="L2429" s="5">
        <v>0</v>
      </c>
      <c r="M2429" s="5">
        <v>0</v>
      </c>
    </row>
    <row r="2430" spans="1:13" hidden="1" x14ac:dyDescent="0.25">
      <c r="A2430" t="s">
        <v>2441</v>
      </c>
      <c r="B2430" s="1">
        <v>2.9601934652699448E-3</v>
      </c>
      <c r="C2430" s="2">
        <v>8.434635706061167E-7</v>
      </c>
      <c r="D2430" s="2"/>
      <c r="E2430" s="2">
        <v>-0.76158892360339359</v>
      </c>
      <c r="F2430" s="3">
        <v>21.477670806942282</v>
      </c>
      <c r="G2430" s="3">
        <v>1</v>
      </c>
      <c r="H2430" s="2">
        <v>5.4188793757450959E-5</v>
      </c>
      <c r="I2430" s="4">
        <v>0</v>
      </c>
      <c r="J2430" s="4">
        <v>-0.76158892360339359</v>
      </c>
      <c r="K2430" s="5">
        <v>1</v>
      </c>
      <c r="L2430" s="5">
        <v>0</v>
      </c>
      <c r="M2430" s="5">
        <v>0</v>
      </c>
    </row>
    <row r="2431" spans="1:13" hidden="1" x14ac:dyDescent="0.25">
      <c r="A2431" t="s">
        <v>2442</v>
      </c>
      <c r="B2431" s="1">
        <v>2.9041084788478458E-3</v>
      </c>
      <c r="C2431" s="2">
        <v>8.2748297897925669E-7</v>
      </c>
      <c r="D2431" s="2"/>
      <c r="E2431" s="2">
        <v>-0.71575847393793579</v>
      </c>
      <c r="F2431" s="3">
        <v>25.60638548633646</v>
      </c>
      <c r="G2431" s="3">
        <v>1</v>
      </c>
      <c r="H2431" s="2">
        <v>5.4188793757450959E-5</v>
      </c>
      <c r="I2431" s="4">
        <v>0</v>
      </c>
      <c r="J2431" s="4">
        <v>-0.71575847393793579</v>
      </c>
      <c r="K2431" s="5">
        <v>0</v>
      </c>
      <c r="L2431" s="5">
        <v>0</v>
      </c>
      <c r="M2431" s="5">
        <v>0</v>
      </c>
    </row>
    <row r="2432" spans="1:13" hidden="1" x14ac:dyDescent="0.25">
      <c r="A2432" t="s">
        <v>2443</v>
      </c>
      <c r="B2432" s="1">
        <v>2.9034774670787349E-3</v>
      </c>
      <c r="C2432" s="2">
        <v>8.2730318146057639E-7</v>
      </c>
      <c r="D2432" s="2"/>
      <c r="E2432" s="2">
        <v>-0.74833788830280934</v>
      </c>
      <c r="F2432" s="3">
        <v>22.671413053899251</v>
      </c>
      <c r="G2432" s="3">
        <v>1</v>
      </c>
      <c r="H2432" s="2">
        <v>5.4188793757450959E-5</v>
      </c>
      <c r="I2432" s="4">
        <v>1.110223024625157E-16</v>
      </c>
      <c r="J2432" s="4">
        <v>-0.74833788830280945</v>
      </c>
      <c r="K2432" s="5">
        <v>1</v>
      </c>
      <c r="L2432" s="5">
        <v>0</v>
      </c>
      <c r="M2432" s="5">
        <v>0</v>
      </c>
    </row>
    <row r="2433" spans="1:13" hidden="1" x14ac:dyDescent="0.25">
      <c r="A2433" t="s">
        <v>2444</v>
      </c>
      <c r="B2433" s="1">
        <v>2.8946888887201928E-3</v>
      </c>
      <c r="C2433" s="2">
        <v>8.2479900537552731E-7</v>
      </c>
      <c r="D2433" s="2"/>
      <c r="E2433" s="2">
        <v>-0.75181418359149665</v>
      </c>
      <c r="F2433" s="3">
        <v>22.358245029298121</v>
      </c>
      <c r="G2433" s="3">
        <v>1</v>
      </c>
      <c r="H2433" s="2">
        <v>5.4188793757450959E-5</v>
      </c>
      <c r="I2433" s="4">
        <v>-1.110223024625157E-16</v>
      </c>
      <c r="J2433" s="4">
        <v>-0.75181418359149665</v>
      </c>
      <c r="K2433" s="5">
        <v>1</v>
      </c>
      <c r="L2433" s="5">
        <v>0</v>
      </c>
      <c r="M2433" s="5">
        <v>0</v>
      </c>
    </row>
    <row r="2434" spans="1:13" hidden="1" x14ac:dyDescent="0.25">
      <c r="A2434" t="s">
        <v>2445</v>
      </c>
      <c r="B2434" s="1">
        <v>2.8905324438144061E-3</v>
      </c>
      <c r="C2434" s="2">
        <v>8.2361468755900803E-7</v>
      </c>
      <c r="D2434" s="2"/>
      <c r="E2434" s="2">
        <v>-0.76957937726361381</v>
      </c>
      <c r="F2434" s="3">
        <v>20.757837081487128</v>
      </c>
      <c r="G2434" s="3">
        <v>1</v>
      </c>
      <c r="H2434" s="2">
        <v>5.4188793757450959E-5</v>
      </c>
      <c r="I2434" s="4">
        <v>-2.2204460492503131E-16</v>
      </c>
      <c r="J2434" s="4">
        <v>-0.76957937726361358</v>
      </c>
      <c r="K2434" s="5">
        <v>1</v>
      </c>
      <c r="L2434" s="5">
        <v>0</v>
      </c>
      <c r="M2434" s="5">
        <v>0</v>
      </c>
    </row>
    <row r="2435" spans="1:13" hidden="1" x14ac:dyDescent="0.25">
      <c r="A2435" t="s">
        <v>2446</v>
      </c>
      <c r="B2435" s="1">
        <v>2.8396204998993981E-3</v>
      </c>
      <c r="C2435" s="2">
        <v>8.0910807827658578E-7</v>
      </c>
      <c r="D2435" s="2"/>
      <c r="E2435" s="2">
        <v>-0.30272532530718532</v>
      </c>
      <c r="F2435" s="3">
        <v>62.815185231398907</v>
      </c>
      <c r="G2435" s="3">
        <v>1</v>
      </c>
      <c r="H2435" s="2">
        <v>5.4188793757450959E-5</v>
      </c>
      <c r="I2435" s="4">
        <v>0</v>
      </c>
      <c r="J2435" s="4">
        <v>-0.30272532530718532</v>
      </c>
      <c r="K2435" s="5">
        <v>1</v>
      </c>
      <c r="L2435" s="5">
        <v>0</v>
      </c>
      <c r="M2435" s="5">
        <v>0</v>
      </c>
    </row>
    <row r="2436" spans="1:13" hidden="1" x14ac:dyDescent="0.25">
      <c r="A2436" t="s">
        <v>2447</v>
      </c>
      <c r="B2436" s="1">
        <v>2.8285538930079169E-3</v>
      </c>
      <c r="C2436" s="2">
        <v>8.0595481148078476E-7</v>
      </c>
      <c r="D2436" s="2"/>
      <c r="E2436" s="2">
        <v>-0.82293773681643756</v>
      </c>
      <c r="F2436" s="3">
        <v>15.950957725900601</v>
      </c>
      <c r="G2436" s="3">
        <v>1</v>
      </c>
      <c r="H2436" s="2">
        <v>5.4188793757450959E-5</v>
      </c>
      <c r="I2436" s="4">
        <v>0</v>
      </c>
      <c r="J2436" s="4">
        <v>-0.82293773681643756</v>
      </c>
      <c r="K2436" s="5">
        <v>1</v>
      </c>
      <c r="L2436" s="5">
        <v>0</v>
      </c>
      <c r="M2436" s="5">
        <v>0</v>
      </c>
    </row>
    <row r="2437" spans="1:13" hidden="1" x14ac:dyDescent="0.25">
      <c r="A2437" t="s">
        <v>2448</v>
      </c>
      <c r="B2437" s="1">
        <v>2.8069523996785339E-3</v>
      </c>
      <c r="C2437" s="2">
        <v>7.9979978380850937E-7</v>
      </c>
      <c r="D2437" s="2"/>
      <c r="E2437" s="2">
        <v>-0.46621171272106449</v>
      </c>
      <c r="F2437" s="3">
        <v>48.087233563371854</v>
      </c>
      <c r="G2437" s="3">
        <v>1</v>
      </c>
      <c r="H2437" s="2">
        <v>5.4188793757450959E-5</v>
      </c>
      <c r="I2437" s="4">
        <v>-5.5511151231257827E-17</v>
      </c>
      <c r="J2437" s="4">
        <v>-0.46621171272106449</v>
      </c>
      <c r="K2437" s="5">
        <v>1</v>
      </c>
      <c r="L2437" s="5">
        <v>0</v>
      </c>
      <c r="M2437" s="5">
        <v>0</v>
      </c>
    </row>
    <row r="2438" spans="1:13" hidden="1" x14ac:dyDescent="0.25">
      <c r="A2438" t="s">
        <v>2449</v>
      </c>
      <c r="B2438" s="1">
        <v>2.7968846573755948E-3</v>
      </c>
      <c r="C2438" s="2">
        <v>7.9693112877957037E-7</v>
      </c>
      <c r="D2438" s="2"/>
      <c r="E2438" s="2">
        <v>-0.6826535594358949</v>
      </c>
      <c r="F2438" s="3">
        <v>28.58869850011606</v>
      </c>
      <c r="G2438" s="3">
        <v>1</v>
      </c>
      <c r="H2438" s="2">
        <v>5.4188793757450959E-5</v>
      </c>
      <c r="I2438" s="4">
        <v>0</v>
      </c>
      <c r="J2438" s="4">
        <v>-0.6826535594358949</v>
      </c>
      <c r="K2438" s="5">
        <v>1</v>
      </c>
      <c r="L2438" s="5">
        <v>0</v>
      </c>
      <c r="M2438" s="5">
        <v>0</v>
      </c>
    </row>
    <row r="2439" spans="1:13" hidden="1" x14ac:dyDescent="0.25">
      <c r="A2439" t="s">
        <v>2450</v>
      </c>
      <c r="B2439" s="1">
        <v>2.768173557139778E-3</v>
      </c>
      <c r="C2439" s="2">
        <v>7.8875032323255043E-7</v>
      </c>
      <c r="D2439" s="2"/>
      <c r="E2439" s="2">
        <v>-0.1621769551909068</v>
      </c>
      <c r="F2439" s="3">
        <v>75.476726261430855</v>
      </c>
      <c r="G2439" s="3">
        <v>1</v>
      </c>
      <c r="H2439" s="2">
        <v>5.4188793757450959E-5</v>
      </c>
      <c r="I2439" s="4">
        <v>-2.775557561562891E-17</v>
      </c>
      <c r="J2439" s="4">
        <v>-0.1621769551909068</v>
      </c>
      <c r="K2439" s="5">
        <v>1</v>
      </c>
      <c r="L2439" s="5">
        <v>0</v>
      </c>
      <c r="M2439" s="5">
        <v>0</v>
      </c>
    </row>
    <row r="2440" spans="1:13" hidden="1" x14ac:dyDescent="0.25">
      <c r="A2440" t="s">
        <v>2451</v>
      </c>
      <c r="B2440" s="1">
        <v>2.747569216367503E-3</v>
      </c>
      <c r="C2440" s="2">
        <v>7.8287941950897113E-7</v>
      </c>
      <c r="D2440" s="2"/>
      <c r="E2440" s="2">
        <v>-0.89107773243711275</v>
      </c>
      <c r="F2440" s="3">
        <v>9.8124493275207509</v>
      </c>
      <c r="G2440" s="3">
        <v>1</v>
      </c>
      <c r="H2440" s="2">
        <v>5.4188793757450959E-5</v>
      </c>
      <c r="I2440" s="4">
        <v>-0.86901877552535078</v>
      </c>
      <c r="J2440" s="4">
        <v>-2.2058956911761969E-2</v>
      </c>
      <c r="K2440" s="5">
        <v>1</v>
      </c>
      <c r="L2440" s="5">
        <v>0</v>
      </c>
      <c r="M2440" s="5">
        <v>0</v>
      </c>
    </row>
    <row r="2441" spans="1:13" hidden="1" x14ac:dyDescent="0.25">
      <c r="A2441" t="s">
        <v>2452</v>
      </c>
      <c r="B2441" s="1">
        <v>2.7326462009484099E-3</v>
      </c>
      <c r="C2441" s="2">
        <v>7.7862732584777163E-7</v>
      </c>
      <c r="D2441" s="2"/>
      <c r="E2441" s="2">
        <v>-0.66613511920079616</v>
      </c>
      <c r="F2441" s="3">
        <v>30.076790525770999</v>
      </c>
      <c r="G2441" s="3">
        <v>1</v>
      </c>
      <c r="H2441" s="2">
        <v>5.4188793757450959E-5</v>
      </c>
      <c r="I2441" s="4">
        <v>0</v>
      </c>
      <c r="J2441" s="4">
        <v>-0.66613511920079616</v>
      </c>
      <c r="K2441" s="5">
        <v>1</v>
      </c>
      <c r="L2441" s="5">
        <v>0</v>
      </c>
      <c r="M2441" s="5">
        <v>0</v>
      </c>
    </row>
    <row r="2442" spans="1:13" hidden="1" x14ac:dyDescent="0.25">
      <c r="A2442" t="s">
        <v>2453</v>
      </c>
      <c r="B2442" s="1">
        <v>2.7286211738989439E-3</v>
      </c>
      <c r="C2442" s="2">
        <v>7.7748045361568273E-7</v>
      </c>
      <c r="D2442" s="2"/>
      <c r="E2442" s="2">
        <v>-0.78351034226130944</v>
      </c>
      <c r="F2442" s="3">
        <v>19.502842201359151</v>
      </c>
      <c r="G2442" s="3">
        <v>1</v>
      </c>
      <c r="H2442" s="2">
        <v>5.4188793757450959E-5</v>
      </c>
      <c r="I2442" s="4">
        <v>0</v>
      </c>
      <c r="J2442" s="4">
        <v>-0.78351034226130944</v>
      </c>
      <c r="K2442" s="5">
        <v>1</v>
      </c>
      <c r="L2442" s="5">
        <v>0</v>
      </c>
      <c r="M2442" s="5">
        <v>0</v>
      </c>
    </row>
    <row r="2443" spans="1:13" hidden="1" x14ac:dyDescent="0.25">
      <c r="A2443" t="s">
        <v>2454</v>
      </c>
      <c r="B2443" s="1">
        <v>2.695893883411779E-3</v>
      </c>
      <c r="C2443" s="2">
        <v>7.6815529375217017E-7</v>
      </c>
      <c r="D2443" s="2"/>
      <c r="E2443" s="2">
        <v>-0.65757690351708598</v>
      </c>
      <c r="F2443" s="3">
        <v>30.847772067097381</v>
      </c>
      <c r="G2443" s="3">
        <v>1</v>
      </c>
      <c r="H2443" s="2">
        <v>5.4188793757450959E-5</v>
      </c>
      <c r="I2443" s="4">
        <v>0</v>
      </c>
      <c r="J2443" s="4">
        <v>-0.65757690351708598</v>
      </c>
      <c r="K2443" s="5">
        <v>1</v>
      </c>
      <c r="L2443" s="5">
        <v>0</v>
      </c>
      <c r="M2443" s="5">
        <v>0</v>
      </c>
    </row>
    <row r="2444" spans="1:13" hidden="1" x14ac:dyDescent="0.25">
      <c r="A2444" t="s">
        <v>2455</v>
      </c>
      <c r="B2444" s="1">
        <v>2.6908121799758128E-3</v>
      </c>
      <c r="C2444" s="2">
        <v>7.6670733713205428E-7</v>
      </c>
      <c r="D2444" s="2"/>
      <c r="E2444" s="2">
        <v>-0.83925635406670585</v>
      </c>
      <c r="F2444" s="3">
        <v>14.480867096626721</v>
      </c>
      <c r="G2444" s="3">
        <v>1</v>
      </c>
      <c r="H2444" s="2">
        <v>5.4188793757450959E-5</v>
      </c>
      <c r="I2444" s="4">
        <v>0</v>
      </c>
      <c r="J2444" s="4">
        <v>-0.83925635406670585</v>
      </c>
      <c r="K2444" s="5">
        <v>1</v>
      </c>
      <c r="L2444" s="5">
        <v>0</v>
      </c>
      <c r="M2444" s="5">
        <v>0</v>
      </c>
    </row>
    <row r="2445" spans="1:13" hidden="1" x14ac:dyDescent="0.25">
      <c r="A2445" t="s">
        <v>2456</v>
      </c>
      <c r="B2445" s="1">
        <v>2.6905234977555128E-3</v>
      </c>
      <c r="C2445" s="2">
        <v>7.6662508138115109E-7</v>
      </c>
      <c r="D2445" s="2"/>
      <c r="E2445" s="2">
        <v>0.35924259312764389</v>
      </c>
      <c r="F2445" s="3">
        <v>122.4497007572155</v>
      </c>
      <c r="G2445" s="3">
        <v>1</v>
      </c>
      <c r="H2445" s="2">
        <v>5.4188793757450959E-5</v>
      </c>
      <c r="I2445" s="4">
        <v>1.110223024625157E-16</v>
      </c>
      <c r="J2445" s="4">
        <v>0.35924259312764378</v>
      </c>
      <c r="K2445" s="5">
        <v>1</v>
      </c>
      <c r="L2445" s="5">
        <v>0</v>
      </c>
      <c r="M2445" s="5">
        <v>0</v>
      </c>
    </row>
    <row r="2446" spans="1:13" hidden="1" x14ac:dyDescent="0.25">
      <c r="A2446" t="s">
        <v>2457</v>
      </c>
      <c r="B2446" s="1">
        <v>2.6905234977555128E-3</v>
      </c>
      <c r="C2446" s="2">
        <v>7.6662508138115119E-7</v>
      </c>
      <c r="D2446" s="2"/>
      <c r="E2446" s="2">
        <v>-0.40172268173342779</v>
      </c>
      <c r="F2446" s="3">
        <v>53.896838549622707</v>
      </c>
      <c r="G2446" s="3">
        <v>1</v>
      </c>
      <c r="H2446" s="2">
        <v>5.4188793757450959E-5</v>
      </c>
      <c r="I2446" s="4">
        <v>-5.5511151231257827E-17</v>
      </c>
      <c r="J2446" s="4">
        <v>-0.40172268173342779</v>
      </c>
      <c r="K2446" s="5">
        <v>1</v>
      </c>
      <c r="L2446" s="5">
        <v>0</v>
      </c>
      <c r="M2446" s="5">
        <v>0</v>
      </c>
    </row>
    <row r="2447" spans="1:13" hidden="1" x14ac:dyDescent="0.25">
      <c r="A2447" t="s">
        <v>2458</v>
      </c>
      <c r="B2447" s="1">
        <v>2.6673391008398069E-3</v>
      </c>
      <c r="C2447" s="2">
        <v>7.600190286233502E-7</v>
      </c>
      <c r="D2447" s="2"/>
      <c r="E2447" s="2">
        <v>-0.74978615714853147</v>
      </c>
      <c r="F2447" s="3">
        <v>22.540943270454189</v>
      </c>
      <c r="G2447" s="3">
        <v>1</v>
      </c>
      <c r="H2447" s="2">
        <v>5.4188793757450959E-5</v>
      </c>
      <c r="I2447" s="4">
        <v>0</v>
      </c>
      <c r="J2447" s="4">
        <v>-0.74978615714853147</v>
      </c>
      <c r="K2447" s="5">
        <v>1</v>
      </c>
      <c r="L2447" s="5">
        <v>0</v>
      </c>
      <c r="M2447" s="5">
        <v>0</v>
      </c>
    </row>
    <row r="2448" spans="1:13" hidden="1" x14ac:dyDescent="0.25">
      <c r="A2448" t="s">
        <v>2459</v>
      </c>
      <c r="B2448" s="1">
        <v>2.6579643319548951E-3</v>
      </c>
      <c r="C2448" s="2">
        <v>7.5734782617322437E-7</v>
      </c>
      <c r="D2448" s="2"/>
      <c r="E2448" s="2">
        <v>0.73889973811536258</v>
      </c>
      <c r="F2448" s="3">
        <v>156.6517659581838</v>
      </c>
      <c r="G2448" s="3">
        <v>1</v>
      </c>
      <c r="H2448" s="2">
        <v>5.4188793757450959E-5</v>
      </c>
      <c r="I2448" s="4">
        <v>-2.2204460492503131E-16</v>
      </c>
      <c r="J2448" s="4">
        <v>0.7388997381153628</v>
      </c>
      <c r="K2448" s="5">
        <v>1</v>
      </c>
      <c r="L2448" s="5">
        <v>0</v>
      </c>
      <c r="M2448" s="5">
        <v>0</v>
      </c>
    </row>
    <row r="2449" spans="1:13" hidden="1" x14ac:dyDescent="0.25">
      <c r="A2449" t="s">
        <v>2460</v>
      </c>
      <c r="B2449" s="1">
        <v>2.607827513198878E-3</v>
      </c>
      <c r="C2449" s="2">
        <v>7.4306207739939372E-7</v>
      </c>
      <c r="D2449" s="2"/>
      <c r="E2449" s="2">
        <v>-0.82439574680750183</v>
      </c>
      <c r="F2449" s="3">
        <v>15.81961039466664</v>
      </c>
      <c r="G2449" s="3">
        <v>1</v>
      </c>
      <c r="H2449" s="2">
        <v>5.4188793757450959E-5</v>
      </c>
      <c r="I2449" s="4">
        <v>0</v>
      </c>
      <c r="J2449" s="4">
        <v>-0.82439574680750183</v>
      </c>
      <c r="K2449" s="5">
        <v>1</v>
      </c>
      <c r="L2449" s="5">
        <v>0</v>
      </c>
      <c r="M2449" s="5">
        <v>0</v>
      </c>
    </row>
    <row r="2450" spans="1:13" hidden="1" x14ac:dyDescent="0.25">
      <c r="A2450" t="s">
        <v>2461</v>
      </c>
      <c r="B2450" s="1">
        <v>2.5981500745626321E-3</v>
      </c>
      <c r="C2450" s="2">
        <v>7.4030463365721414E-7</v>
      </c>
      <c r="D2450" s="2"/>
      <c r="E2450" s="2">
        <v>4.0818905085067358E-2</v>
      </c>
      <c r="F2450" s="3">
        <v>93.763956570003373</v>
      </c>
      <c r="G2450" s="3">
        <v>1</v>
      </c>
      <c r="H2450" s="2">
        <v>5.4188793757450959E-5</v>
      </c>
      <c r="I2450" s="4">
        <v>6.2450045135165055E-17</v>
      </c>
      <c r="J2450" s="4">
        <v>4.0818905085067303E-2</v>
      </c>
      <c r="K2450" s="5">
        <v>1</v>
      </c>
      <c r="L2450" s="5">
        <v>0</v>
      </c>
      <c r="M2450" s="5">
        <v>0</v>
      </c>
    </row>
    <row r="2451" spans="1:13" hidden="1" x14ac:dyDescent="0.25">
      <c r="A2451" t="s">
        <v>2462</v>
      </c>
      <c r="B2451" s="1">
        <v>2.5345548588847681E-3</v>
      </c>
      <c r="C2451" s="2">
        <v>7.2218411271206525E-7</v>
      </c>
      <c r="D2451" s="2"/>
      <c r="E2451" s="2">
        <v>-0.76945508198148482</v>
      </c>
      <c r="F2451" s="3">
        <v>20.76903443520396</v>
      </c>
      <c r="G2451" s="3">
        <v>1</v>
      </c>
      <c r="H2451" s="2">
        <v>5.4188793757450959E-5</v>
      </c>
      <c r="I2451" s="4">
        <v>-2.2204460492503131E-16</v>
      </c>
      <c r="J2451" s="4">
        <v>-0.76945508198148449</v>
      </c>
      <c r="K2451" s="5">
        <v>1</v>
      </c>
      <c r="L2451" s="5">
        <v>0</v>
      </c>
      <c r="M2451" s="5">
        <v>0</v>
      </c>
    </row>
    <row r="2452" spans="1:13" hidden="1" x14ac:dyDescent="0.25">
      <c r="A2452" t="s">
        <v>2463</v>
      </c>
      <c r="B2452" s="1">
        <v>2.4522447189217192E-3</v>
      </c>
      <c r="C2452" s="2">
        <v>6.9873104946979778E-7</v>
      </c>
      <c r="D2452" s="2"/>
      <c r="E2452" s="2">
        <v>-0.21588168366372501</v>
      </c>
      <c r="F2452" s="3">
        <v>70.638643667497192</v>
      </c>
      <c r="G2452" s="3">
        <v>1</v>
      </c>
      <c r="H2452" s="2">
        <v>5.4188793757450959E-5</v>
      </c>
      <c r="I2452" s="4">
        <v>5.5511151231257827E-17</v>
      </c>
      <c r="J2452" s="4">
        <v>-0.21588168366372501</v>
      </c>
      <c r="K2452" s="5">
        <v>1</v>
      </c>
      <c r="L2452" s="5">
        <v>0</v>
      </c>
      <c r="M2452" s="5">
        <v>0</v>
      </c>
    </row>
    <row r="2453" spans="1:13" hidden="1" x14ac:dyDescent="0.25">
      <c r="A2453" t="s">
        <v>2464</v>
      </c>
      <c r="B2453" s="1">
        <v>2.4454898114431339E-3</v>
      </c>
      <c r="C2453" s="2">
        <v>6.968063379778474E-7</v>
      </c>
      <c r="D2453" s="2"/>
      <c r="E2453" s="2">
        <v>-0.76357437371127324</v>
      </c>
      <c r="F2453" s="3">
        <v>21.298808127971299</v>
      </c>
      <c r="G2453" s="3">
        <v>1</v>
      </c>
      <c r="H2453" s="2">
        <v>5.4188793757450959E-5</v>
      </c>
      <c r="I2453" s="4">
        <v>0</v>
      </c>
      <c r="J2453" s="4">
        <v>-0.76357437371127324</v>
      </c>
      <c r="K2453" s="5">
        <v>1</v>
      </c>
      <c r="L2453" s="5">
        <v>0</v>
      </c>
      <c r="M2453" s="5">
        <v>0</v>
      </c>
    </row>
    <row r="2454" spans="1:13" hidden="1" x14ac:dyDescent="0.25">
      <c r="A2454" t="s">
        <v>2465</v>
      </c>
      <c r="B2454" s="1">
        <v>2.4351569501845148E-3</v>
      </c>
      <c r="C2454" s="2">
        <v>6.9386214120354046E-7</v>
      </c>
      <c r="D2454" s="2"/>
      <c r="E2454" s="2">
        <v>-0.8978763540597765</v>
      </c>
      <c r="F2454" s="3">
        <v>9.1999838357345212</v>
      </c>
      <c r="G2454" s="3">
        <v>1</v>
      </c>
      <c r="H2454" s="2">
        <v>5.4188793757450959E-5</v>
      </c>
      <c r="I2454" s="4">
        <v>-1.110223024625157E-16</v>
      </c>
      <c r="J2454" s="4">
        <v>-0.89787635405977639</v>
      </c>
      <c r="K2454" s="5">
        <v>1</v>
      </c>
      <c r="L2454" s="5">
        <v>0</v>
      </c>
      <c r="M2454" s="5">
        <v>0</v>
      </c>
    </row>
    <row r="2455" spans="1:13" hidden="1" x14ac:dyDescent="0.25">
      <c r="A2455" t="s">
        <v>2466</v>
      </c>
      <c r="B2455" s="1">
        <v>2.3614261431430259E-3</v>
      </c>
      <c r="C2455" s="2">
        <v>6.7285363263796477E-7</v>
      </c>
      <c r="D2455" s="2"/>
      <c r="E2455" s="2">
        <v>0.12839737263062309</v>
      </c>
      <c r="F2455" s="3">
        <v>101.6536130580721</v>
      </c>
      <c r="G2455" s="3">
        <v>1</v>
      </c>
      <c r="H2455" s="2">
        <v>5.4188793757450959E-5</v>
      </c>
      <c r="I2455" s="4">
        <v>2.775557561562891E-17</v>
      </c>
      <c r="J2455" s="4">
        <v>0.12839737263062309</v>
      </c>
      <c r="K2455" s="5">
        <v>1</v>
      </c>
      <c r="L2455" s="5">
        <v>0</v>
      </c>
      <c r="M2455" s="5">
        <v>0</v>
      </c>
    </row>
    <row r="2456" spans="1:13" hidden="1" x14ac:dyDescent="0.25">
      <c r="A2456" t="s">
        <v>2467</v>
      </c>
      <c r="B2456" s="1">
        <v>2.3423470015824501E-3</v>
      </c>
      <c r="C2456" s="2">
        <v>6.6741731198744419E-7</v>
      </c>
      <c r="D2456" s="2"/>
      <c r="E2456" s="2">
        <v>-0.91664499172850211</v>
      </c>
      <c r="F2456" s="3">
        <v>7.5091789140995777</v>
      </c>
      <c r="G2456" s="3">
        <v>1</v>
      </c>
      <c r="H2456" s="2">
        <v>5.4188793757450959E-5</v>
      </c>
      <c r="I2456" s="4">
        <v>0</v>
      </c>
      <c r="J2456" s="4">
        <v>-0.91664499172850211</v>
      </c>
      <c r="K2456" s="5">
        <v>1</v>
      </c>
      <c r="L2456" s="5">
        <v>0</v>
      </c>
      <c r="M2456" s="5">
        <v>0</v>
      </c>
    </row>
    <row r="2457" spans="1:13" hidden="1" x14ac:dyDescent="0.25">
      <c r="A2457" t="s">
        <v>2468</v>
      </c>
      <c r="B2457" s="1">
        <v>2.3305090091337499E-3</v>
      </c>
      <c r="C2457" s="2">
        <v>6.6404425022755055E-7</v>
      </c>
      <c r="D2457" s="2"/>
      <c r="E2457" s="2">
        <v>-0.453186394120773</v>
      </c>
      <c r="F2457" s="3">
        <v>49.260641734170171</v>
      </c>
      <c r="G2457" s="3">
        <v>1</v>
      </c>
      <c r="H2457" s="2">
        <v>5.4188793757450959E-5</v>
      </c>
      <c r="I2457" s="4">
        <v>5.5511151231257827E-17</v>
      </c>
      <c r="J2457" s="4">
        <v>-0.45318639412077311</v>
      </c>
      <c r="K2457" s="5">
        <v>1</v>
      </c>
      <c r="L2457" s="5">
        <v>0</v>
      </c>
      <c r="M2457" s="5">
        <v>0</v>
      </c>
    </row>
    <row r="2458" spans="1:13" hidden="1" x14ac:dyDescent="0.25">
      <c r="A2458" t="s">
        <v>2469</v>
      </c>
      <c r="B2458" s="1">
        <v>2.2842340632348852E-3</v>
      </c>
      <c r="C2458" s="2">
        <v>6.5085888529941675E-7</v>
      </c>
      <c r="D2458" s="2"/>
      <c r="E2458" s="2">
        <v>-0.965675678263749</v>
      </c>
      <c r="F2458" s="3">
        <v>3.092165406343784</v>
      </c>
      <c r="G2458" s="3">
        <v>1</v>
      </c>
      <c r="H2458" s="2">
        <v>5.4188793757450959E-5</v>
      </c>
      <c r="I2458" s="4">
        <v>0</v>
      </c>
      <c r="J2458" s="4">
        <v>-0.965675678263749</v>
      </c>
      <c r="K2458" s="5">
        <v>1</v>
      </c>
      <c r="L2458" s="5">
        <v>0</v>
      </c>
      <c r="M2458" s="5">
        <v>0</v>
      </c>
    </row>
    <row r="2459" spans="1:13" hidden="1" x14ac:dyDescent="0.25">
      <c r="A2459" t="s">
        <v>2470</v>
      </c>
      <c r="B2459" s="1">
        <v>2.266955610371494E-3</v>
      </c>
      <c r="C2459" s="2">
        <v>6.4593564439719561E-7</v>
      </c>
      <c r="D2459" s="2"/>
      <c r="E2459" s="2">
        <v>-0.82569920361327365</v>
      </c>
      <c r="F2459" s="3">
        <v>15.702186252262839</v>
      </c>
      <c r="G2459" s="3">
        <v>1</v>
      </c>
      <c r="H2459" s="2">
        <v>5.4188793757450959E-5</v>
      </c>
      <c r="I2459" s="4">
        <v>0</v>
      </c>
      <c r="J2459" s="4">
        <v>-0.82569920361327365</v>
      </c>
      <c r="K2459" s="5">
        <v>1</v>
      </c>
      <c r="L2459" s="5">
        <v>0</v>
      </c>
      <c r="M2459" s="5">
        <v>0</v>
      </c>
    </row>
    <row r="2460" spans="1:13" hidden="1" x14ac:dyDescent="0.25">
      <c r="A2460" t="s">
        <v>2471</v>
      </c>
      <c r="B2460" s="1">
        <v>2.2199983170966102E-3</v>
      </c>
      <c r="C2460" s="2">
        <v>6.3255585462456307E-7</v>
      </c>
      <c r="D2460" s="2"/>
      <c r="E2460" s="2">
        <v>-0.81406117320696381</v>
      </c>
      <c r="F2460" s="3">
        <v>16.750618186239318</v>
      </c>
      <c r="G2460" s="3">
        <v>1</v>
      </c>
      <c r="H2460" s="2">
        <v>5.4188793757450959E-5</v>
      </c>
      <c r="I2460" s="4">
        <v>0</v>
      </c>
      <c r="J2460" s="4">
        <v>-0.81406117320696381</v>
      </c>
      <c r="K2460" s="5">
        <v>1</v>
      </c>
      <c r="L2460" s="5">
        <v>0</v>
      </c>
      <c r="M2460" s="5">
        <v>0</v>
      </c>
    </row>
    <row r="2461" spans="1:13" hidden="1" x14ac:dyDescent="0.25">
      <c r="A2461" t="s">
        <v>2472</v>
      </c>
      <c r="B2461" s="1">
        <v>2.1695013002529301E-3</v>
      </c>
      <c r="C2461" s="2">
        <v>6.1816747270573348E-7</v>
      </c>
      <c r="D2461" s="2"/>
      <c r="E2461" s="2">
        <v>-0.63966845937210171</v>
      </c>
      <c r="F2461" s="3">
        <v>32.461084979500122</v>
      </c>
      <c r="G2461" s="3">
        <v>1</v>
      </c>
      <c r="H2461" s="2">
        <v>5.4188793757450959E-5</v>
      </c>
      <c r="I2461" s="4">
        <v>1.110223024625157E-16</v>
      </c>
      <c r="J2461" s="4">
        <v>-0.63966845937210193</v>
      </c>
      <c r="K2461" s="5">
        <v>1</v>
      </c>
      <c r="L2461" s="5">
        <v>0</v>
      </c>
      <c r="M2461" s="5">
        <v>0</v>
      </c>
    </row>
    <row r="2462" spans="1:13" hidden="1" x14ac:dyDescent="0.25">
      <c r="A2462" t="s">
        <v>2473</v>
      </c>
      <c r="B2462" s="1">
        <v>2.1314677862172742E-3</v>
      </c>
      <c r="C2462" s="2">
        <v>6.0733038251970838E-7</v>
      </c>
      <c r="D2462" s="2"/>
      <c r="E2462" s="2">
        <v>-0.73349261764867735</v>
      </c>
      <c r="F2462" s="3">
        <v>24.008774727561601</v>
      </c>
      <c r="G2462" s="3">
        <v>1</v>
      </c>
      <c r="H2462" s="2">
        <v>5.4188793757450959E-5</v>
      </c>
      <c r="I2462" s="4">
        <v>-1.110223024625157E-16</v>
      </c>
      <c r="J2462" s="4">
        <v>-0.73349261764867724</v>
      </c>
      <c r="K2462" s="5">
        <v>1</v>
      </c>
      <c r="L2462" s="5">
        <v>0</v>
      </c>
      <c r="M2462" s="5">
        <v>0</v>
      </c>
    </row>
    <row r="2463" spans="1:13" hidden="1" x14ac:dyDescent="0.25">
      <c r="A2463" t="s">
        <v>2474</v>
      </c>
      <c r="B2463" s="1">
        <v>2.0633038589997952E-3</v>
      </c>
      <c r="C2463" s="2">
        <v>5.8790807444696645E-7</v>
      </c>
      <c r="D2463" s="2"/>
      <c r="E2463" s="2">
        <v>-0.62477328065760307</v>
      </c>
      <c r="F2463" s="3">
        <v>33.802942706396962</v>
      </c>
      <c r="G2463" s="3">
        <v>1</v>
      </c>
      <c r="H2463" s="2">
        <v>5.4188793757450959E-5</v>
      </c>
      <c r="I2463" s="4">
        <v>0</v>
      </c>
      <c r="J2463" s="4">
        <v>-0.62477328065760307</v>
      </c>
      <c r="K2463" s="5">
        <v>1</v>
      </c>
      <c r="L2463" s="5">
        <v>0</v>
      </c>
      <c r="M2463" s="5">
        <v>0</v>
      </c>
    </row>
    <row r="2464" spans="1:13" hidden="1" x14ac:dyDescent="0.25">
      <c r="A2464" t="s">
        <v>2475</v>
      </c>
      <c r="B2464" s="1">
        <v>2.048879410684878E-3</v>
      </c>
      <c r="C2464" s="2">
        <v>5.8379804014601113E-7</v>
      </c>
      <c r="D2464" s="2"/>
      <c r="E2464" s="2">
        <v>-0.3436905944312163</v>
      </c>
      <c r="F2464" s="3">
        <v>59.12475868720562</v>
      </c>
      <c r="G2464" s="3">
        <v>1</v>
      </c>
      <c r="H2464" s="2">
        <v>5.4188793757450959E-5</v>
      </c>
      <c r="I2464" s="4">
        <v>0</v>
      </c>
      <c r="J2464" s="4">
        <v>-0.3436905944312163</v>
      </c>
      <c r="K2464" s="5">
        <v>1</v>
      </c>
      <c r="L2464" s="5">
        <v>0</v>
      </c>
      <c r="M2464" s="5">
        <v>0</v>
      </c>
    </row>
    <row r="2465" spans="1:13" hidden="1" x14ac:dyDescent="0.25">
      <c r="A2465" t="s">
        <v>2476</v>
      </c>
      <c r="B2465" s="1">
        <v>1.8885328112034081E-3</v>
      </c>
      <c r="C2465" s="2">
        <v>5.3810963601974359E-7</v>
      </c>
      <c r="D2465" s="2"/>
      <c r="E2465" s="2">
        <v>-0.89356795420257407</v>
      </c>
      <c r="F2465" s="3">
        <v>9.5881134278501747</v>
      </c>
      <c r="G2465" s="3">
        <v>1</v>
      </c>
      <c r="H2465" s="2">
        <v>5.4188793757450959E-5</v>
      </c>
      <c r="I2465" s="4">
        <v>0</v>
      </c>
      <c r="J2465" s="4">
        <v>-0.89356795420257407</v>
      </c>
      <c r="K2465" s="5">
        <v>1</v>
      </c>
      <c r="L2465" s="5">
        <v>0</v>
      </c>
      <c r="M2465" s="5">
        <v>0</v>
      </c>
    </row>
    <row r="2466" spans="1:13" hidden="1" x14ac:dyDescent="0.25">
      <c r="A2466" t="s">
        <v>2477</v>
      </c>
      <c r="B2466" s="1">
        <v>1.835187123827773E-3</v>
      </c>
      <c r="C2466" s="2">
        <v>5.2290956734916856E-7</v>
      </c>
      <c r="D2466" s="2"/>
      <c r="E2466" s="2">
        <v>8.3038520720814191E-2</v>
      </c>
      <c r="F2466" s="3">
        <v>97.567383071512623</v>
      </c>
      <c r="G2466" s="3">
        <v>1</v>
      </c>
      <c r="H2466" s="2">
        <v>5.4188793757450959E-5</v>
      </c>
      <c r="I2466" s="4">
        <v>2.775557561562891E-17</v>
      </c>
      <c r="J2466" s="4">
        <v>8.3038520720814163E-2</v>
      </c>
      <c r="K2466" s="5">
        <v>1</v>
      </c>
      <c r="L2466" s="5">
        <v>0</v>
      </c>
      <c r="M2466" s="5">
        <v>0</v>
      </c>
    </row>
    <row r="2467" spans="1:13" hidden="1" x14ac:dyDescent="0.25">
      <c r="A2467" t="s">
        <v>2478</v>
      </c>
      <c r="B2467" s="1">
        <v>1.7525198487213761E-3</v>
      </c>
      <c r="C2467" s="2">
        <v>4.9935474370281562E-7</v>
      </c>
      <c r="D2467" s="2"/>
      <c r="E2467" s="2">
        <v>-0.58880154760248971</v>
      </c>
      <c r="F2467" s="3">
        <v>37.043517987503847</v>
      </c>
      <c r="G2467" s="3">
        <v>1</v>
      </c>
      <c r="H2467" s="2">
        <v>5.4188793757450959E-5</v>
      </c>
      <c r="I2467" s="4">
        <v>0</v>
      </c>
      <c r="J2467" s="4">
        <v>-0.58880154760248971</v>
      </c>
      <c r="K2467" s="5">
        <v>1</v>
      </c>
      <c r="L2467" s="5">
        <v>0</v>
      </c>
      <c r="M2467" s="5">
        <v>0</v>
      </c>
    </row>
    <row r="2468" spans="1:13" hidden="1" x14ac:dyDescent="0.25">
      <c r="A2468" t="s">
        <v>2479</v>
      </c>
      <c r="B2468" s="1">
        <v>1.696968130916166E-3</v>
      </c>
      <c r="C2468" s="2">
        <v>4.8352609912163703E-7</v>
      </c>
      <c r="D2468" s="2"/>
      <c r="E2468" s="2">
        <v>-0.95237055291723849</v>
      </c>
      <c r="F2468" s="3">
        <v>4.2907804478785083</v>
      </c>
      <c r="G2468" s="3">
        <v>1</v>
      </c>
      <c r="H2468" s="2">
        <v>5.4188793757450959E-5</v>
      </c>
      <c r="I2468" s="4">
        <v>0</v>
      </c>
      <c r="J2468" s="4">
        <v>-0.95237055291723849</v>
      </c>
      <c r="K2468" s="5">
        <v>1</v>
      </c>
      <c r="L2468" s="5">
        <v>0</v>
      </c>
      <c r="M2468" s="5">
        <v>0</v>
      </c>
    </row>
    <row r="2469" spans="1:13" hidden="1" x14ac:dyDescent="0.25">
      <c r="A2469" t="s">
        <v>2480</v>
      </c>
      <c r="B2469" s="1">
        <v>1.6900232759136629E-3</v>
      </c>
      <c r="C2469" s="2">
        <v>4.8154726487770051E-7</v>
      </c>
      <c r="D2469" s="2"/>
      <c r="E2469" s="2">
        <v>-0.36373478780937413</v>
      </c>
      <c r="F2469" s="3">
        <v>57.319043141294458</v>
      </c>
      <c r="G2469" s="3">
        <v>1</v>
      </c>
      <c r="H2469" s="2">
        <v>5.4188793757450959E-5</v>
      </c>
      <c r="I2469" s="4">
        <v>-5.5511151231257827E-17</v>
      </c>
      <c r="J2469" s="4">
        <v>-0.36373478780937402</v>
      </c>
      <c r="K2469" s="5">
        <v>1</v>
      </c>
      <c r="L2469" s="5">
        <v>0</v>
      </c>
      <c r="M2469" s="5">
        <v>0</v>
      </c>
    </row>
    <row r="2470" spans="1:13" hidden="1" x14ac:dyDescent="0.25">
      <c r="A2470" t="s">
        <v>2481</v>
      </c>
      <c r="B2470" s="1">
        <v>1.676829211590507E-3</v>
      </c>
      <c r="C2470" s="2">
        <v>4.7778781039089696E-7</v>
      </c>
      <c r="D2470" s="2"/>
      <c r="E2470" s="2">
        <v>-0.97714117857860705</v>
      </c>
      <c r="F2470" s="3">
        <v>2.0592761416278869</v>
      </c>
      <c r="G2470" s="3">
        <v>1</v>
      </c>
      <c r="H2470" s="2">
        <v>5.4188793757450959E-5</v>
      </c>
      <c r="I2470" s="4">
        <v>-0.43368568685138559</v>
      </c>
      <c r="J2470" s="4">
        <v>-0.54345549172722152</v>
      </c>
      <c r="K2470" s="5">
        <v>1</v>
      </c>
      <c r="L2470" s="5">
        <v>0</v>
      </c>
      <c r="M2470" s="5">
        <v>0</v>
      </c>
    </row>
    <row r="2471" spans="1:13" hidden="1" x14ac:dyDescent="0.25">
      <c r="A2471" t="s">
        <v>2482</v>
      </c>
      <c r="B2471" s="1">
        <v>1.640349246370921E-3</v>
      </c>
      <c r="C2471" s="2">
        <v>4.6739338108055017E-7</v>
      </c>
      <c r="D2471" s="2"/>
      <c r="E2471" s="2">
        <v>-0.85090922470141273</v>
      </c>
      <c r="F2471" s="3">
        <v>13.431098255216961</v>
      </c>
      <c r="G2471" s="3">
        <v>1</v>
      </c>
      <c r="H2471" s="2">
        <v>5.4188793757450959E-5</v>
      </c>
      <c r="I2471" s="4">
        <v>0</v>
      </c>
      <c r="J2471" s="4">
        <v>-0.85090922470141273</v>
      </c>
      <c r="K2471" s="5">
        <v>1</v>
      </c>
      <c r="L2471" s="5">
        <v>0</v>
      </c>
      <c r="M2471" s="5">
        <v>0</v>
      </c>
    </row>
    <row r="2472" spans="1:13" hidden="1" x14ac:dyDescent="0.25">
      <c r="A2472" t="s">
        <v>2483</v>
      </c>
      <c r="B2472" s="1">
        <v>1.635599219110175E-3</v>
      </c>
      <c r="C2472" s="2">
        <v>4.6603993070616392E-7</v>
      </c>
      <c r="D2472" s="2"/>
      <c r="E2472" s="2">
        <v>-0.87080930393281042</v>
      </c>
      <c r="F2472" s="3">
        <v>11.638365479441809</v>
      </c>
      <c r="G2472" s="3">
        <v>1</v>
      </c>
      <c r="H2472" s="2">
        <v>5.4188793757450959E-5</v>
      </c>
      <c r="I2472" s="4">
        <v>-0.70822931541575829</v>
      </c>
      <c r="J2472" s="4">
        <v>-0.16257998851705219</v>
      </c>
      <c r="K2472" s="5">
        <v>1</v>
      </c>
      <c r="L2472" s="5">
        <v>0</v>
      </c>
      <c r="M2472" s="5">
        <v>0</v>
      </c>
    </row>
    <row r="2473" spans="1:13" hidden="1" x14ac:dyDescent="0.25">
      <c r="A2473" t="s">
        <v>2484</v>
      </c>
      <c r="B2473" s="1">
        <v>1.5866747116130881E-3</v>
      </c>
      <c r="C2473" s="2">
        <v>4.5209961218719328E-7</v>
      </c>
      <c r="D2473" s="2"/>
      <c r="E2473" s="2">
        <v>-0.68647607632967222</v>
      </c>
      <c r="F2473" s="3">
        <v>28.24434050828371</v>
      </c>
      <c r="G2473" s="3">
        <v>1</v>
      </c>
      <c r="H2473" s="2">
        <v>5.4188793757450959E-5</v>
      </c>
      <c r="I2473" s="4">
        <v>0</v>
      </c>
      <c r="J2473" s="4">
        <v>-0.68647607632967222</v>
      </c>
      <c r="K2473" s="5">
        <v>1</v>
      </c>
      <c r="L2473" s="5">
        <v>0</v>
      </c>
      <c r="M2473" s="5">
        <v>0</v>
      </c>
    </row>
    <row r="2474" spans="1:13" hidden="1" x14ac:dyDescent="0.25">
      <c r="A2474" t="s">
        <v>2485</v>
      </c>
      <c r="B2474" s="1">
        <v>1.5719148212716659E-3</v>
      </c>
      <c r="C2474" s="2">
        <v>4.4789399861659681E-7</v>
      </c>
      <c r="D2474" s="2"/>
      <c r="E2474" s="2">
        <v>1.3015740495909871</v>
      </c>
      <c r="F2474" s="3">
        <v>207.34124656475001</v>
      </c>
      <c r="G2474" s="3">
        <v>1</v>
      </c>
      <c r="H2474" s="2">
        <v>5.4188793757450959E-5</v>
      </c>
      <c r="I2474" s="4">
        <v>-2.2204460492503131E-16</v>
      </c>
      <c r="J2474" s="4">
        <v>1.3015740495909871</v>
      </c>
      <c r="K2474" s="5">
        <v>1</v>
      </c>
      <c r="L2474" s="5">
        <v>0</v>
      </c>
      <c r="M2474" s="5">
        <v>0</v>
      </c>
    </row>
    <row r="2475" spans="1:13" hidden="1" x14ac:dyDescent="0.25">
      <c r="A2475" t="s">
        <v>2486</v>
      </c>
      <c r="B2475" s="1">
        <v>1.5575296963390929E-3</v>
      </c>
      <c r="C2475" s="2">
        <v>4.4379516893482218E-7</v>
      </c>
      <c r="D2475" s="2"/>
      <c r="E2475" s="2">
        <v>0.9705032536750291</v>
      </c>
      <c r="F2475" s="3">
        <v>177.5161659688867</v>
      </c>
      <c r="G2475" s="3">
        <v>1</v>
      </c>
      <c r="H2475" s="2">
        <v>5.4188793757450959E-5</v>
      </c>
      <c r="I2475" s="4">
        <v>1.110223024625157E-16</v>
      </c>
      <c r="J2475" s="4">
        <v>0.97050325367502899</v>
      </c>
      <c r="K2475" s="5">
        <v>1</v>
      </c>
      <c r="L2475" s="5">
        <v>0</v>
      </c>
      <c r="M2475" s="5">
        <v>0</v>
      </c>
    </row>
    <row r="2476" spans="1:13" hidden="1" x14ac:dyDescent="0.25">
      <c r="A2476" t="s">
        <v>2487</v>
      </c>
      <c r="B2476" s="1">
        <v>1.547982626416772E-3</v>
      </c>
      <c r="C2476" s="2">
        <v>4.4107487183938472E-7</v>
      </c>
      <c r="D2476" s="2"/>
      <c r="E2476" s="2">
        <v>-0.92921079070947366</v>
      </c>
      <c r="F2476" s="3">
        <v>6.3771673565050264</v>
      </c>
      <c r="G2476" s="3">
        <v>1</v>
      </c>
      <c r="H2476" s="2">
        <v>5.4188793757450959E-5</v>
      </c>
      <c r="I2476" s="4">
        <v>-0.76014133433388775</v>
      </c>
      <c r="J2476" s="4">
        <v>-0.1690694563755859</v>
      </c>
      <c r="K2476" s="5">
        <v>1</v>
      </c>
      <c r="L2476" s="5">
        <v>0</v>
      </c>
      <c r="M2476" s="5">
        <v>0</v>
      </c>
    </row>
    <row r="2477" spans="1:13" hidden="1" x14ac:dyDescent="0.25">
      <c r="A2477" t="s">
        <v>2488</v>
      </c>
      <c r="B2477" s="1">
        <v>1.5043535481586269E-3</v>
      </c>
      <c r="C2477" s="2">
        <v>4.2864340796325151E-7</v>
      </c>
      <c r="D2477" s="2"/>
      <c r="E2477" s="2">
        <v>-0.71072981710341832</v>
      </c>
      <c r="F2477" s="3">
        <v>26.05940066384094</v>
      </c>
      <c r="G2477" s="3">
        <v>1</v>
      </c>
      <c r="H2477" s="2">
        <v>5.4188793757450959E-5</v>
      </c>
      <c r="I2477" s="4">
        <v>1.110223024625157E-16</v>
      </c>
      <c r="J2477" s="4">
        <v>-0.71072981710341854</v>
      </c>
      <c r="K2477" s="5">
        <v>1</v>
      </c>
      <c r="L2477" s="5">
        <v>0</v>
      </c>
      <c r="M2477" s="5">
        <v>0</v>
      </c>
    </row>
    <row r="2478" spans="1:13" hidden="1" x14ac:dyDescent="0.25">
      <c r="A2478" t="s">
        <v>2489</v>
      </c>
      <c r="B2478" s="1">
        <v>1.450459830788851E-3</v>
      </c>
      <c r="C2478" s="2">
        <v>4.1328718620975122E-7</v>
      </c>
      <c r="D2478" s="2"/>
      <c r="E2478" s="2">
        <v>-0.70928757149389132</v>
      </c>
      <c r="F2478" s="3">
        <v>26.189327833720629</v>
      </c>
      <c r="G2478" s="3">
        <v>1</v>
      </c>
      <c r="H2478" s="2">
        <v>5.4188793757450959E-5</v>
      </c>
      <c r="I2478" s="4">
        <v>0</v>
      </c>
      <c r="J2478" s="4">
        <v>-0.70928757149389132</v>
      </c>
      <c r="K2478" s="5">
        <v>1</v>
      </c>
      <c r="L2478" s="5">
        <v>0</v>
      </c>
      <c r="M2478" s="5">
        <v>0</v>
      </c>
    </row>
    <row r="2479" spans="1:13" hidden="1" x14ac:dyDescent="0.25">
      <c r="A2479" t="s">
        <v>2490</v>
      </c>
      <c r="B2479" s="1">
        <v>1.3761484082034431E-3</v>
      </c>
      <c r="C2479" s="2">
        <v>3.9211323978831591E-7</v>
      </c>
      <c r="D2479" s="2"/>
      <c r="E2479" s="2">
        <v>0.74102935069446341</v>
      </c>
      <c r="F2479" s="3">
        <v>156.84361576068281</v>
      </c>
      <c r="G2479" s="3">
        <v>1</v>
      </c>
      <c r="H2479" s="2">
        <v>5.4188793757450959E-5</v>
      </c>
      <c r="I2479" s="4">
        <v>0</v>
      </c>
      <c r="J2479" s="4">
        <v>0.74102935069446341</v>
      </c>
      <c r="K2479" s="5">
        <v>1</v>
      </c>
      <c r="L2479" s="5">
        <v>0</v>
      </c>
      <c r="M2479" s="5">
        <v>0</v>
      </c>
    </row>
    <row r="2480" spans="1:13" hidden="1" x14ac:dyDescent="0.25">
      <c r="A2480" t="s">
        <v>2491</v>
      </c>
      <c r="B2480" s="1">
        <v>1.372105942152231E-3</v>
      </c>
      <c r="C2480" s="2">
        <v>3.9096139856928332E-7</v>
      </c>
      <c r="D2480" s="2"/>
      <c r="E2480" s="2">
        <v>-0.6023536597107757</v>
      </c>
      <c r="F2480" s="3">
        <v>35.822652719833407</v>
      </c>
      <c r="G2480" s="3">
        <v>1</v>
      </c>
      <c r="H2480" s="2">
        <v>5.4188793757450959E-5</v>
      </c>
      <c r="I2480" s="4">
        <v>-1.110223024625157E-16</v>
      </c>
      <c r="J2480" s="4">
        <v>-0.60235365971077559</v>
      </c>
      <c r="K2480" s="5">
        <v>0</v>
      </c>
      <c r="L2480" s="5">
        <v>0</v>
      </c>
      <c r="M2480" s="5">
        <v>0</v>
      </c>
    </row>
    <row r="2481" spans="1:13" hidden="1" x14ac:dyDescent="0.25">
      <c r="A2481" t="s">
        <v>2492</v>
      </c>
      <c r="B2481" s="1">
        <v>1.2516187530218551E-3</v>
      </c>
      <c r="C2481" s="2">
        <v>3.5663034691724729E-7</v>
      </c>
      <c r="D2481" s="2"/>
      <c r="E2481" s="2">
        <v>0.2942795082465981</v>
      </c>
      <c r="F2481" s="3">
        <v>116.5973898127463</v>
      </c>
      <c r="G2481" s="3">
        <v>1</v>
      </c>
      <c r="H2481" s="2">
        <v>5.4188793757450959E-5</v>
      </c>
      <c r="I2481" s="4">
        <v>0</v>
      </c>
      <c r="J2481" s="4">
        <v>0.2942795082465981</v>
      </c>
      <c r="K2481" s="5">
        <v>1</v>
      </c>
      <c r="L2481" s="5">
        <v>0</v>
      </c>
      <c r="M2481" s="5">
        <v>0</v>
      </c>
    </row>
    <row r="2482" spans="1:13" hidden="1" x14ac:dyDescent="0.25">
      <c r="A2482" t="s">
        <v>2493</v>
      </c>
      <c r="B2482" s="1">
        <v>1.097726552013628E-3</v>
      </c>
      <c r="C2482" s="2">
        <v>3.1278102866365259E-7</v>
      </c>
      <c r="D2482" s="2"/>
      <c r="E2482" s="2">
        <v>-0.83739430834055972</v>
      </c>
      <c r="F2482" s="3">
        <v>14.64861268017129</v>
      </c>
      <c r="G2482" s="3">
        <v>1</v>
      </c>
      <c r="H2482" s="2">
        <v>5.4188793757450959E-5</v>
      </c>
      <c r="I2482" s="4">
        <v>-1.110223024625157E-16</v>
      </c>
      <c r="J2482" s="4">
        <v>-0.83739430834055961</v>
      </c>
      <c r="K2482" s="5">
        <v>0</v>
      </c>
      <c r="L2482" s="5">
        <v>0</v>
      </c>
      <c r="M2482" s="5">
        <v>0</v>
      </c>
    </row>
    <row r="2483" spans="1:13" hidden="1" x14ac:dyDescent="0.25">
      <c r="A2483" t="s">
        <v>2494</v>
      </c>
      <c r="B2483" s="1">
        <v>1.0290837835173559E-3</v>
      </c>
      <c r="C2483" s="2">
        <v>2.9322228181435668E-7</v>
      </c>
      <c r="D2483" s="2"/>
      <c r="E2483" s="2">
        <v>-0.96589078520808502</v>
      </c>
      <c r="F2483" s="3">
        <v>3.0727871282513251</v>
      </c>
      <c r="G2483" s="3">
        <v>1</v>
      </c>
      <c r="H2483" s="2">
        <v>5.4188793757450959E-5</v>
      </c>
      <c r="I2483" s="4">
        <v>0</v>
      </c>
      <c r="J2483" s="4">
        <v>-0.96589078520808502</v>
      </c>
      <c r="K2483" s="5">
        <v>1</v>
      </c>
      <c r="L2483" s="5">
        <v>0</v>
      </c>
      <c r="M2483" s="5">
        <v>0</v>
      </c>
    </row>
    <row r="2484" spans="1:13" hidden="1" x14ac:dyDescent="0.25">
      <c r="A2484" t="s">
        <v>2495</v>
      </c>
      <c r="B2484" s="1">
        <v>9.6669121240515747E-4</v>
      </c>
      <c r="C2484" s="2">
        <v>2.7544443674206109E-7</v>
      </c>
      <c r="D2484" s="2"/>
      <c r="E2484" s="2">
        <v>0.802660975745628</v>
      </c>
      <c r="F2484" s="3">
        <v>162.39580643132001</v>
      </c>
      <c r="G2484" s="3">
        <v>1</v>
      </c>
      <c r="H2484" s="2">
        <v>5.4188793757450959E-5</v>
      </c>
      <c r="I2484" s="4">
        <v>0</v>
      </c>
      <c r="J2484" s="4">
        <v>0.802660975745628</v>
      </c>
      <c r="K2484" s="5">
        <v>1</v>
      </c>
      <c r="L2484" s="5">
        <v>0</v>
      </c>
      <c r="M2484" s="5">
        <v>0</v>
      </c>
    </row>
    <row r="2485" spans="1:13" hidden="1" x14ac:dyDescent="0.25">
      <c r="A2485" t="s">
        <v>2496</v>
      </c>
      <c r="B2485" s="1">
        <v>8.1842746762822156E-4</v>
      </c>
      <c r="C2485" s="2">
        <v>2.331988642724981E-7</v>
      </c>
      <c r="D2485" s="2"/>
      <c r="E2485" s="2">
        <v>-0.70724233083626309</v>
      </c>
      <c r="F2485" s="3">
        <v>26.373576846935268</v>
      </c>
      <c r="G2485" s="3">
        <v>1</v>
      </c>
      <c r="H2485" s="2">
        <v>5.4188793757450959E-5</v>
      </c>
      <c r="I2485" s="4">
        <v>0</v>
      </c>
      <c r="J2485" s="4">
        <v>-0.70724233083626309</v>
      </c>
      <c r="K2485" s="5">
        <v>1</v>
      </c>
      <c r="L2485" s="5">
        <v>0</v>
      </c>
      <c r="M2485" s="5">
        <v>0</v>
      </c>
    </row>
    <row r="2486" spans="1:13" hidden="1" x14ac:dyDescent="0.25">
      <c r="A2486" t="s">
        <v>2497</v>
      </c>
      <c r="B2486" s="1">
        <v>7.8828332761713034E-4</v>
      </c>
      <c r="C2486" s="2">
        <v>2.246097351277626E-7</v>
      </c>
      <c r="D2486" s="2"/>
      <c r="E2486" s="2">
        <v>-0.47474983046033981</v>
      </c>
      <c r="F2486" s="3">
        <v>47.318062579847528</v>
      </c>
      <c r="G2486" s="3">
        <v>1</v>
      </c>
      <c r="H2486" s="2">
        <v>5.4188793757450959E-5</v>
      </c>
      <c r="I2486" s="4">
        <v>0</v>
      </c>
      <c r="J2486" s="4">
        <v>-0.47474983046033981</v>
      </c>
      <c r="K2486" s="5">
        <v>1</v>
      </c>
      <c r="L2486" s="5">
        <v>0</v>
      </c>
      <c r="M2486" s="5">
        <v>0</v>
      </c>
    </row>
    <row r="2487" spans="1:13" hidden="1" x14ac:dyDescent="0.25">
      <c r="A2487" t="s">
        <v>2498</v>
      </c>
      <c r="B2487" s="1">
        <v>4.6896630437818202E-4</v>
      </c>
      <c r="C2487" s="2">
        <v>1.336250478982477E-7</v>
      </c>
      <c r="D2487" s="2"/>
      <c r="E2487" s="2">
        <v>-0.97567735101324637</v>
      </c>
      <c r="F2487" s="3">
        <v>2.1911475590222951</v>
      </c>
      <c r="G2487" s="3">
        <v>1</v>
      </c>
      <c r="H2487" s="2">
        <v>5.4188793757450959E-5</v>
      </c>
      <c r="I2487" s="4">
        <v>-1.110223024625157E-16</v>
      </c>
      <c r="J2487" s="4">
        <v>-0.97567735101324626</v>
      </c>
      <c r="K2487" s="5">
        <v>1</v>
      </c>
      <c r="L2487" s="5">
        <v>0</v>
      </c>
      <c r="M2487" s="5">
        <v>0</v>
      </c>
    </row>
    <row r="2488" spans="1:13" hidden="1" x14ac:dyDescent="0.25">
      <c r="A2488" t="s">
        <v>2499</v>
      </c>
      <c r="B2488" s="1">
        <v>2.33051019556183E-4</v>
      </c>
      <c r="C2488" s="2">
        <v>6.6404458828277465E-8</v>
      </c>
      <c r="D2488" s="2"/>
      <c r="E2488" s="2">
        <v>-0.99061571442760632</v>
      </c>
      <c r="F2488" s="3">
        <v>0.84539946435591684</v>
      </c>
      <c r="G2488" s="3">
        <v>1</v>
      </c>
      <c r="H2488" s="2">
        <v>5.4188793757450959E-5</v>
      </c>
      <c r="I2488" s="4">
        <v>0</v>
      </c>
      <c r="J2488" s="4">
        <v>-0.99061571442760632</v>
      </c>
      <c r="K2488" s="5">
        <v>0</v>
      </c>
      <c r="L2488" s="5">
        <v>0</v>
      </c>
      <c r="M2488" s="5">
        <v>0</v>
      </c>
    </row>
    <row r="2489" spans="1:13" hidden="1" x14ac:dyDescent="0.25">
      <c r="A2489" t="s">
        <v>2500</v>
      </c>
      <c r="B2489" s="1">
        <v>2.4658891472541959E-5</v>
      </c>
      <c r="C2489" s="2">
        <v>7.026188285542438E-9</v>
      </c>
      <c r="D2489" s="2"/>
      <c r="E2489" s="2">
        <v>-0.99822788649237704</v>
      </c>
      <c r="F2489" s="3">
        <v>0.15964388536186969</v>
      </c>
      <c r="G2489" s="3">
        <v>1</v>
      </c>
      <c r="H2489" s="2">
        <v>5.4188793757450959E-5</v>
      </c>
      <c r="I2489" s="4">
        <v>0</v>
      </c>
      <c r="J2489" s="4">
        <v>-0.99822788649237704</v>
      </c>
      <c r="K2489" s="5">
        <v>0</v>
      </c>
      <c r="L2489" s="5">
        <v>1</v>
      </c>
      <c r="M2489" s="5">
        <v>0</v>
      </c>
    </row>
    <row r="2490" spans="1:13" hidden="1" x14ac:dyDescent="0.25">
      <c r="A2490" t="s">
        <v>2501</v>
      </c>
      <c r="B2490" s="1">
        <v>2.3096483508712781E-5</v>
      </c>
      <c r="C2490" s="2">
        <v>6.5810031260668497E-9</v>
      </c>
      <c r="D2490" s="2"/>
      <c r="E2490" s="2" t="s">
        <v>303</v>
      </c>
      <c r="F2490" s="3" t="s">
        <v>303</v>
      </c>
      <c r="G2490" s="3">
        <v>1</v>
      </c>
      <c r="H2490" s="2">
        <v>5.4188793757450959E-5</v>
      </c>
      <c r="I2490" s="4" t="s">
        <v>303</v>
      </c>
      <c r="J2490" s="4">
        <v>0</v>
      </c>
      <c r="K2490" s="5">
        <v>0</v>
      </c>
      <c r="L2490" s="5">
        <v>0</v>
      </c>
      <c r="M2490" s="5">
        <v>0</v>
      </c>
    </row>
    <row r="2491" spans="1:13" hidden="1" x14ac:dyDescent="0.25">
      <c r="A2491" t="s">
        <v>2502</v>
      </c>
      <c r="B2491" s="1">
        <v>7.6415506813072612E-6</v>
      </c>
      <c r="C2491" s="2">
        <v>2.1773474261876541E-9</v>
      </c>
      <c r="D2491" s="2"/>
      <c r="E2491" s="2" t="s">
        <v>303</v>
      </c>
      <c r="F2491" s="3" t="s">
        <v>303</v>
      </c>
      <c r="G2491" s="3">
        <v>1</v>
      </c>
      <c r="H2491" s="2">
        <v>5.4188793757450959E-5</v>
      </c>
      <c r="I2491" s="4" t="s">
        <v>303</v>
      </c>
      <c r="J2491" s="4">
        <v>0</v>
      </c>
      <c r="K2491" s="5">
        <v>1</v>
      </c>
      <c r="L2491" s="5">
        <v>0</v>
      </c>
      <c r="M2491" s="5">
        <v>0</v>
      </c>
    </row>
    <row r="2492" spans="1:13" hidden="1" x14ac:dyDescent="0.25">
      <c r="A2492" t="s">
        <v>2503</v>
      </c>
      <c r="B2492" s="1">
        <v>0</v>
      </c>
      <c r="C2492" s="2">
        <v>0</v>
      </c>
      <c r="D2492" s="2"/>
      <c r="E2492" s="2">
        <v>-1</v>
      </c>
      <c r="F2492" s="3">
        <v>0</v>
      </c>
      <c r="G2492" s="3">
        <v>0</v>
      </c>
      <c r="H2492" s="2">
        <v>0</v>
      </c>
      <c r="I2492" s="4">
        <v>-1</v>
      </c>
      <c r="J2492" s="4">
        <v>0</v>
      </c>
      <c r="K2492" s="5">
        <v>0</v>
      </c>
      <c r="L2492" s="5">
        <v>0</v>
      </c>
      <c r="M2492" s="5">
        <v>0</v>
      </c>
    </row>
  </sheetData>
  <autoFilter ref="A1:M2492" xr:uid="{00000000-0001-0000-0000-000000000000}">
    <filterColumn colId="0">
      <filters>
        <filter val="00039. АДОНИС ЧП (Украина, Долина)"/>
        <filter val="00063. АДОНИС МЧП ФИРМА (Украина, Фастов)"/>
        <filter val="00220. АДОНИС ЧП (Украина, Одесса)"/>
        <filter val="01233. АДОНИС ЧФ (Украина, Кринички)"/>
        <filter val="01281. БЕЛЛАДОННА ООО (Украина, Харьков)"/>
        <filter val="01571. АДОНИС ООО (Украина, Одесса)"/>
        <filter val="01791. АДОНИС МЧП (Украина, Мукачево)"/>
        <filter val="02058. АДОНИС МЧП (Украина, Сарата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62D8-57ED-4AA9-A677-AF9B4EF29E09}">
  <dimension ref="A1:W30"/>
  <sheetViews>
    <sheetView zoomScale="160" zoomScaleNormal="160" workbookViewId="0">
      <selection activeCell="I20" sqref="I20"/>
    </sheetView>
  </sheetViews>
  <sheetFormatPr defaultRowHeight="15" x14ac:dyDescent="0.25"/>
  <cols>
    <col min="1" max="1" width="63.7109375" customWidth="1"/>
    <col min="2" max="2" width="14.7109375" customWidth="1"/>
    <col min="3" max="3" width="16" customWidth="1"/>
    <col min="4" max="4" width="6.28515625" bestFit="1" customWidth="1"/>
    <col min="5" max="6" width="9.7109375" customWidth="1"/>
    <col min="8" max="8" width="10.42578125" customWidth="1"/>
    <col min="9" max="9" width="20" bestFit="1" customWidth="1"/>
    <col min="10" max="16" width="20" customWidth="1"/>
  </cols>
  <sheetData>
    <row r="1" spans="1:23" x14ac:dyDescent="0.25">
      <c r="A1" s="6" t="s">
        <v>0</v>
      </c>
      <c r="B1" s="1" t="s">
        <v>1</v>
      </c>
      <c r="C1" s="10" t="s">
        <v>2504</v>
      </c>
      <c r="D1" s="2" t="s">
        <v>2</v>
      </c>
      <c r="E1" s="2" t="s">
        <v>2505</v>
      </c>
      <c r="F1" s="2"/>
      <c r="G1" s="8" t="s">
        <v>3</v>
      </c>
      <c r="H1" s="9" t="s">
        <v>4</v>
      </c>
      <c r="I1" s="7" t="s">
        <v>2506</v>
      </c>
      <c r="J1" s="11" t="s">
        <v>2507</v>
      </c>
      <c r="K1" s="17" t="s">
        <v>2511</v>
      </c>
      <c r="L1" s="17" t="s">
        <v>2512</v>
      </c>
      <c r="M1" s="17" t="s">
        <v>2513</v>
      </c>
      <c r="N1" s="17" t="s">
        <v>2514</v>
      </c>
      <c r="O1" s="17" t="s">
        <v>2515</v>
      </c>
      <c r="P1" s="17" t="s">
        <v>2524</v>
      </c>
      <c r="Q1" s="3" t="s">
        <v>5</v>
      </c>
      <c r="R1" s="2" t="s">
        <v>6</v>
      </c>
      <c r="S1" s="4" t="s">
        <v>7</v>
      </c>
      <c r="T1" s="4" t="s">
        <v>8</v>
      </c>
      <c r="U1" s="5" t="s">
        <v>9</v>
      </c>
      <c r="V1" s="5" t="s">
        <v>10</v>
      </c>
      <c r="W1" s="5" t="s">
        <v>11</v>
      </c>
    </row>
    <row r="2" spans="1:23" x14ac:dyDescent="0.25">
      <c r="A2" t="s">
        <v>21</v>
      </c>
      <c r="B2" s="1">
        <v>57.272201301722838</v>
      </c>
      <c r="C2" s="1">
        <v>1233</v>
      </c>
      <c r="D2" s="2">
        <v>1.631887103771382E-2</v>
      </c>
      <c r="E2" s="21">
        <f>B2/$B$15</f>
        <v>0.3738352988493891</v>
      </c>
      <c r="F2" s="21" t="s">
        <v>2527</v>
      </c>
      <c r="G2" s="2">
        <v>7.2625382882958611E-2</v>
      </c>
      <c r="H2" s="3">
        <v>96.6292976858457</v>
      </c>
      <c r="I2" s="7">
        <f>3383*E2</f>
        <v>1264.6848160074833</v>
      </c>
      <c r="J2" s="11">
        <v>500</v>
      </c>
      <c r="K2" s="15">
        <f>O2*1.15</f>
        <v>575</v>
      </c>
      <c r="L2" s="11">
        <f>O2*1.1</f>
        <v>550</v>
      </c>
      <c r="M2" s="11">
        <f>N2*1.08</f>
        <v>540</v>
      </c>
      <c r="N2" s="11">
        <v>500</v>
      </c>
      <c r="O2" s="11">
        <v>500</v>
      </c>
      <c r="P2" s="16"/>
      <c r="Q2" s="3">
        <v>368</v>
      </c>
      <c r="R2" s="2">
        <v>1.994147610274195E-2</v>
      </c>
      <c r="S2" s="4">
        <v>3.6620411957620502E-4</v>
      </c>
      <c r="T2" s="4">
        <v>7.2259178763382406E-2</v>
      </c>
      <c r="U2" s="5">
        <v>367</v>
      </c>
      <c r="V2" s="5">
        <v>359</v>
      </c>
      <c r="W2" s="5">
        <v>358</v>
      </c>
    </row>
    <row r="3" spans="1:23" x14ac:dyDescent="0.25">
      <c r="A3" t="s">
        <v>22</v>
      </c>
      <c r="B3" s="1">
        <v>48.976193978287029</v>
      </c>
      <c r="C3" s="1">
        <v>1005</v>
      </c>
      <c r="D3" s="2">
        <v>1.39550458212557E-2</v>
      </c>
      <c r="E3" s="21">
        <f t="shared" ref="E3:E14" si="0">B3/$B$15</f>
        <v>0.31968441401304787</v>
      </c>
      <c r="F3" s="21" t="s">
        <v>2527</v>
      </c>
      <c r="G3" s="2">
        <v>1.962011631713145E-2</v>
      </c>
      <c r="H3" s="3">
        <v>91.854227317717218</v>
      </c>
      <c r="I3" s="7">
        <f t="shared" ref="I3:I14" si="1">3383*E3</f>
        <v>1081.4923726061409</v>
      </c>
      <c r="J3" s="11">
        <v>900</v>
      </c>
      <c r="K3" s="15">
        <f t="shared" ref="K3:K14" si="2">O3*1.15</f>
        <v>1035</v>
      </c>
      <c r="L3" s="11">
        <f t="shared" ref="L3:L14" si="3">O3*1.1</f>
        <v>990.00000000000011</v>
      </c>
      <c r="M3" s="11">
        <f t="shared" ref="M3:M14" si="4">N3*1.08</f>
        <v>972.00000000000011</v>
      </c>
      <c r="N3" s="11">
        <v>900</v>
      </c>
      <c r="O3" s="11">
        <v>900</v>
      </c>
      <c r="P3" s="16"/>
      <c r="Q3" s="3">
        <v>223</v>
      </c>
      <c r="R3" s="2">
        <v>1.208410100791156E-2</v>
      </c>
      <c r="S3" s="4">
        <v>1.4106127791594571E-2</v>
      </c>
      <c r="T3" s="4">
        <v>5.5139885255368858E-3</v>
      </c>
      <c r="U3" s="5">
        <v>220</v>
      </c>
      <c r="V3" s="5">
        <v>218</v>
      </c>
      <c r="W3" s="5">
        <v>214</v>
      </c>
    </row>
    <row r="4" spans="1:23" x14ac:dyDescent="0.25">
      <c r="A4" t="s">
        <v>31</v>
      </c>
      <c r="B4" s="1">
        <v>16.358034055923881</v>
      </c>
      <c r="C4" s="1">
        <v>189</v>
      </c>
      <c r="D4" s="2">
        <v>4.6609811063979918E-3</v>
      </c>
      <c r="E4" s="22">
        <f t="shared" si="0"/>
        <v>0.10677449811416334</v>
      </c>
      <c r="F4" s="22" t="s">
        <v>2528</v>
      </c>
      <c r="G4" s="2">
        <v>2.8699658790486859E-2</v>
      </c>
      <c r="H4" s="3">
        <v>92.672173477215154</v>
      </c>
      <c r="I4" s="7">
        <f t="shared" si="1"/>
        <v>361.2181271202146</v>
      </c>
      <c r="J4" s="11">
        <v>150</v>
      </c>
      <c r="K4" s="15">
        <f t="shared" si="2"/>
        <v>172.5</v>
      </c>
      <c r="L4" s="11">
        <f t="shared" si="3"/>
        <v>165</v>
      </c>
      <c r="M4" s="11">
        <f t="shared" si="4"/>
        <v>162</v>
      </c>
      <c r="N4" s="11">
        <v>150</v>
      </c>
      <c r="O4" s="11">
        <v>150</v>
      </c>
      <c r="P4" s="16"/>
      <c r="Q4" s="3">
        <v>225</v>
      </c>
      <c r="R4" s="2">
        <v>1.219247859542647E-2</v>
      </c>
      <c r="S4" s="4">
        <v>-3.7842061552203182E-2</v>
      </c>
      <c r="T4" s="4">
        <v>6.6541720342690042E-2</v>
      </c>
      <c r="U4" s="5">
        <v>221</v>
      </c>
      <c r="V4" s="5">
        <v>157</v>
      </c>
      <c r="W4" s="5">
        <v>104</v>
      </c>
    </row>
    <row r="5" spans="1:23" x14ac:dyDescent="0.25">
      <c r="A5" t="s">
        <v>38</v>
      </c>
      <c r="B5" s="1">
        <v>10.574812254386099</v>
      </c>
      <c r="C5" s="1">
        <v>2</v>
      </c>
      <c r="D5" s="2">
        <v>3.0131371503992021E-3</v>
      </c>
      <c r="E5" s="20">
        <f t="shared" si="0"/>
        <v>6.9025426114984856E-2</v>
      </c>
      <c r="F5" s="20" t="s">
        <v>2529</v>
      </c>
      <c r="G5" s="2">
        <v>0.34377748759123811</v>
      </c>
      <c r="H5" s="3">
        <v>121.05650019486799</v>
      </c>
      <c r="I5" s="7">
        <f t="shared" si="1"/>
        <v>233.51301654699375</v>
      </c>
      <c r="J5" s="11">
        <v>20</v>
      </c>
      <c r="K5" s="15">
        <f t="shared" si="2"/>
        <v>23</v>
      </c>
      <c r="L5" s="11">
        <f t="shared" si="3"/>
        <v>22</v>
      </c>
      <c r="M5" s="11">
        <f t="shared" si="4"/>
        <v>21.6</v>
      </c>
      <c r="N5" s="11">
        <v>20</v>
      </c>
      <c r="O5" s="11">
        <v>20</v>
      </c>
      <c r="P5" s="16"/>
      <c r="Q5" s="3">
        <v>65</v>
      </c>
      <c r="R5" s="2">
        <v>3.5222715942343119E-3</v>
      </c>
      <c r="S5" s="4">
        <v>2.2949600048250699E-2</v>
      </c>
      <c r="T5" s="4">
        <v>0.32082788754298741</v>
      </c>
      <c r="U5" s="5">
        <v>65</v>
      </c>
      <c r="V5" s="5">
        <v>54</v>
      </c>
      <c r="W5" s="5">
        <v>54</v>
      </c>
    </row>
    <row r="6" spans="1:23" x14ac:dyDescent="0.25">
      <c r="A6" s="13" t="s">
        <v>56</v>
      </c>
      <c r="B6" s="1">
        <v>5.667239025103683</v>
      </c>
      <c r="C6" s="18">
        <v>934</v>
      </c>
      <c r="D6" s="2">
        <v>1.6147963704650551E-3</v>
      </c>
      <c r="E6" s="23">
        <f t="shared" si="0"/>
        <v>3.6992012642210498E-2</v>
      </c>
      <c r="F6" s="23" t="s">
        <v>2530</v>
      </c>
      <c r="G6" s="2">
        <v>-0.1307956280233511</v>
      </c>
      <c r="H6" s="3">
        <v>78.303766953401436</v>
      </c>
      <c r="I6" s="7">
        <f t="shared" si="1"/>
        <v>125.14397876859812</v>
      </c>
      <c r="J6" s="12">
        <v>600</v>
      </c>
      <c r="K6" s="15">
        <f t="shared" si="2"/>
        <v>690</v>
      </c>
      <c r="L6" s="11">
        <f t="shared" si="3"/>
        <v>660</v>
      </c>
      <c r="M6" s="11">
        <f t="shared" si="4"/>
        <v>648</v>
      </c>
      <c r="N6" s="12">
        <v>600</v>
      </c>
      <c r="O6" s="12">
        <v>600</v>
      </c>
      <c r="P6" s="16"/>
      <c r="Q6" s="3">
        <v>31</v>
      </c>
      <c r="R6" s="2">
        <v>1.6798526064809799E-3</v>
      </c>
      <c r="S6" s="4">
        <v>-2.2984364195603652E-2</v>
      </c>
      <c r="T6" s="4">
        <v>-0.1078112638277474</v>
      </c>
      <c r="U6" s="5">
        <v>29</v>
      </c>
      <c r="V6" s="5">
        <v>0</v>
      </c>
      <c r="W6" s="5">
        <v>31</v>
      </c>
    </row>
    <row r="7" spans="1:23" x14ac:dyDescent="0.25">
      <c r="A7" s="13" t="s">
        <v>64</v>
      </c>
      <c r="B7" s="1">
        <v>4.028717979587074</v>
      </c>
      <c r="C7" s="18">
        <v>1224</v>
      </c>
      <c r="D7" s="2">
        <v>1.147923908317154E-3</v>
      </c>
      <c r="E7" s="23">
        <f t="shared" si="0"/>
        <v>2.6296823863020184E-2</v>
      </c>
      <c r="F7" s="23" t="s">
        <v>2530</v>
      </c>
      <c r="G7" s="2">
        <v>0.32601798435673057</v>
      </c>
      <c r="H7" s="3">
        <v>119.4566048798912</v>
      </c>
      <c r="I7" s="7">
        <f t="shared" si="1"/>
        <v>88.962155128597274</v>
      </c>
      <c r="J7" s="12">
        <v>1220</v>
      </c>
      <c r="K7" s="15">
        <f t="shared" si="2"/>
        <v>1403</v>
      </c>
      <c r="L7" s="11">
        <f t="shared" si="3"/>
        <v>1342</v>
      </c>
      <c r="M7" s="11">
        <f t="shared" si="4"/>
        <v>1317.6000000000001</v>
      </c>
      <c r="N7" s="12">
        <v>1220</v>
      </c>
      <c r="O7" s="12">
        <v>1220</v>
      </c>
      <c r="P7" s="16"/>
      <c r="Q7" s="3">
        <v>23</v>
      </c>
      <c r="R7" s="2">
        <v>1.2463422564213721E-3</v>
      </c>
      <c r="S7" s="4">
        <v>-9.8629606293905103E-2</v>
      </c>
      <c r="T7" s="4">
        <v>0.42464759065063568</v>
      </c>
      <c r="U7" s="5">
        <v>23</v>
      </c>
      <c r="V7" s="5">
        <v>0</v>
      </c>
      <c r="W7" s="5">
        <v>15</v>
      </c>
    </row>
    <row r="8" spans="1:23" x14ac:dyDescent="0.25">
      <c r="A8" t="s">
        <v>73</v>
      </c>
      <c r="B8" s="1">
        <v>2.9298366608300008</v>
      </c>
      <c r="C8" s="1">
        <v>0</v>
      </c>
      <c r="D8" s="2">
        <v>8.3481384586159822E-4</v>
      </c>
      <c r="E8" s="20">
        <f t="shared" si="0"/>
        <v>1.9124048644666498E-2</v>
      </c>
      <c r="F8" s="20" t="s">
        <v>2529</v>
      </c>
      <c r="G8" s="2">
        <v>8.662375492236607E-2</v>
      </c>
      <c r="H8" s="3">
        <v>97.890365044961811</v>
      </c>
      <c r="I8" s="7">
        <f t="shared" si="1"/>
        <v>64.69665656490676</v>
      </c>
      <c r="J8" s="11">
        <v>65</v>
      </c>
      <c r="K8" s="15">
        <f t="shared" si="2"/>
        <v>74.75</v>
      </c>
      <c r="L8" s="11">
        <f t="shared" si="3"/>
        <v>71.5</v>
      </c>
      <c r="M8" s="11">
        <f t="shared" si="4"/>
        <v>70.2</v>
      </c>
      <c r="N8" s="11">
        <v>65</v>
      </c>
      <c r="O8" s="11">
        <v>65</v>
      </c>
      <c r="P8" s="16"/>
      <c r="Q8" s="3">
        <v>30</v>
      </c>
      <c r="R8" s="2">
        <v>1.6256638127235289E-3</v>
      </c>
      <c r="S8" s="4">
        <v>-6.8195260859630208E-3</v>
      </c>
      <c r="T8" s="4">
        <v>9.344328100832909E-2</v>
      </c>
      <c r="U8" s="5">
        <v>30</v>
      </c>
      <c r="V8" s="5">
        <v>0</v>
      </c>
      <c r="W8" s="5">
        <v>29</v>
      </c>
    </row>
    <row r="9" spans="1:23" x14ac:dyDescent="0.25">
      <c r="A9" t="s">
        <v>80</v>
      </c>
      <c r="B9" s="1">
        <v>2.4253678713052929</v>
      </c>
      <c r="C9" s="1">
        <v>0</v>
      </c>
      <c r="D9" s="2">
        <v>6.9107288721683845E-4</v>
      </c>
      <c r="E9" s="20">
        <f t="shared" si="0"/>
        <v>1.5831207852697749E-2</v>
      </c>
      <c r="F9" s="20"/>
      <c r="G9" s="2">
        <v>0.8290466938531087</v>
      </c>
      <c r="H9" s="3">
        <v>164.7728091112395</v>
      </c>
      <c r="I9" s="7">
        <f t="shared" si="1"/>
        <v>53.556976165676488</v>
      </c>
      <c r="J9" s="11">
        <v>54</v>
      </c>
      <c r="K9" s="15">
        <v>62</v>
      </c>
      <c r="L9" s="11">
        <f t="shared" si="3"/>
        <v>59.400000000000006</v>
      </c>
      <c r="M9" s="11">
        <f t="shared" si="4"/>
        <v>58.320000000000007</v>
      </c>
      <c r="N9" s="11">
        <v>54</v>
      </c>
      <c r="O9" s="11">
        <v>54</v>
      </c>
      <c r="P9" s="16"/>
      <c r="Q9" s="3">
        <v>12</v>
      </c>
      <c r="R9" s="2">
        <v>6.5026552508941154E-4</v>
      </c>
      <c r="S9" s="4">
        <v>0</v>
      </c>
      <c r="T9" s="4">
        <v>0.8290466938531087</v>
      </c>
      <c r="U9" s="5">
        <v>12</v>
      </c>
      <c r="V9" s="5">
        <v>0</v>
      </c>
      <c r="W9" s="5">
        <v>12</v>
      </c>
    </row>
    <row r="10" spans="1:23" x14ac:dyDescent="0.25">
      <c r="A10" t="s">
        <v>102</v>
      </c>
      <c r="B10" s="1">
        <v>1.4181815239903259</v>
      </c>
      <c r="C10" s="1">
        <v>0</v>
      </c>
      <c r="D10" s="2">
        <v>4.0408995764181329E-4</v>
      </c>
      <c r="E10" s="20">
        <f t="shared" si="0"/>
        <v>9.2569571588591495E-3</v>
      </c>
      <c r="F10" s="20"/>
      <c r="G10" s="2">
        <v>-0.2143621941148601</v>
      </c>
      <c r="H10" s="3">
        <v>70.775529490162654</v>
      </c>
      <c r="I10" s="7">
        <f t="shared" si="1"/>
        <v>31.316286068420503</v>
      </c>
      <c r="J10" s="11">
        <v>31</v>
      </c>
      <c r="K10" s="15">
        <f t="shared" si="2"/>
        <v>35.65</v>
      </c>
      <c r="L10" s="11">
        <f t="shared" si="3"/>
        <v>34.1</v>
      </c>
      <c r="M10" s="11">
        <f t="shared" si="4"/>
        <v>33.480000000000004</v>
      </c>
      <c r="N10" s="11">
        <v>31</v>
      </c>
      <c r="O10" s="11">
        <v>31</v>
      </c>
      <c r="P10" s="16"/>
      <c r="Q10" s="3">
        <v>22</v>
      </c>
      <c r="R10" s="2">
        <v>1.1921534626639209E-3</v>
      </c>
      <c r="S10" s="4">
        <v>-5.5511151231257827E-17</v>
      </c>
      <c r="T10" s="4">
        <v>-0.2143621941148601</v>
      </c>
      <c r="U10" s="5">
        <v>22</v>
      </c>
      <c r="V10" s="5">
        <v>0</v>
      </c>
      <c r="W10" s="5">
        <v>0</v>
      </c>
    </row>
    <row r="11" spans="1:23" x14ac:dyDescent="0.25">
      <c r="A11" t="s">
        <v>104</v>
      </c>
      <c r="B11" s="1">
        <v>1.370000291110151</v>
      </c>
      <c r="C11" s="1">
        <v>0</v>
      </c>
      <c r="D11" s="2">
        <v>3.9036142428812881E-4</v>
      </c>
      <c r="E11" s="20">
        <f t="shared" si="0"/>
        <v>8.9424617285577771E-3</v>
      </c>
      <c r="F11" s="20"/>
      <c r="G11" s="2">
        <v>0.30833171887533539</v>
      </c>
      <c r="H11" s="3">
        <v>117.8633073135412</v>
      </c>
      <c r="I11" s="7">
        <f t="shared" si="1"/>
        <v>30.252348027710958</v>
      </c>
      <c r="J11" s="11">
        <v>30</v>
      </c>
      <c r="K11" s="15">
        <f t="shared" si="2"/>
        <v>34.5</v>
      </c>
      <c r="L11" s="11">
        <f t="shared" si="3"/>
        <v>33</v>
      </c>
      <c r="M11" s="11">
        <f t="shared" si="4"/>
        <v>32.400000000000006</v>
      </c>
      <c r="N11" s="11">
        <v>30</v>
      </c>
      <c r="O11" s="11">
        <v>30</v>
      </c>
      <c r="P11" s="16"/>
      <c r="Q11" s="3">
        <v>7</v>
      </c>
      <c r="R11" s="2">
        <v>3.7932155630215669E-4</v>
      </c>
      <c r="S11" s="4">
        <v>-5.5511151231257827E-16</v>
      </c>
      <c r="T11" s="4">
        <v>0.30833171887533589</v>
      </c>
      <c r="U11" s="5">
        <v>7</v>
      </c>
      <c r="V11" s="5">
        <v>0</v>
      </c>
      <c r="W11" s="5">
        <v>0</v>
      </c>
    </row>
    <row r="12" spans="1:23" x14ac:dyDescent="0.25">
      <c r="A12" t="s">
        <v>119</v>
      </c>
      <c r="B12" s="1">
        <v>1.105327310421008</v>
      </c>
      <c r="C12" s="1">
        <v>72</v>
      </c>
      <c r="D12" s="2">
        <v>3.1494675293161661E-4</v>
      </c>
      <c r="E12" s="20">
        <f t="shared" si="0"/>
        <v>7.2148504165353072E-3</v>
      </c>
      <c r="F12" s="20"/>
      <c r="G12" s="2">
        <v>0.17953900125980859</v>
      </c>
      <c r="H12" s="3">
        <v>106.2607944056421</v>
      </c>
      <c r="I12" s="7">
        <f t="shared" si="1"/>
        <v>24.407838959138946</v>
      </c>
      <c r="J12" s="11">
        <v>72</v>
      </c>
      <c r="K12" s="15">
        <f t="shared" si="2"/>
        <v>82.8</v>
      </c>
      <c r="L12" s="11">
        <f t="shared" si="3"/>
        <v>79.2</v>
      </c>
      <c r="M12" s="11">
        <f t="shared" si="4"/>
        <v>77.760000000000005</v>
      </c>
      <c r="N12" s="11">
        <v>72</v>
      </c>
      <c r="O12" s="11">
        <v>72</v>
      </c>
      <c r="P12" s="16"/>
      <c r="Q12" s="3">
        <v>17</v>
      </c>
      <c r="R12" s="2">
        <v>9.2120949387666632E-4</v>
      </c>
      <c r="S12" s="4">
        <v>-3.0152893409071849E-2</v>
      </c>
      <c r="T12" s="4">
        <v>0.20969189466888041</v>
      </c>
      <c r="U12" s="5">
        <v>16</v>
      </c>
      <c r="V12" s="5">
        <v>0</v>
      </c>
      <c r="W12" s="5">
        <v>1</v>
      </c>
    </row>
    <row r="13" spans="1:23" x14ac:dyDescent="0.25">
      <c r="A13" s="13" t="s">
        <v>157</v>
      </c>
      <c r="B13" s="1">
        <v>0.6297635550223738</v>
      </c>
      <c r="C13" s="14">
        <v>203</v>
      </c>
      <c r="D13" s="2">
        <v>1.7944185844229391E-4</v>
      </c>
      <c r="E13" s="20">
        <f t="shared" si="0"/>
        <v>4.1106826950121217E-3</v>
      </c>
      <c r="F13" s="20"/>
      <c r="G13" s="2">
        <v>7.5729888906541643E-3</v>
      </c>
      <c r="H13" s="3">
        <v>90.768941176880631</v>
      </c>
      <c r="I13" s="7">
        <f t="shared" si="1"/>
        <v>13.906439557226008</v>
      </c>
      <c r="J13" s="12">
        <v>100</v>
      </c>
      <c r="K13" s="15">
        <f t="shared" si="2"/>
        <v>114.99999999999999</v>
      </c>
      <c r="L13" s="11">
        <f t="shared" si="3"/>
        <v>110.00000000000001</v>
      </c>
      <c r="M13" s="11">
        <f t="shared" si="4"/>
        <v>108</v>
      </c>
      <c r="N13" s="12">
        <v>100</v>
      </c>
      <c r="O13" s="12">
        <v>100</v>
      </c>
      <c r="P13" s="16"/>
      <c r="Q13" s="3">
        <v>14</v>
      </c>
      <c r="R13" s="2">
        <v>7.5864311260431339E-4</v>
      </c>
      <c r="S13" s="4">
        <v>-1.7451945721000631E-2</v>
      </c>
      <c r="T13" s="4">
        <v>2.5024934611654798E-2</v>
      </c>
      <c r="U13" s="5">
        <v>13</v>
      </c>
      <c r="V13" s="5">
        <v>11</v>
      </c>
      <c r="W13" s="5">
        <v>5</v>
      </c>
    </row>
    <row r="14" spans="1:23" x14ac:dyDescent="0.25">
      <c r="A14" t="s">
        <v>192</v>
      </c>
      <c r="B14" s="1">
        <v>0.44601883697964978</v>
      </c>
      <c r="C14" s="1">
        <v>0</v>
      </c>
      <c r="D14" s="2">
        <v>1.2708650472010159E-4</v>
      </c>
      <c r="E14" s="20">
        <f t="shared" si="0"/>
        <v>2.9113179068556007E-3</v>
      </c>
      <c r="F14" s="20"/>
      <c r="G14" s="2">
        <v>-0.30013299769988799</v>
      </c>
      <c r="H14" s="3">
        <v>63.048719510991951</v>
      </c>
      <c r="I14" s="7">
        <f t="shared" si="1"/>
        <v>9.8489884788924975</v>
      </c>
      <c r="J14" s="11">
        <v>10</v>
      </c>
      <c r="K14" s="15">
        <f t="shared" si="2"/>
        <v>11.5</v>
      </c>
      <c r="L14" s="11">
        <f t="shared" si="3"/>
        <v>11</v>
      </c>
      <c r="M14" s="11">
        <f t="shared" si="4"/>
        <v>10.8</v>
      </c>
      <c r="N14" s="11">
        <v>10</v>
      </c>
      <c r="O14" s="11">
        <v>10</v>
      </c>
      <c r="P14" s="16"/>
      <c r="Q14" s="3">
        <v>5</v>
      </c>
      <c r="R14" s="2">
        <v>2.7094396878725479E-4</v>
      </c>
      <c r="S14" s="4">
        <v>-6.4009354271243629E-2</v>
      </c>
      <c r="T14" s="4">
        <v>-0.23612364342864439</v>
      </c>
      <c r="U14" s="5">
        <v>5</v>
      </c>
      <c r="V14" s="5">
        <v>0</v>
      </c>
      <c r="W14" s="5">
        <v>5</v>
      </c>
    </row>
    <row r="15" spans="1:23" x14ac:dyDescent="0.25">
      <c r="B15" s="1">
        <f>SUM(B2:B14)</f>
        <v>153.2016946446694</v>
      </c>
      <c r="C15" s="1">
        <f>SUM(C2:C14)</f>
        <v>4862</v>
      </c>
      <c r="I15" s="1">
        <f>SUM(I2:I14)</f>
        <v>3382.9999999999995</v>
      </c>
      <c r="J15" s="1">
        <f>SUM(J2:J14)</f>
        <v>3752</v>
      </c>
      <c r="K15" s="1">
        <f t="shared" ref="K15:O15" si="5">SUM(K2:K14)</f>
        <v>4314.7</v>
      </c>
      <c r="L15" s="1">
        <f t="shared" si="5"/>
        <v>4127.2</v>
      </c>
      <c r="M15" s="1">
        <f t="shared" si="5"/>
        <v>4052.1600000000003</v>
      </c>
      <c r="N15" s="1">
        <f t="shared" si="5"/>
        <v>3752</v>
      </c>
      <c r="O15" s="1">
        <f t="shared" si="5"/>
        <v>3752</v>
      </c>
      <c r="P15" s="1"/>
    </row>
    <row r="16" spans="1:23" x14ac:dyDescent="0.25">
      <c r="K16" s="1" t="s">
        <v>2517</v>
      </c>
      <c r="L16" s="1" t="s">
        <v>2518</v>
      </c>
      <c r="M16" s="1" t="s">
        <v>2519</v>
      </c>
      <c r="N16" s="1" t="s">
        <v>2519</v>
      </c>
      <c r="O16" s="1" t="s">
        <v>2516</v>
      </c>
      <c r="P16" s="1"/>
    </row>
    <row r="17" spans="3:20" x14ac:dyDescent="0.25">
      <c r="K17" t="s">
        <v>2520</v>
      </c>
    </row>
    <row r="18" spans="3:20" x14ac:dyDescent="0.25">
      <c r="D18">
        <v>4580</v>
      </c>
      <c r="K18" t="s">
        <v>2521</v>
      </c>
    </row>
    <row r="19" spans="3:20" x14ac:dyDescent="0.25">
      <c r="C19" t="s">
        <v>2509</v>
      </c>
      <c r="D19">
        <v>351</v>
      </c>
      <c r="K19" t="s">
        <v>2522</v>
      </c>
    </row>
    <row r="20" spans="3:20" x14ac:dyDescent="0.25">
      <c r="D20">
        <f>(D18+D19)/4</f>
        <v>1232.75</v>
      </c>
      <c r="K20" t="s">
        <v>2523</v>
      </c>
    </row>
    <row r="23" spans="3:20" x14ac:dyDescent="0.25">
      <c r="I23" t="s">
        <v>2515</v>
      </c>
    </row>
    <row r="26" spans="3:20" x14ac:dyDescent="0.25">
      <c r="T26" t="s">
        <v>2508</v>
      </c>
    </row>
    <row r="30" spans="3:20" x14ac:dyDescent="0.25">
      <c r="C30" t="s">
        <v>2510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511E7-9710-4D97-BA6A-60BF1611DE47}">
  <dimension ref="A1:N18"/>
  <sheetViews>
    <sheetView zoomScale="145" zoomScaleNormal="145" workbookViewId="0">
      <selection activeCell="K26" sqref="K26:L26"/>
    </sheetView>
  </sheetViews>
  <sheetFormatPr defaultRowHeight="15" x14ac:dyDescent="0.25"/>
  <cols>
    <col min="1" max="1" width="58.28515625" bestFit="1" customWidth="1"/>
  </cols>
  <sheetData>
    <row r="1" spans="1:14" x14ac:dyDescent="0.25">
      <c r="A1" s="6" t="s">
        <v>0</v>
      </c>
      <c r="B1" s="1" t="s">
        <v>1</v>
      </c>
      <c r="C1" s="2" t="s">
        <v>2525</v>
      </c>
      <c r="D1" s="2" t="s">
        <v>2526</v>
      </c>
      <c r="E1" s="2" t="s">
        <v>3</v>
      </c>
      <c r="F1" s="3" t="s">
        <v>4</v>
      </c>
      <c r="G1" s="3" t="s">
        <v>5</v>
      </c>
      <c r="H1" s="2" t="s">
        <v>6</v>
      </c>
      <c r="I1" s="4" t="s">
        <v>7</v>
      </c>
      <c r="J1" s="4" t="s">
        <v>8</v>
      </c>
      <c r="K1" s="5" t="s">
        <v>9</v>
      </c>
      <c r="L1" s="5" t="s">
        <v>10</v>
      </c>
      <c r="M1" s="5" t="s">
        <v>11</v>
      </c>
      <c r="N1" s="5"/>
    </row>
    <row r="2" spans="1:14" x14ac:dyDescent="0.25">
      <c r="A2" t="s">
        <v>12</v>
      </c>
      <c r="B2" s="1">
        <v>638.58220179800901</v>
      </c>
      <c r="C2" s="2">
        <v>0.18195460208035649</v>
      </c>
      <c r="D2" s="19">
        <f>B2/B8</f>
        <v>0.26910948759249426</v>
      </c>
      <c r="E2" s="2">
        <v>0.29258752259560472</v>
      </c>
      <c r="F2" s="3">
        <v>116.4449643828067</v>
      </c>
      <c r="G2" s="3">
        <v>2341</v>
      </c>
      <c r="H2" s="2">
        <v>0.12685596618619269</v>
      </c>
      <c r="I2" s="4">
        <v>8.3502501384223382E-2</v>
      </c>
      <c r="J2" s="4">
        <v>0.20908502121138131</v>
      </c>
      <c r="K2" s="5">
        <v>2326</v>
      </c>
      <c r="L2" s="5">
        <v>2338</v>
      </c>
      <c r="M2" s="5">
        <v>2339</v>
      </c>
      <c r="N2" s="5"/>
    </row>
    <row r="3" spans="1:14" x14ac:dyDescent="0.25">
      <c r="A3" t="s">
        <v>13</v>
      </c>
      <c r="B3" s="1">
        <v>625.37029796914146</v>
      </c>
      <c r="C3" s="2">
        <v>0.17819006448889699</v>
      </c>
      <c r="D3" s="19">
        <f t="shared" ref="D3:D7" si="0">B3/B9</f>
        <v>0.2635417648161672</v>
      </c>
      <c r="E3" s="2">
        <v>0.17533579268440899</v>
      </c>
      <c r="F3" s="3">
        <v>105.8821411506013</v>
      </c>
      <c r="G3" s="3">
        <v>1635</v>
      </c>
      <c r="H3" s="2">
        <v>8.8598677793432321E-2</v>
      </c>
      <c r="I3" s="4">
        <v>8.3700330689263885E-2</v>
      </c>
      <c r="J3" s="4">
        <v>9.1635461995145134E-2</v>
      </c>
      <c r="K3" s="5">
        <v>1627</v>
      </c>
      <c r="L3" s="5">
        <v>0</v>
      </c>
      <c r="M3" s="5">
        <v>1630</v>
      </c>
      <c r="N3" s="5"/>
    </row>
    <row r="4" spans="1:14" x14ac:dyDescent="0.25">
      <c r="A4" t="s">
        <v>14</v>
      </c>
      <c r="B4" s="1">
        <v>469.04789854692751</v>
      </c>
      <c r="C4" s="2">
        <v>0.13364829695602659</v>
      </c>
      <c r="D4" s="19">
        <f t="shared" si="0"/>
        <v>0.1976648257325318</v>
      </c>
      <c r="E4" s="2">
        <v>4.5268811729000991E-2</v>
      </c>
      <c r="F4" s="3">
        <v>94.164834043753956</v>
      </c>
      <c r="G4" s="3">
        <v>1754</v>
      </c>
      <c r="H4" s="2">
        <v>9.5047144250568982E-2</v>
      </c>
      <c r="I4" s="4">
        <v>1.9734852160916441E-2</v>
      </c>
      <c r="J4" s="4">
        <v>2.553395956808455E-2</v>
      </c>
      <c r="K4" s="5">
        <v>1706</v>
      </c>
      <c r="L4" s="5">
        <v>1743</v>
      </c>
      <c r="M4" s="5">
        <v>1750</v>
      </c>
      <c r="N4" s="5"/>
    </row>
    <row r="5" spans="1:14" x14ac:dyDescent="0.25">
      <c r="A5" t="s">
        <v>15</v>
      </c>
      <c r="B5" s="1">
        <v>368.05881499165798</v>
      </c>
      <c r="C5" s="2">
        <v>0.1048729435856687</v>
      </c>
      <c r="D5" s="20">
        <f t="shared" si="0"/>
        <v>0.1551062945810629</v>
      </c>
      <c r="E5" s="2">
        <v>-1.5801258352040048E-2</v>
      </c>
      <c r="F5" s="3">
        <v>88.663232015937425</v>
      </c>
      <c r="G5" s="3">
        <v>1331</v>
      </c>
      <c r="H5" s="2">
        <v>7.212528449116723E-2</v>
      </c>
      <c r="I5" s="4">
        <v>3.4895578255252233E-2</v>
      </c>
      <c r="J5" s="4">
        <v>-5.0696836607292281E-2</v>
      </c>
      <c r="K5" s="5">
        <v>1326</v>
      </c>
      <c r="L5" s="5">
        <v>0</v>
      </c>
      <c r="M5" s="5">
        <v>1329</v>
      </c>
      <c r="N5" s="5"/>
    </row>
    <row r="6" spans="1:14" x14ac:dyDescent="0.25">
      <c r="A6" t="s">
        <v>16</v>
      </c>
      <c r="B6" s="1">
        <v>176.89578879012319</v>
      </c>
      <c r="C6" s="2">
        <v>5.0403852109205477E-2</v>
      </c>
      <c r="D6" s="20">
        <f t="shared" si="0"/>
        <v>7.4546918070287765E-2</v>
      </c>
      <c r="E6" s="2">
        <v>0.18317812878770059</v>
      </c>
      <c r="F6" s="3">
        <v>106.5886314518476</v>
      </c>
      <c r="G6" s="3">
        <v>845</v>
      </c>
      <c r="H6" s="2">
        <v>4.578953072504606E-2</v>
      </c>
      <c r="I6" s="4">
        <v>0.1170043307379959</v>
      </c>
      <c r="J6" s="4">
        <v>6.6173798049704718E-2</v>
      </c>
      <c r="K6" s="5">
        <v>785</v>
      </c>
      <c r="L6" s="5">
        <v>803</v>
      </c>
      <c r="M6" s="5">
        <v>840</v>
      </c>
      <c r="N6" s="5"/>
    </row>
    <row r="7" spans="1:14" x14ac:dyDescent="0.25">
      <c r="A7" t="s">
        <v>17</v>
      </c>
      <c r="B7" s="1">
        <v>94.99069933923063</v>
      </c>
      <c r="C7" s="2">
        <v>2.7066202050322129E-2</v>
      </c>
      <c r="D7" s="20">
        <f t="shared" si="0"/>
        <v>4.0030709207455932E-2</v>
      </c>
      <c r="E7" s="2">
        <v>4.9053183732748362E-2</v>
      </c>
      <c r="F7" s="3">
        <v>94.505755687731124</v>
      </c>
      <c r="G7" s="3">
        <v>552</v>
      </c>
      <c r="H7" s="2">
        <v>2.991221415411293E-2</v>
      </c>
      <c r="I7" s="4">
        <v>-0.121567119296455</v>
      </c>
      <c r="J7" s="4">
        <v>0.17062030302920339</v>
      </c>
      <c r="K7" s="5">
        <v>544</v>
      </c>
      <c r="L7" s="5">
        <v>551</v>
      </c>
      <c r="M7" s="5">
        <v>548</v>
      </c>
      <c r="N7" s="5"/>
    </row>
    <row r="8" spans="1:14" x14ac:dyDescent="0.25">
      <c r="B8" s="1">
        <f>SUM(B2:B7)</f>
        <v>2372.9457014350901</v>
      </c>
    </row>
    <row r="9" spans="1:14" ht="0.75" customHeight="1" x14ac:dyDescent="0.25">
      <c r="B9" s="1">
        <v>2372.9457014350901</v>
      </c>
    </row>
    <row r="10" spans="1:14" hidden="1" x14ac:dyDescent="0.25">
      <c r="B10" s="1">
        <v>2372.9457014350901</v>
      </c>
    </row>
    <row r="11" spans="1:14" hidden="1" x14ac:dyDescent="0.25">
      <c r="B11" s="1">
        <v>2372.9457014350901</v>
      </c>
    </row>
    <row r="12" spans="1:14" hidden="1" x14ac:dyDescent="0.25">
      <c r="B12" s="1">
        <v>2372.9457014350901</v>
      </c>
    </row>
    <row r="13" spans="1:14" hidden="1" x14ac:dyDescent="0.25">
      <c r="B13" s="1">
        <v>2372.9457014350901</v>
      </c>
    </row>
    <row r="14" spans="1:14" hidden="1" x14ac:dyDescent="0.25">
      <c r="B14" s="1">
        <v>2372.9457014350901</v>
      </c>
    </row>
    <row r="15" spans="1:14" hidden="1" x14ac:dyDescent="0.25">
      <c r="B15" s="1">
        <v>2372.9457014350901</v>
      </c>
    </row>
    <row r="16" spans="1:14" hidden="1" x14ac:dyDescent="0.25"/>
    <row r="17" hidden="1" x14ac:dyDescent="0.25"/>
    <row r="18" hidden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Sheet1</vt:lpstr>
      <vt:lpstr>Аркуш1</vt:lpstr>
      <vt:lpstr>Аркуш2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Nemesh</dc:creator>
  <cp:lastModifiedBy>Pharmasco Hrytsenko</cp:lastModifiedBy>
  <dcterms:created xsi:type="dcterms:W3CDTF">2026-01-09T11:24:16Z</dcterms:created>
  <dcterms:modified xsi:type="dcterms:W3CDTF">2026-03-13T12:10:38Z</dcterms:modified>
</cp:coreProperties>
</file>
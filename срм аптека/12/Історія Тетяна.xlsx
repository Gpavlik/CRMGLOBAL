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harm\Desktop\срм аптека\"/>
    </mc:Choice>
  </mc:AlternateContent>
  <xr:revisionPtr revIDLastSave="0" documentId="13_ncr:1_{994F58F3-7544-4568-AEFA-9A018715EC5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Список" sheetId="20" r:id="rId1"/>
    <sheet name="ОСАН" sheetId="5" state="hidden" r:id="rId2"/>
    <sheet name="АНЦ(Магнолія)" sheetId="2" state="hidden" r:id="rId3"/>
    <sheet name="Соломія(Подорожник)" sheetId="18" state="hidden" r:id="rId4"/>
    <sheet name="Сіріус" sheetId="16" state="hidden" r:id="rId5"/>
    <sheet name="Фармастор" sheetId="8" state="hidden" r:id="rId6"/>
    <sheet name="Конекс" sheetId="1" r:id="rId7"/>
    <sheet name="Богоста" sheetId="3" state="hidden" r:id="rId8"/>
    <sheet name="ЗІ(Світ ліків)" sheetId="4" state="hidden" r:id="rId9"/>
    <sheet name="Волинь ЦМ" sheetId="6" state="hidden" r:id="rId10"/>
    <sheet name="ВІСА" sheetId="7" state="hidden" r:id="rId11"/>
    <sheet name="Аптека Гаєвського" sheetId="9" state="hidden" r:id="rId12"/>
    <sheet name=" ЗФК (Колбін)" sheetId="10" state="hidden" r:id="rId13"/>
    <sheet name="ІКВЕЛ(МЕНГО)" sheetId="11" state="hidden" r:id="rId14"/>
    <sheet name="Діджи Хелс" sheetId="12" state="hidden" r:id="rId15"/>
    <sheet name="АНКОР" sheetId="13" state="hidden" r:id="rId16"/>
    <sheet name="УАХ(Фармпостач,Здравиця)" sheetId="14" state="hidden" r:id="rId17"/>
    <sheet name="Аптеки Запоріжжя" sheetId="15" state="hidden" r:id="rId18"/>
    <sheet name="Роджерс" sheetId="19" state="hidden" r:id="rId19"/>
    <sheet name="ЗІМА" sheetId="21" state="hidden" r:id="rId20"/>
    <sheet name="Волиньфарм" sheetId="22" state="hidden" r:id="rId21"/>
    <sheet name="Хустфарм" sheetId="23" state="hidden" r:id="rId22"/>
    <sheet name="Триоль" sheetId="26" state="hidden" r:id="rId23"/>
    <sheet name="СВ Медікал" sheetId="27" state="hidden" r:id="rId24"/>
    <sheet name="Ліки Полтавщини" sheetId="28" state="hidden" r:id="rId25"/>
    <sheet name="Декада" sheetId="29" state="hidden" r:id="rId26"/>
    <sheet name="Аптека Знахар" sheetId="30" state="hidden" r:id="rId27"/>
    <sheet name="Рівнефармація" sheetId="31" state="hidden" r:id="rId28"/>
    <sheet name="Аптека НЦ" sheetId="32" state="hidden" r:id="rId29"/>
    <sheet name="КП Фармація" sheetId="33" state="hidden" r:id="rId30"/>
    <sheet name="МАркет Універсал" sheetId="34" state="hidden" r:id="rId31"/>
    <sheet name="Гербамед" sheetId="35" state="hidden" r:id="rId32"/>
    <sheet name="Кісельова ФОП(Моя аптека)" sheetId="36" state="hidden" r:id="rId33"/>
    <sheet name="Євроаптека" sheetId="37" r:id="rId34"/>
    <sheet name="ХМПА" sheetId="38" r:id="rId35"/>
    <sheet name="Волиньфармпостач" sheetId="39" r:id="rId36"/>
    <sheet name="Скайінвест" sheetId="40" r:id="rId37"/>
    <sheet name="Фармако" sheetId="41" r:id="rId38"/>
    <sheet name="ФОП Созанський" sheetId="42" r:id="rId39"/>
    <sheet name="Маркет Універсал1" sheetId="43" r:id="rId40"/>
    <sheet name="САНА" sheetId="44" r:id="rId4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7" l="1"/>
  <c r="D43" i="37"/>
  <c r="D51" i="1"/>
  <c r="E26" i="1"/>
  <c r="F26" i="1"/>
  <c r="G26" i="1"/>
  <c r="H26" i="1"/>
  <c r="I26" i="1"/>
  <c r="J26" i="1"/>
  <c r="K26" i="1"/>
  <c r="D26" i="1"/>
  <c r="L26" i="1" s="1"/>
  <c r="L4" i="1"/>
  <c r="D47" i="44"/>
  <c r="L47" i="44" s="1"/>
  <c r="K47" i="44"/>
  <c r="J47" i="44"/>
  <c r="I47" i="44"/>
  <c r="H47" i="44"/>
  <c r="G47" i="44"/>
  <c r="F47" i="44"/>
  <c r="E47" i="44"/>
  <c r="E24" i="44"/>
  <c r="F24" i="44"/>
  <c r="G24" i="44"/>
  <c r="H24" i="44"/>
  <c r="I24" i="44"/>
  <c r="J24" i="44"/>
  <c r="K24" i="44"/>
  <c r="D24" i="44"/>
  <c r="L24" i="44" s="1"/>
  <c r="L5" i="44"/>
  <c r="L6" i="44"/>
  <c r="L7" i="44"/>
  <c r="L8" i="44"/>
  <c r="L9" i="44"/>
  <c r="L10" i="44"/>
  <c r="L11" i="44"/>
  <c r="L12" i="44"/>
  <c r="L13" i="44"/>
  <c r="L14" i="44"/>
  <c r="L15" i="44"/>
  <c r="L16" i="44"/>
  <c r="L17" i="44"/>
  <c r="L18" i="44"/>
  <c r="L19" i="44"/>
  <c r="L20" i="44"/>
  <c r="L21" i="44"/>
  <c r="L22" i="44"/>
  <c r="L23" i="44"/>
  <c r="L27" i="44"/>
  <c r="L28" i="44"/>
  <c r="L29" i="44"/>
  <c r="L30" i="44"/>
  <c r="L31" i="44"/>
  <c r="L32" i="44"/>
  <c r="L33" i="44"/>
  <c r="L34" i="44"/>
  <c r="L35" i="44"/>
  <c r="L36" i="44"/>
  <c r="L37" i="44"/>
  <c r="L38" i="44"/>
  <c r="L39" i="44"/>
  <c r="L40" i="44"/>
  <c r="L41" i="44"/>
  <c r="L42" i="44"/>
  <c r="L43" i="44"/>
  <c r="L44" i="44"/>
  <c r="L45" i="44"/>
  <c r="L46" i="44"/>
  <c r="L4" i="44"/>
  <c r="D69" i="43"/>
  <c r="K69" i="43"/>
  <c r="J69" i="43"/>
  <c r="I69" i="43"/>
  <c r="H69" i="43"/>
  <c r="G69" i="43"/>
  <c r="F69" i="43"/>
  <c r="E69" i="43"/>
  <c r="H35" i="43"/>
  <c r="G35" i="43"/>
  <c r="F35" i="43"/>
  <c r="E35" i="43"/>
  <c r="D35" i="43"/>
  <c r="K35" i="43"/>
  <c r="J35" i="43"/>
  <c r="I35" i="43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4" i="43"/>
  <c r="L69" i="43" l="1"/>
  <c r="L35" i="43"/>
  <c r="D59" i="42"/>
  <c r="K59" i="42"/>
  <c r="J59" i="42"/>
  <c r="I59" i="42"/>
  <c r="H59" i="42"/>
  <c r="G59" i="42"/>
  <c r="F59" i="42"/>
  <c r="E59" i="42"/>
  <c r="E30" i="42"/>
  <c r="F30" i="42"/>
  <c r="G30" i="42"/>
  <c r="H30" i="42"/>
  <c r="I30" i="42"/>
  <c r="J30" i="42"/>
  <c r="K30" i="42"/>
  <c r="D30" i="42"/>
  <c r="L5" i="42"/>
  <c r="L6" i="42"/>
  <c r="L7" i="42"/>
  <c r="L8" i="42"/>
  <c r="L9" i="42"/>
  <c r="L10" i="42"/>
  <c r="L11" i="42"/>
  <c r="L12" i="42"/>
  <c r="L13" i="42"/>
  <c r="L14" i="42"/>
  <c r="L15" i="42"/>
  <c r="L16" i="42"/>
  <c r="L17" i="42"/>
  <c r="L18" i="42"/>
  <c r="L19" i="42"/>
  <c r="L20" i="42"/>
  <c r="L21" i="42"/>
  <c r="L22" i="42"/>
  <c r="L23" i="42"/>
  <c r="L24" i="42"/>
  <c r="L25" i="42"/>
  <c r="L26" i="42"/>
  <c r="L27" i="42"/>
  <c r="L28" i="42"/>
  <c r="L29" i="42"/>
  <c r="L33" i="42"/>
  <c r="L34" i="42"/>
  <c r="L35" i="42"/>
  <c r="L36" i="42"/>
  <c r="L37" i="42"/>
  <c r="L38" i="42"/>
  <c r="L39" i="42"/>
  <c r="L40" i="42"/>
  <c r="L41" i="42"/>
  <c r="L42" i="42"/>
  <c r="L43" i="42"/>
  <c r="L44" i="42"/>
  <c r="L45" i="42"/>
  <c r="L46" i="42"/>
  <c r="L47" i="42"/>
  <c r="L48" i="42"/>
  <c r="L49" i="42"/>
  <c r="L50" i="42"/>
  <c r="L51" i="42"/>
  <c r="L52" i="42"/>
  <c r="L53" i="42"/>
  <c r="L54" i="42"/>
  <c r="L55" i="42"/>
  <c r="L56" i="42"/>
  <c r="L57" i="42"/>
  <c r="L58" i="42"/>
  <c r="L4" i="42"/>
  <c r="D43" i="41"/>
  <c r="L43" i="41" s="1"/>
  <c r="K43" i="41"/>
  <c r="J43" i="41"/>
  <c r="I43" i="41"/>
  <c r="H43" i="41"/>
  <c r="G43" i="41"/>
  <c r="F43" i="41"/>
  <c r="E43" i="41"/>
  <c r="E22" i="41"/>
  <c r="F22" i="41"/>
  <c r="G22" i="41"/>
  <c r="H22" i="41"/>
  <c r="I22" i="41"/>
  <c r="J22" i="41"/>
  <c r="K22" i="41"/>
  <c r="D22" i="41"/>
  <c r="L22" i="41" s="1"/>
  <c r="L5" i="41"/>
  <c r="L6" i="41"/>
  <c r="L7" i="41"/>
  <c r="L8" i="41"/>
  <c r="L9" i="41"/>
  <c r="L10" i="41"/>
  <c r="L11" i="41"/>
  <c r="L12" i="41"/>
  <c r="L13" i="41"/>
  <c r="L14" i="41"/>
  <c r="L15" i="41"/>
  <c r="L16" i="41"/>
  <c r="L17" i="41"/>
  <c r="L18" i="41"/>
  <c r="L19" i="41"/>
  <c r="L20" i="41"/>
  <c r="L21" i="41"/>
  <c r="L25" i="41"/>
  <c r="L26" i="41"/>
  <c r="L27" i="41"/>
  <c r="L28" i="41"/>
  <c r="L29" i="41"/>
  <c r="L30" i="41"/>
  <c r="L31" i="41"/>
  <c r="L32" i="41"/>
  <c r="L33" i="41"/>
  <c r="L34" i="41"/>
  <c r="L35" i="41"/>
  <c r="L36" i="41"/>
  <c r="L37" i="41"/>
  <c r="L38" i="41"/>
  <c r="L39" i="41"/>
  <c r="L40" i="41"/>
  <c r="L41" i="41"/>
  <c r="L42" i="41"/>
  <c r="L4" i="41"/>
  <c r="D35" i="40"/>
  <c r="K35" i="40"/>
  <c r="J35" i="40"/>
  <c r="I35" i="40"/>
  <c r="H35" i="40"/>
  <c r="G35" i="40"/>
  <c r="F35" i="40"/>
  <c r="E35" i="40"/>
  <c r="E18" i="40"/>
  <c r="F18" i="40"/>
  <c r="G18" i="40"/>
  <c r="H18" i="40"/>
  <c r="I18" i="40"/>
  <c r="J18" i="40"/>
  <c r="K18" i="40"/>
  <c r="D18" i="40"/>
  <c r="L18" i="40" s="1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4" i="40"/>
  <c r="K25" i="39"/>
  <c r="J25" i="39"/>
  <c r="I25" i="39"/>
  <c r="H25" i="39"/>
  <c r="G25" i="39"/>
  <c r="F25" i="39"/>
  <c r="E25" i="39"/>
  <c r="D25" i="39"/>
  <c r="L25" i="39" s="1"/>
  <c r="E13" i="39"/>
  <c r="F13" i="39"/>
  <c r="G13" i="39"/>
  <c r="H13" i="39"/>
  <c r="I13" i="39"/>
  <c r="J13" i="39"/>
  <c r="K13" i="39"/>
  <c r="D13" i="39"/>
  <c r="L5" i="39"/>
  <c r="L6" i="39"/>
  <c r="L7" i="39"/>
  <c r="L8" i="39"/>
  <c r="L9" i="39"/>
  <c r="L10" i="39"/>
  <c r="L11" i="39"/>
  <c r="L12" i="39"/>
  <c r="L16" i="39"/>
  <c r="L17" i="39"/>
  <c r="L18" i="39"/>
  <c r="L19" i="39"/>
  <c r="L20" i="39"/>
  <c r="L21" i="39"/>
  <c r="L22" i="39"/>
  <c r="L23" i="39"/>
  <c r="L24" i="39"/>
  <c r="L4" i="39"/>
  <c r="L30" i="42" l="1"/>
  <c r="L35" i="40"/>
  <c r="L13" i="39"/>
  <c r="L59" i="42"/>
  <c r="D53" i="38"/>
  <c r="K53" i="38"/>
  <c r="J53" i="38"/>
  <c r="I53" i="38"/>
  <c r="H53" i="38"/>
  <c r="G53" i="38"/>
  <c r="F53" i="38"/>
  <c r="E53" i="38"/>
  <c r="D27" i="38"/>
  <c r="E27" i="38"/>
  <c r="F27" i="38"/>
  <c r="G27" i="38"/>
  <c r="H27" i="38"/>
  <c r="I27" i="38"/>
  <c r="J27" i="38"/>
  <c r="K27" i="38"/>
  <c r="L27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31" i="38"/>
  <c r="L32" i="38"/>
  <c r="L33" i="38"/>
  <c r="L34" i="38"/>
  <c r="L35" i="38"/>
  <c r="L36" i="38"/>
  <c r="L37" i="38"/>
  <c r="L38" i="38"/>
  <c r="L39" i="38"/>
  <c r="L40" i="38"/>
  <c r="L30" i="38"/>
  <c r="L5" i="38"/>
  <c r="L6" i="38"/>
  <c r="L7" i="38"/>
  <c r="L8" i="38"/>
  <c r="L9" i="38"/>
  <c r="L10" i="38"/>
  <c r="L11" i="38"/>
  <c r="L12" i="38"/>
  <c r="L13" i="38"/>
  <c r="L14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4" i="38"/>
  <c r="E55" i="36"/>
  <c r="F55" i="36"/>
  <c r="G55" i="36"/>
  <c r="H55" i="36"/>
  <c r="I55" i="36"/>
  <c r="J55" i="36"/>
  <c r="K55" i="36"/>
  <c r="D55" i="36"/>
  <c r="E43" i="37"/>
  <c r="F43" i="37"/>
  <c r="G43" i="37"/>
  <c r="H43" i="37"/>
  <c r="I43" i="37"/>
  <c r="J43" i="37"/>
  <c r="K43" i="37"/>
  <c r="L43" i="37"/>
  <c r="E22" i="37"/>
  <c r="F22" i="37"/>
  <c r="G22" i="37"/>
  <c r="H22" i="37"/>
  <c r="I22" i="37"/>
  <c r="J22" i="37"/>
  <c r="K22" i="37"/>
  <c r="L5" i="37"/>
  <c r="L6" i="37"/>
  <c r="L7" i="37"/>
  <c r="L8" i="37"/>
  <c r="L9" i="37"/>
  <c r="L10" i="37"/>
  <c r="L11" i="37"/>
  <c r="L12" i="37"/>
  <c r="L13" i="37"/>
  <c r="L14" i="37"/>
  <c r="L15" i="37"/>
  <c r="L16" i="37"/>
  <c r="L17" i="37"/>
  <c r="L18" i="37"/>
  <c r="L19" i="37"/>
  <c r="L20" i="37"/>
  <c r="L21" i="37"/>
  <c r="L25" i="37"/>
  <c r="L26" i="37"/>
  <c r="L27" i="37"/>
  <c r="L28" i="37"/>
  <c r="L29" i="37"/>
  <c r="L30" i="37"/>
  <c r="L31" i="37"/>
  <c r="L32" i="37"/>
  <c r="L33" i="37"/>
  <c r="L34" i="37"/>
  <c r="L35" i="37"/>
  <c r="L36" i="37"/>
  <c r="L37" i="37"/>
  <c r="L38" i="37"/>
  <c r="L39" i="37"/>
  <c r="L40" i="37"/>
  <c r="L41" i="37"/>
  <c r="L42" i="37"/>
  <c r="L4" i="37"/>
  <c r="L53" i="38" l="1"/>
  <c r="L55" i="36"/>
  <c r="L22" i="37"/>
  <c r="D28" i="36"/>
  <c r="K28" i="36"/>
  <c r="J28" i="36"/>
  <c r="I28" i="36"/>
  <c r="H28" i="36"/>
  <c r="G28" i="36"/>
  <c r="F28" i="36"/>
  <c r="E28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4" i="36"/>
  <c r="L28" i="36" l="1"/>
  <c r="E55" i="35" l="1"/>
  <c r="F55" i="35"/>
  <c r="G55" i="35"/>
  <c r="H55" i="35"/>
  <c r="I55" i="35"/>
  <c r="J55" i="35"/>
  <c r="K55" i="35"/>
  <c r="D55" i="35"/>
  <c r="E28" i="35"/>
  <c r="F28" i="35"/>
  <c r="G28" i="35"/>
  <c r="H28" i="35"/>
  <c r="I28" i="35"/>
  <c r="J28" i="35"/>
  <c r="K28" i="35"/>
  <c r="D28" i="35"/>
  <c r="L5" i="35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4" i="35"/>
  <c r="L55" i="35" l="1"/>
  <c r="L28" i="35"/>
  <c r="E69" i="34" l="1"/>
  <c r="F69" i="34"/>
  <c r="G69" i="34"/>
  <c r="H69" i="34"/>
  <c r="I69" i="34"/>
  <c r="J69" i="34"/>
  <c r="K69" i="34"/>
  <c r="D69" i="34"/>
  <c r="E35" i="34"/>
  <c r="F35" i="34"/>
  <c r="G35" i="34"/>
  <c r="H35" i="34"/>
  <c r="I35" i="34"/>
  <c r="J35" i="34"/>
  <c r="K35" i="34"/>
  <c r="D35" i="34"/>
  <c r="L40" i="34"/>
  <c r="L41" i="34"/>
  <c r="L42" i="34"/>
  <c r="L5" i="34"/>
  <c r="L6" i="34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8" i="34"/>
  <c r="L39" i="34"/>
  <c r="L43" i="34"/>
  <c r="L44" i="34"/>
  <c r="L45" i="34"/>
  <c r="L46" i="34"/>
  <c r="L47" i="34"/>
  <c r="L48" i="34"/>
  <c r="L49" i="34"/>
  <c r="L50" i="34"/>
  <c r="L51" i="34"/>
  <c r="L52" i="34"/>
  <c r="L53" i="34"/>
  <c r="L54" i="34"/>
  <c r="L55" i="34"/>
  <c r="L56" i="34"/>
  <c r="L57" i="34"/>
  <c r="L58" i="34"/>
  <c r="L59" i="34"/>
  <c r="L60" i="34"/>
  <c r="L61" i="34"/>
  <c r="L62" i="34"/>
  <c r="L63" i="34"/>
  <c r="L64" i="34"/>
  <c r="L65" i="34"/>
  <c r="L66" i="34"/>
  <c r="L67" i="34"/>
  <c r="L68" i="34"/>
  <c r="L4" i="34"/>
  <c r="L69" i="34" l="1"/>
  <c r="L35" i="34"/>
  <c r="D62" i="33" l="1"/>
  <c r="E62" i="33"/>
  <c r="F62" i="33"/>
  <c r="G62" i="33"/>
  <c r="H62" i="33"/>
  <c r="I62" i="33"/>
  <c r="J62" i="33"/>
  <c r="K62" i="33"/>
  <c r="I32" i="33"/>
  <c r="J32" i="33"/>
  <c r="K32" i="33"/>
  <c r="H32" i="33"/>
  <c r="G32" i="33"/>
  <c r="F32" i="33"/>
  <c r="E32" i="33"/>
  <c r="D32" i="33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5" i="33"/>
  <c r="L36" i="33"/>
  <c r="L37" i="33"/>
  <c r="L38" i="33"/>
  <c r="L39" i="33"/>
  <c r="L40" i="33"/>
  <c r="L41" i="33"/>
  <c r="L42" i="33"/>
  <c r="L43" i="33"/>
  <c r="L44" i="33"/>
  <c r="L45" i="33"/>
  <c r="L46" i="33"/>
  <c r="L47" i="33"/>
  <c r="L48" i="33"/>
  <c r="L49" i="33"/>
  <c r="L50" i="33"/>
  <c r="L51" i="33"/>
  <c r="L52" i="33"/>
  <c r="L53" i="33"/>
  <c r="L54" i="33"/>
  <c r="L55" i="33"/>
  <c r="L56" i="33"/>
  <c r="L57" i="33"/>
  <c r="L58" i="33"/>
  <c r="L59" i="33"/>
  <c r="L60" i="33"/>
  <c r="L61" i="33"/>
  <c r="L4" i="33"/>
  <c r="L62" i="33" l="1"/>
  <c r="L32" i="33"/>
  <c r="E51" i="31"/>
  <c r="F51" i="31"/>
  <c r="G51" i="31"/>
  <c r="H51" i="31"/>
  <c r="I51" i="31"/>
  <c r="J51" i="31"/>
  <c r="K51" i="31"/>
  <c r="D51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29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L24" i="31"/>
  <c r="L25" i="31"/>
  <c r="L4" i="31"/>
  <c r="E26" i="31"/>
  <c r="F26" i="31"/>
  <c r="G26" i="31"/>
  <c r="H26" i="31"/>
  <c r="I26" i="31"/>
  <c r="J26" i="31"/>
  <c r="K26" i="31"/>
  <c r="D26" i="31"/>
  <c r="L26" i="31" l="1"/>
  <c r="L51" i="31"/>
  <c r="E51" i="32"/>
  <c r="F51" i="32"/>
  <c r="G51" i="32"/>
  <c r="H51" i="32"/>
  <c r="I51" i="32"/>
  <c r="J51" i="32"/>
  <c r="K51" i="32"/>
  <c r="D51" i="32"/>
  <c r="L51" i="32" s="1"/>
  <c r="E26" i="32"/>
  <c r="F26" i="32"/>
  <c r="G26" i="32"/>
  <c r="H26" i="32"/>
  <c r="I26" i="32"/>
  <c r="J26" i="32"/>
  <c r="K26" i="32"/>
  <c r="D26" i="32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L49" i="32"/>
  <c r="L50" i="32"/>
  <c r="L4" i="32"/>
  <c r="L26" i="32" l="1"/>
  <c r="D61" i="30"/>
  <c r="K61" i="30"/>
  <c r="J61" i="30"/>
  <c r="I61" i="30"/>
  <c r="H61" i="30"/>
  <c r="G61" i="30"/>
  <c r="F61" i="30"/>
  <c r="E61" i="30"/>
  <c r="L61" i="30"/>
  <c r="D31" i="30"/>
  <c r="K31" i="30"/>
  <c r="J31" i="30"/>
  <c r="I31" i="30"/>
  <c r="H31" i="30"/>
  <c r="G31" i="30"/>
  <c r="F31" i="30"/>
  <c r="E31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4" i="30"/>
  <c r="F61" i="29"/>
  <c r="G61" i="29"/>
  <c r="H61" i="29"/>
  <c r="I61" i="29"/>
  <c r="J61" i="29"/>
  <c r="K61" i="29"/>
  <c r="E61" i="29"/>
  <c r="D61" i="29"/>
  <c r="F31" i="29"/>
  <c r="G31" i="29"/>
  <c r="H31" i="29"/>
  <c r="I31" i="29"/>
  <c r="J31" i="29"/>
  <c r="K31" i="29"/>
  <c r="E31" i="29"/>
  <c r="D31" i="29"/>
  <c r="L5" i="29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27" i="29"/>
  <c r="L28" i="29"/>
  <c r="L29" i="29"/>
  <c r="L30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L48" i="29"/>
  <c r="L49" i="29"/>
  <c r="L50" i="29"/>
  <c r="L51" i="29"/>
  <c r="L52" i="29"/>
  <c r="L53" i="29"/>
  <c r="L54" i="29"/>
  <c r="L55" i="29"/>
  <c r="L56" i="29"/>
  <c r="L57" i="29"/>
  <c r="L58" i="29"/>
  <c r="L59" i="29"/>
  <c r="L60" i="29"/>
  <c r="L4" i="29"/>
  <c r="D59" i="28"/>
  <c r="L59" i="28" s="1"/>
  <c r="K59" i="28"/>
  <c r="J59" i="28"/>
  <c r="I59" i="28"/>
  <c r="H59" i="28"/>
  <c r="G59" i="28"/>
  <c r="F59" i="28"/>
  <c r="E59" i="28"/>
  <c r="D30" i="28"/>
  <c r="K30" i="28"/>
  <c r="J30" i="28"/>
  <c r="I30" i="28"/>
  <c r="H30" i="28"/>
  <c r="G30" i="28"/>
  <c r="F30" i="28"/>
  <c r="E30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4" i="28"/>
  <c r="E59" i="27"/>
  <c r="F59" i="27"/>
  <c r="G59" i="27"/>
  <c r="H59" i="27"/>
  <c r="I59" i="27"/>
  <c r="J59" i="27"/>
  <c r="K59" i="27"/>
  <c r="D59" i="27"/>
  <c r="E30" i="27"/>
  <c r="F30" i="27"/>
  <c r="G30" i="27"/>
  <c r="H30" i="27"/>
  <c r="I30" i="27"/>
  <c r="J30" i="27"/>
  <c r="K30" i="27"/>
  <c r="D30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4" i="27"/>
  <c r="D69" i="26"/>
  <c r="K69" i="26"/>
  <c r="J69" i="26"/>
  <c r="I69" i="26"/>
  <c r="H69" i="26"/>
  <c r="G69" i="26"/>
  <c r="F69" i="26"/>
  <c r="E69" i="26"/>
  <c r="L69" i="26" s="1"/>
  <c r="D35" i="26"/>
  <c r="K35" i="26"/>
  <c r="J35" i="26"/>
  <c r="I35" i="26"/>
  <c r="H35" i="26"/>
  <c r="G35" i="26"/>
  <c r="F35" i="26"/>
  <c r="E35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4" i="26"/>
  <c r="E69" i="23"/>
  <c r="F69" i="23"/>
  <c r="G69" i="23"/>
  <c r="H69" i="23"/>
  <c r="I69" i="23"/>
  <c r="J69" i="23"/>
  <c r="K69" i="23"/>
  <c r="D69" i="23"/>
  <c r="E35" i="23"/>
  <c r="F35" i="23"/>
  <c r="G35" i="23"/>
  <c r="H35" i="23"/>
  <c r="I35" i="23"/>
  <c r="J35" i="23"/>
  <c r="K35" i="23"/>
  <c r="D35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4" i="23"/>
  <c r="E81" i="22"/>
  <c r="F81" i="22"/>
  <c r="G81" i="22"/>
  <c r="H81" i="22"/>
  <c r="I81" i="22"/>
  <c r="J81" i="22"/>
  <c r="K81" i="22"/>
  <c r="D81" i="22"/>
  <c r="E41" i="22"/>
  <c r="F41" i="22"/>
  <c r="G41" i="22"/>
  <c r="H41" i="22"/>
  <c r="I41" i="22"/>
  <c r="J41" i="22"/>
  <c r="K41" i="22"/>
  <c r="D41" i="22"/>
  <c r="L25" i="22"/>
  <c r="L26" i="22"/>
  <c r="L27" i="22"/>
  <c r="L28" i="22"/>
  <c r="L18" i="22"/>
  <c r="L56" i="22"/>
  <c r="L58" i="22"/>
  <c r="L16" i="22"/>
  <c r="L65" i="22"/>
  <c r="L66" i="22"/>
  <c r="L67" i="22"/>
  <c r="L68" i="22"/>
  <c r="L5" i="22"/>
  <c r="L6" i="22"/>
  <c r="L7" i="22"/>
  <c r="L8" i="22"/>
  <c r="L9" i="22"/>
  <c r="L10" i="22"/>
  <c r="L11" i="22"/>
  <c r="L12" i="22"/>
  <c r="L13" i="22"/>
  <c r="L14" i="22"/>
  <c r="L15" i="22"/>
  <c r="L17" i="22"/>
  <c r="L19" i="22"/>
  <c r="L20" i="22"/>
  <c r="L21" i="22"/>
  <c r="L22" i="22"/>
  <c r="L23" i="22"/>
  <c r="L24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7" i="22"/>
  <c r="L59" i="22"/>
  <c r="L60" i="22"/>
  <c r="L61" i="22"/>
  <c r="L62" i="22"/>
  <c r="L63" i="22"/>
  <c r="L64" i="22"/>
  <c r="L69" i="22"/>
  <c r="L70" i="22"/>
  <c r="L71" i="22"/>
  <c r="L72" i="22"/>
  <c r="L73" i="22"/>
  <c r="L74" i="22"/>
  <c r="L75" i="22"/>
  <c r="L76" i="22"/>
  <c r="L77" i="22"/>
  <c r="L78" i="22"/>
  <c r="L79" i="22"/>
  <c r="L80" i="22"/>
  <c r="L4" i="22"/>
  <c r="F37" i="21"/>
  <c r="G37" i="21"/>
  <c r="H37" i="21"/>
  <c r="I37" i="21"/>
  <c r="J37" i="21"/>
  <c r="K37" i="21"/>
  <c r="E37" i="21"/>
  <c r="D37" i="21"/>
  <c r="E19" i="21"/>
  <c r="F19" i="21"/>
  <c r="G19" i="21"/>
  <c r="H19" i="21"/>
  <c r="I19" i="21"/>
  <c r="J19" i="21"/>
  <c r="K19" i="21"/>
  <c r="D19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4" i="21"/>
  <c r="E35" i="19"/>
  <c r="F35" i="19"/>
  <c r="G35" i="19"/>
  <c r="H35" i="19"/>
  <c r="I35" i="19"/>
  <c r="J35" i="19"/>
  <c r="K35" i="19"/>
  <c r="D35" i="19"/>
  <c r="E18" i="19"/>
  <c r="F18" i="19"/>
  <c r="G18" i="19"/>
  <c r="H18" i="19"/>
  <c r="I18" i="19"/>
  <c r="J18" i="19"/>
  <c r="K18" i="19"/>
  <c r="D18" i="19"/>
  <c r="L21" i="19"/>
  <c r="L22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4" i="19"/>
  <c r="E55" i="18"/>
  <c r="F55" i="18"/>
  <c r="G55" i="18"/>
  <c r="H55" i="18"/>
  <c r="I55" i="18"/>
  <c r="J55" i="18"/>
  <c r="K55" i="18"/>
  <c r="D55" i="18"/>
  <c r="E28" i="18"/>
  <c r="F28" i="18"/>
  <c r="G28" i="18"/>
  <c r="H28" i="18"/>
  <c r="I28" i="18"/>
  <c r="J28" i="18"/>
  <c r="K28" i="18"/>
  <c r="D28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4" i="18"/>
  <c r="D57" i="16"/>
  <c r="K57" i="16"/>
  <c r="J57" i="16"/>
  <c r="I57" i="16"/>
  <c r="H57" i="16"/>
  <c r="G57" i="16"/>
  <c r="F57" i="16"/>
  <c r="E57" i="16"/>
  <c r="D29" i="16"/>
  <c r="K29" i="16"/>
  <c r="J29" i="16"/>
  <c r="I29" i="16"/>
  <c r="H29" i="16"/>
  <c r="G29" i="16"/>
  <c r="F29" i="16"/>
  <c r="E29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4" i="16"/>
  <c r="E57" i="15"/>
  <c r="F57" i="15"/>
  <c r="G57" i="15"/>
  <c r="H57" i="15"/>
  <c r="I57" i="15"/>
  <c r="J57" i="15"/>
  <c r="K57" i="15"/>
  <c r="D57" i="15"/>
  <c r="E29" i="15"/>
  <c r="F29" i="15"/>
  <c r="G29" i="15"/>
  <c r="H29" i="15"/>
  <c r="I29" i="15"/>
  <c r="J29" i="15"/>
  <c r="K29" i="15"/>
  <c r="D29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4" i="15"/>
  <c r="E51" i="14"/>
  <c r="F51" i="14"/>
  <c r="G51" i="14"/>
  <c r="L51" i="14" s="1"/>
  <c r="H51" i="14"/>
  <c r="I51" i="14"/>
  <c r="J51" i="14"/>
  <c r="K51" i="14"/>
  <c r="D51" i="14"/>
  <c r="G26" i="14"/>
  <c r="H26" i="14"/>
  <c r="I26" i="14"/>
  <c r="J26" i="14"/>
  <c r="K26" i="14"/>
  <c r="F26" i="14"/>
  <c r="E26" i="14"/>
  <c r="D26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4" i="14"/>
  <c r="H33" i="13"/>
  <c r="I33" i="13"/>
  <c r="J33" i="13"/>
  <c r="K33" i="13"/>
  <c r="G33" i="13"/>
  <c r="F33" i="13"/>
  <c r="E33" i="13"/>
  <c r="D33" i="13"/>
  <c r="G17" i="13"/>
  <c r="F17" i="13"/>
  <c r="E17" i="13"/>
  <c r="D17" i="13"/>
  <c r="K17" i="13"/>
  <c r="J17" i="13"/>
  <c r="I17" i="13"/>
  <c r="H17" i="13"/>
  <c r="L5" i="13"/>
  <c r="L6" i="13"/>
  <c r="L7" i="13"/>
  <c r="L8" i="13"/>
  <c r="L9" i="13"/>
  <c r="L10" i="13"/>
  <c r="L11" i="13"/>
  <c r="L12" i="13"/>
  <c r="L13" i="13"/>
  <c r="L14" i="13"/>
  <c r="L15" i="13"/>
  <c r="L16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4" i="13"/>
  <c r="I31" i="12"/>
  <c r="J31" i="12"/>
  <c r="K31" i="12"/>
  <c r="H31" i="12"/>
  <c r="G31" i="12"/>
  <c r="F31" i="12"/>
  <c r="E31" i="12"/>
  <c r="D31" i="12"/>
  <c r="L20" i="12"/>
  <c r="L21" i="12"/>
  <c r="L22" i="12"/>
  <c r="L23" i="12"/>
  <c r="L24" i="12"/>
  <c r="L25" i="12"/>
  <c r="L26" i="12"/>
  <c r="L27" i="12"/>
  <c r="L28" i="12"/>
  <c r="L29" i="12"/>
  <c r="L30" i="12"/>
  <c r="L19" i="12"/>
  <c r="L5" i="12"/>
  <c r="L6" i="12"/>
  <c r="L7" i="12"/>
  <c r="L8" i="12"/>
  <c r="L9" i="12"/>
  <c r="L10" i="12"/>
  <c r="L11" i="12"/>
  <c r="L12" i="12"/>
  <c r="L13" i="12"/>
  <c r="L14" i="12"/>
  <c r="L15" i="12"/>
  <c r="L4" i="12"/>
  <c r="I16" i="12"/>
  <c r="J16" i="12"/>
  <c r="K16" i="12"/>
  <c r="H16" i="12"/>
  <c r="G16" i="12"/>
  <c r="F16" i="12"/>
  <c r="E16" i="12"/>
  <c r="D16" i="12"/>
  <c r="I53" i="11"/>
  <c r="J53" i="11"/>
  <c r="K53" i="11"/>
  <c r="H53" i="11"/>
  <c r="G53" i="11"/>
  <c r="F53" i="11"/>
  <c r="E53" i="11"/>
  <c r="D53" i="11"/>
  <c r="L53" i="11" s="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30" i="11"/>
  <c r="K27" i="11"/>
  <c r="J27" i="11"/>
  <c r="I27" i="11"/>
  <c r="H27" i="11"/>
  <c r="G27" i="11"/>
  <c r="F27" i="11"/>
  <c r="E27" i="11"/>
  <c r="D27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4" i="11"/>
  <c r="L21" i="10"/>
  <c r="L41" i="10"/>
  <c r="K55" i="7"/>
  <c r="J55" i="7"/>
  <c r="I55" i="7"/>
  <c r="H55" i="7"/>
  <c r="G55" i="7"/>
  <c r="F55" i="7"/>
  <c r="E55" i="7"/>
  <c r="D55" i="7"/>
  <c r="L55" i="7" s="1"/>
  <c r="K28" i="7"/>
  <c r="J28" i="7"/>
  <c r="I28" i="7"/>
  <c r="H28" i="7"/>
  <c r="G28" i="7"/>
  <c r="F28" i="7"/>
  <c r="E28" i="7"/>
  <c r="D28" i="7"/>
  <c r="K51" i="9"/>
  <c r="J51" i="9"/>
  <c r="I51" i="9"/>
  <c r="H51" i="9"/>
  <c r="G51" i="9"/>
  <c r="F51" i="9"/>
  <c r="E51" i="9"/>
  <c r="D51" i="9"/>
  <c r="L51" i="9" s="1"/>
  <c r="K26" i="9"/>
  <c r="J26" i="9"/>
  <c r="I26" i="9"/>
  <c r="H26" i="9"/>
  <c r="G26" i="9"/>
  <c r="F26" i="9"/>
  <c r="E26" i="9"/>
  <c r="D26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4" i="9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2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4" i="10"/>
  <c r="L29" i="16" l="1"/>
  <c r="L37" i="21"/>
  <c r="L31" i="29"/>
  <c r="L33" i="13"/>
  <c r="L26" i="9"/>
  <c r="L27" i="11"/>
  <c r="L17" i="13"/>
  <c r="L26" i="14"/>
  <c r="L35" i="26"/>
  <c r="L55" i="18"/>
  <c r="L81" i="22"/>
  <c r="L16" i="12"/>
  <c r="L31" i="30"/>
  <c r="L31" i="12"/>
  <c r="L28" i="7"/>
  <c r="L57" i="15"/>
  <c r="L30" i="28"/>
  <c r="L61" i="29"/>
  <c r="L35" i="23"/>
  <c r="L30" i="27"/>
  <c r="L59" i="27"/>
  <c r="L69" i="23"/>
  <c r="L41" i="22"/>
  <c r="L19" i="21"/>
  <c r="L18" i="19"/>
  <c r="L35" i="19"/>
  <c r="L28" i="18"/>
  <c r="L57" i="16"/>
  <c r="L29" i="15"/>
  <c r="G51" i="8" l="1"/>
  <c r="F51" i="8"/>
  <c r="E51" i="8"/>
  <c r="D51" i="8"/>
  <c r="K51" i="8"/>
  <c r="J51" i="8"/>
  <c r="I51" i="8"/>
  <c r="H51" i="8"/>
  <c r="I26" i="8"/>
  <c r="H26" i="8"/>
  <c r="G26" i="8"/>
  <c r="F26" i="8"/>
  <c r="E26" i="8"/>
  <c r="D26" i="8"/>
  <c r="K26" i="8"/>
  <c r="J26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4" i="8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4" i="7"/>
  <c r="E39" i="6"/>
  <c r="F39" i="6"/>
  <c r="G39" i="6"/>
  <c r="H39" i="6"/>
  <c r="I39" i="6"/>
  <c r="J39" i="6"/>
  <c r="K39" i="6"/>
  <c r="D39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23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4" i="6"/>
  <c r="E20" i="6"/>
  <c r="F20" i="6"/>
  <c r="G20" i="6"/>
  <c r="H20" i="6"/>
  <c r="I20" i="6"/>
  <c r="J20" i="6"/>
  <c r="K20" i="6"/>
  <c r="D20" i="6"/>
  <c r="L51" i="8" l="1"/>
  <c r="L39" i="6"/>
  <c r="L26" i="8"/>
  <c r="L20" i="6"/>
  <c r="K65" i="5" l="1"/>
  <c r="J65" i="5"/>
  <c r="I65" i="5"/>
  <c r="H65" i="5"/>
  <c r="G65" i="5"/>
  <c r="F65" i="5"/>
  <c r="E65" i="5"/>
  <c r="D65" i="5"/>
  <c r="L65" i="5" s="1"/>
  <c r="K33" i="5"/>
  <c r="J33" i="5"/>
  <c r="I33" i="5"/>
  <c r="H33" i="5"/>
  <c r="G33" i="5"/>
  <c r="F33" i="5"/>
  <c r="E33" i="5"/>
  <c r="D33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4" i="5"/>
  <c r="K55" i="4"/>
  <c r="J55" i="4"/>
  <c r="I55" i="4"/>
  <c r="H55" i="4"/>
  <c r="G55" i="4"/>
  <c r="F55" i="4"/>
  <c r="E55" i="4"/>
  <c r="D55" i="4"/>
  <c r="K28" i="4"/>
  <c r="J28" i="4"/>
  <c r="I28" i="4"/>
  <c r="H28" i="4"/>
  <c r="G28" i="4"/>
  <c r="F28" i="4"/>
  <c r="E28" i="4"/>
  <c r="D28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4" i="4"/>
  <c r="L28" i="4" s="1"/>
  <c r="K26" i="3"/>
  <c r="J26" i="3"/>
  <c r="I26" i="3"/>
  <c r="L26" i="3" s="1"/>
  <c r="H26" i="3"/>
  <c r="G26" i="3"/>
  <c r="F26" i="3"/>
  <c r="E26" i="3"/>
  <c r="D26" i="3"/>
  <c r="L13" i="3"/>
  <c r="K13" i="3"/>
  <c r="J13" i="3"/>
  <c r="I13" i="3"/>
  <c r="H13" i="3"/>
  <c r="G13" i="3"/>
  <c r="F13" i="3"/>
  <c r="E13" i="3"/>
  <c r="D13" i="3"/>
  <c r="K53" i="2"/>
  <c r="J53" i="2"/>
  <c r="I53" i="2"/>
  <c r="H53" i="2"/>
  <c r="G53" i="2"/>
  <c r="F53" i="2"/>
  <c r="E53" i="2"/>
  <c r="D53" i="2"/>
  <c r="L53" i="2" s="1"/>
  <c r="I27" i="2"/>
  <c r="H27" i="2"/>
  <c r="G27" i="2"/>
  <c r="F27" i="2"/>
  <c r="E27" i="2"/>
  <c r="D27" i="2"/>
  <c r="K27" i="2"/>
  <c r="J27" i="2"/>
  <c r="K51" i="1"/>
  <c r="J51" i="1"/>
  <c r="I51" i="1"/>
  <c r="H51" i="1"/>
  <c r="G51" i="1"/>
  <c r="F51" i="1"/>
  <c r="E51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29" i="1"/>
  <c r="L25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33" i="5" l="1"/>
  <c r="L55" i="4"/>
  <c r="L27" i="2"/>
  <c r="L51" i="1"/>
</calcChain>
</file>

<file path=xl/sharedStrings.xml><?xml version="1.0" encoding="utf-8"?>
<sst xmlns="http://schemas.openxmlformats.org/spreadsheetml/2006/main" count="2994" uniqueCount="144">
  <si>
    <t>Сумма по полю NetSales</t>
  </si>
  <si>
    <t>год_кв</t>
  </si>
  <si>
    <t>Клиент2</t>
  </si>
  <si>
    <t>ТовардляПлана</t>
  </si>
  <si>
    <t>2026_1</t>
  </si>
  <si>
    <t>2025_4</t>
  </si>
  <si>
    <t>2025_3</t>
  </si>
  <si>
    <t>2025_2</t>
  </si>
  <si>
    <t>2025_1</t>
  </si>
  <si>
    <t>Общий итог</t>
  </si>
  <si>
    <t>Конекс</t>
  </si>
  <si>
    <t>ActimPROM</t>
  </si>
  <si>
    <t>CardioCombo</t>
  </si>
  <si>
    <t>CLK№50</t>
  </si>
  <si>
    <t>CLpH№25</t>
  </si>
  <si>
    <t>CovidAg</t>
  </si>
  <si>
    <t>Duet</t>
  </si>
  <si>
    <t>HBsAg</t>
  </si>
  <si>
    <t>HBV</t>
  </si>
  <si>
    <t>HCV</t>
  </si>
  <si>
    <t>HIV</t>
  </si>
  <si>
    <t>HPAg</t>
  </si>
  <si>
    <t>Influenza</t>
  </si>
  <si>
    <t>multy10</t>
  </si>
  <si>
    <t>multy5</t>
  </si>
  <si>
    <t>Rota</t>
  </si>
  <si>
    <t>Secret</t>
  </si>
  <si>
    <t>Secret№2</t>
  </si>
  <si>
    <t>Solomini№5</t>
  </si>
  <si>
    <t>StrA</t>
  </si>
  <si>
    <t>TnI</t>
  </si>
  <si>
    <t>Ultra</t>
  </si>
  <si>
    <t>Ultra(наЗаміну)</t>
  </si>
  <si>
    <t>Всього</t>
  </si>
  <si>
    <t>2026_2</t>
  </si>
  <si>
    <t>2026_3</t>
  </si>
  <si>
    <t>2026_4</t>
  </si>
  <si>
    <t>Аптека низких цен</t>
  </si>
  <si>
    <t>CL2GK№50</t>
  </si>
  <si>
    <t>CLK№25</t>
  </si>
  <si>
    <t>CLK№5</t>
  </si>
  <si>
    <t>CLpH№1</t>
  </si>
  <si>
    <t>CovidAg+Influenza</t>
  </si>
  <si>
    <t>Syphilis</t>
  </si>
  <si>
    <t>Итог Сумма по полю NetSales</t>
  </si>
  <si>
    <t>Итог Сумма по полю Q</t>
  </si>
  <si>
    <t>Богоста Н.І. ФОП Аптека</t>
  </si>
  <si>
    <t>3 І</t>
  </si>
  <si>
    <t>ГАММА-55</t>
  </si>
  <si>
    <t>CL11</t>
  </si>
  <si>
    <t>CLG№50</t>
  </si>
  <si>
    <t>Волинь ЦМ</t>
  </si>
  <si>
    <t>Віса ТОВ</t>
  </si>
  <si>
    <t>Salmonella</t>
  </si>
  <si>
    <t>Фармастор</t>
  </si>
  <si>
    <t>год</t>
  </si>
  <si>
    <t>CovidAb</t>
  </si>
  <si>
    <t>CovidAbN</t>
  </si>
  <si>
    <t>Giardia</t>
  </si>
  <si>
    <t>2024-2025</t>
  </si>
  <si>
    <t>Аптека Гаєвського</t>
  </si>
  <si>
    <t>(пусто)</t>
  </si>
  <si>
    <t>ТОВ «Запорізька фармацевтична компанія»</t>
  </si>
  <si>
    <t xml:space="preserve">І.К.ВЕЛ </t>
  </si>
  <si>
    <t>CL3GK</t>
  </si>
  <si>
    <t>Діджи Хелс</t>
  </si>
  <si>
    <t>АНКОР ФАРМ</t>
  </si>
  <si>
    <t>ФАРМПОСТАЧ (Здравиця)</t>
  </si>
  <si>
    <t>рмпос</t>
  </si>
  <si>
    <t>Аптеки Запоріжжя , ПрАТ</t>
  </si>
  <si>
    <t>Сіріус-95 (Бажаємо здоров'я)</t>
  </si>
  <si>
    <t>Соломія-Сервіс</t>
  </si>
  <si>
    <t>РОДЖЕРС ТОВ</t>
  </si>
  <si>
    <t>ЗІМА</t>
  </si>
  <si>
    <t>Волыньфарм</t>
  </si>
  <si>
    <t>CL10M</t>
  </si>
  <si>
    <t>CRP№25(Lansion)</t>
  </si>
  <si>
    <t>DDimer№25(Lansion)</t>
  </si>
  <si>
    <t>Dymind:РастворительCLEP(50)</t>
  </si>
  <si>
    <t>HbA1c№25(Lansion)</t>
  </si>
  <si>
    <t>KT6300:EZCleanser(50)</t>
  </si>
  <si>
    <t>KT6300:ProbeCleanser(50)</t>
  </si>
  <si>
    <t>KT6300:РозчинLyseSolution(500)</t>
  </si>
  <si>
    <t>KT6300:РозчинникDiluent(20000)</t>
  </si>
  <si>
    <t>PSA№25(Lansion)</t>
  </si>
  <si>
    <t>ХУСТФАРМ</t>
  </si>
  <si>
    <t>ActimPancreatitis</t>
  </si>
  <si>
    <t>Calp</t>
  </si>
  <si>
    <t>Фірма Триоль  ЛТД ТОВ м. Полтава</t>
  </si>
  <si>
    <t>FOB+Tr</t>
  </si>
  <si>
    <t>СВ Медикал</t>
  </si>
  <si>
    <t>Adeno/RSV/HMPV/HPIV/Influenza/COVID-19/MP</t>
  </si>
  <si>
    <t>ClostridiumDifficileToxinAB</t>
  </si>
  <si>
    <t xml:space="preserve">ТОВ Ліки Полтавщини	</t>
  </si>
  <si>
    <t>Декада-2000  г.Львов</t>
  </si>
  <si>
    <t>Аптека Знахар</t>
  </si>
  <si>
    <t>Рівнефармація ТДВ</t>
  </si>
  <si>
    <t>АПТЕКА НЦ ТОВ</t>
  </si>
  <si>
    <t>Кількість ТТ 18</t>
  </si>
  <si>
    <t>Фармація КП м. Київ</t>
  </si>
  <si>
    <t>Кількість ТТ 153</t>
  </si>
  <si>
    <t>Маркет Универсал</t>
  </si>
  <si>
    <t>FOB</t>
  </si>
  <si>
    <t>metamph</t>
  </si>
  <si>
    <t>THC</t>
  </si>
  <si>
    <t>Кількість ТТ 363</t>
  </si>
  <si>
    <t>Гербамед (ТОВ МУЛЬТИСТОР)</t>
  </si>
  <si>
    <t>Кількість ТТ 37</t>
  </si>
  <si>
    <t>Кісельова О. В. ФОП, м. Новомосковськ (Дніпр. обл.)</t>
  </si>
  <si>
    <t>(Моя аптека)</t>
  </si>
  <si>
    <t>Кількість ТТ 29</t>
  </si>
  <si>
    <t>Богдан</t>
  </si>
  <si>
    <t>HAV</t>
  </si>
  <si>
    <t>(Євроаптека)</t>
  </si>
  <si>
    <t>Кількість ТТ 11</t>
  </si>
  <si>
    <t>Кількість ТТ 216</t>
  </si>
  <si>
    <t>ХМПА</t>
  </si>
  <si>
    <t>Волиньфармпостач</t>
  </si>
  <si>
    <t>САНА</t>
  </si>
  <si>
    <t>Скайінвест</t>
  </si>
  <si>
    <t>Фармако</t>
  </si>
  <si>
    <t>Хмельницька міська перша аптека</t>
  </si>
  <si>
    <t>Кількість ТТ 40</t>
  </si>
  <si>
    <t>Кількість ТТ 252</t>
  </si>
  <si>
    <t>Волиньфармпостач, ДВТП</t>
  </si>
  <si>
    <t>Кількість ТТ 59</t>
  </si>
  <si>
    <t>СКАЙІНВЕСТ, ВКФ, ПП, м.Кам'янка-Бузька</t>
  </si>
  <si>
    <t>Кількість ТТ 74</t>
  </si>
  <si>
    <t>ФАРМАКО, МКП</t>
  </si>
  <si>
    <t>Кількість ТТ 43</t>
  </si>
  <si>
    <t>ФОП Созанський І.В. (Спілка Тернополя)</t>
  </si>
  <si>
    <t>Кількість ТТ 130</t>
  </si>
  <si>
    <t>Кількість ТТ 459</t>
  </si>
  <si>
    <t>ПРИВАТНЕ МАЛЕ ПІДПРИЄМСТВО САНА ПП</t>
  </si>
  <si>
    <t>Кількість ТТ 8</t>
  </si>
  <si>
    <t>Всього, уп.</t>
  </si>
  <si>
    <t>Всього, грн</t>
  </si>
  <si>
    <t>Всього, грн.</t>
  </si>
  <si>
    <t>Всього, уп</t>
  </si>
  <si>
    <t>№ в коді</t>
  </si>
  <si>
    <t>Назва аркуша</t>
  </si>
  <si>
    <t>Євроаптека</t>
  </si>
  <si>
    <t>ФОП Созанський</t>
  </si>
  <si>
    <t>Маркет Універсал1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</si>
</sst>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,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0"/>
      <name val="Arial"/>
      <family val="2"/>
      <charset val="204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5"/>
      </top>
      <bottom/>
      <diagonal/>
    </border>
    <border>
      <left style="thin">
        <color indexed="65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7" fillId="0" borderId="0"/>
    <xf numFmtId="0" fontId="3" fillId="0" borderId="0"/>
    <xf numFmtId="0" fontId="4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40">
    <xf numFmtId="0" fontId="0" fillId="0" borderId="0" xfId="0"/>
    <xf numFmtId="164" fontId="0" fillId="0" borderId="6" xfId="0" applyNumberFormat="1" applyBorder="1"/>
    <xf numFmtId="164" fontId="0" fillId="0" borderId="0" xfId="0" applyNumberFormat="1"/>
    <xf numFmtId="0" fontId="6" fillId="0" borderId="0" xfId="0" applyFont="1"/>
    <xf numFmtId="0" fontId="6" fillId="0" borderId="7" xfId="0" applyFont="1" applyBorder="1"/>
    <xf numFmtId="0" fontId="8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6" xfId="0" applyFont="1" applyBorder="1"/>
    <xf numFmtId="3" fontId="6" fillId="0" borderId="0" xfId="0" applyNumberFormat="1" applyFont="1"/>
    <xf numFmtId="3" fontId="6" fillId="0" borderId="7" xfId="0" applyNumberFormat="1" applyFont="1" applyBorder="1"/>
    <xf numFmtId="3" fontId="6" fillId="0" borderId="6" xfId="0" applyNumberFormat="1" applyFont="1" applyBorder="1"/>
    <xf numFmtId="0" fontId="8" fillId="0" borderId="2" xfId="0" applyFont="1" applyBorder="1"/>
    <xf numFmtId="0" fontId="6" fillId="0" borderId="1" xfId="0" applyFont="1" applyBorder="1"/>
    <xf numFmtId="0" fontId="9" fillId="0" borderId="6" xfId="0" applyFont="1" applyBorder="1"/>
    <xf numFmtId="0" fontId="10" fillId="0" borderId="0" xfId="0" applyFont="1"/>
    <xf numFmtId="0" fontId="6" fillId="3" borderId="6" xfId="0" applyFont="1" applyFill="1" applyBorder="1"/>
    <xf numFmtId="0" fontId="6" fillId="3" borderId="3" xfId="0" applyFont="1" applyFill="1" applyBorder="1"/>
    <xf numFmtId="0" fontId="9" fillId="3" borderId="0" xfId="0" applyFont="1" applyFill="1"/>
    <xf numFmtId="0" fontId="6" fillId="0" borderId="5" xfId="0" applyFont="1" applyBorder="1"/>
    <xf numFmtId="3" fontId="6" fillId="0" borderId="3" xfId="0" applyNumberFormat="1" applyFont="1" applyBorder="1"/>
    <xf numFmtId="3" fontId="0" fillId="0" borderId="0" xfId="0" applyNumberFormat="1"/>
    <xf numFmtId="0" fontId="6" fillId="0" borderId="8" xfId="0" applyFont="1" applyBorder="1"/>
    <xf numFmtId="0" fontId="6" fillId="0" borderId="4" xfId="0" applyFont="1" applyBorder="1"/>
    <xf numFmtId="3" fontId="6" fillId="0" borderId="8" xfId="0" applyNumberFormat="1" applyFont="1" applyBorder="1"/>
    <xf numFmtId="0" fontId="5" fillId="3" borderId="8" xfId="0" applyFont="1" applyFill="1" applyBorder="1"/>
    <xf numFmtId="0" fontId="6" fillId="3" borderId="8" xfId="0" applyFont="1" applyFill="1" applyBorder="1"/>
    <xf numFmtId="0" fontId="6" fillId="0" borderId="6" xfId="0" applyFont="1" applyBorder="1" applyAlignment="1">
      <alignment wrapText="1"/>
    </xf>
    <xf numFmtId="0" fontId="6" fillId="6" borderId="7" xfId="0" applyFont="1" applyFill="1" applyBorder="1"/>
    <xf numFmtId="0" fontId="0" fillId="2" borderId="0" xfId="0" applyFill="1"/>
    <xf numFmtId="0" fontId="6" fillId="4" borderId="3" xfId="0" applyFont="1" applyFill="1" applyBorder="1"/>
    <xf numFmtId="0" fontId="6" fillId="4" borderId="6" xfId="0" applyFont="1" applyFill="1" applyBorder="1"/>
    <xf numFmtId="0" fontId="5" fillId="5" borderId="0" xfId="0" applyFont="1" applyFill="1"/>
    <xf numFmtId="3" fontId="9" fillId="7" borderId="7" xfId="0" applyNumberFormat="1" applyFont="1" applyFill="1" applyBorder="1"/>
    <xf numFmtId="3" fontId="5" fillId="7" borderId="0" xfId="0" applyNumberFormat="1" applyFont="1" applyFill="1"/>
    <xf numFmtId="0" fontId="0" fillId="3" borderId="8" xfId="0" applyFill="1" applyBorder="1"/>
    <xf numFmtId="0" fontId="0" fillId="3" borderId="8" xfId="0" applyFill="1" applyBorder="1" applyAlignment="1">
      <alignment wrapText="1"/>
    </xf>
    <xf numFmtId="0" fontId="5" fillId="7" borderId="8" xfId="0" applyFont="1" applyFill="1" applyBorder="1"/>
    <xf numFmtId="0" fontId="0" fillId="0" borderId="8" xfId="0" applyBorder="1"/>
    <xf numFmtId="3" fontId="9" fillId="0" borderId="7" xfId="0" applyNumberFormat="1" applyFont="1" applyBorder="1"/>
  </cellXfs>
  <cellStyles count="10">
    <cellStyle name="Звичайний" xfId="0" builtinId="0"/>
    <cellStyle name="Обычный 2" xfId="1" xr:uid="{00000000-0005-0000-0000-00002F000000}"/>
    <cellStyle name="Обычный 2 2" xfId="2" xr:uid="{00000000-0005-0000-0000-000030000000}"/>
    <cellStyle name="Обычный 2 3" xfId="4" xr:uid="{00000000-0005-0000-0000-000031000000}"/>
    <cellStyle name="Обычный 2 4" xfId="6" xr:uid="{00000000-0005-0000-0000-000034000000}"/>
    <cellStyle name="Обычный 2 5" xfId="8" xr:uid="{7C7E651F-C718-4D45-A15E-BCF5388CE7D1}"/>
    <cellStyle name="Обычный 3" xfId="5" xr:uid="{00000000-0005-0000-0000-000032000000}"/>
    <cellStyle name="Обычный 4" xfId="3" xr:uid="{00000000-0005-0000-0000-000033000000}"/>
    <cellStyle name="Обычный 4 2" xfId="7" xr:uid="{00000000-0005-0000-0000-000035000000}"/>
    <cellStyle name="Обычный 4 3" xfId="9" xr:uid="{3EFCE211-CEDD-4A3F-AD18-AE391B527E08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2122-8194-4F7D-8E93-949315C0EAFA}">
  <dimension ref="B2:C11"/>
  <sheetViews>
    <sheetView tabSelected="1" workbookViewId="0">
      <selection activeCell="G15" sqref="G15"/>
    </sheetView>
  </sheetViews>
  <sheetFormatPr defaultRowHeight="15" x14ac:dyDescent="0.25"/>
  <cols>
    <col min="3" max="3" width="35.140625" bestFit="1" customWidth="1"/>
  </cols>
  <sheetData>
    <row r="2" spans="2:3" x14ac:dyDescent="0.25">
      <c r="B2" s="38" t="s">
        <v>139</v>
      </c>
      <c r="C2" s="37" t="s">
        <v>140</v>
      </c>
    </row>
    <row r="3" spans="2:3" x14ac:dyDescent="0.25">
      <c r="B3" s="38">
        <v>11</v>
      </c>
      <c r="C3" s="35" t="s">
        <v>10</v>
      </c>
    </row>
    <row r="4" spans="2:3" x14ac:dyDescent="0.25">
      <c r="B4" s="38">
        <v>53</v>
      </c>
      <c r="C4" s="35" t="s">
        <v>141</v>
      </c>
    </row>
    <row r="5" spans="2:3" x14ac:dyDescent="0.25">
      <c r="B5" s="38">
        <v>45</v>
      </c>
      <c r="C5" s="35" t="s">
        <v>116</v>
      </c>
    </row>
    <row r="6" spans="2:3" x14ac:dyDescent="0.25">
      <c r="B6" s="38">
        <v>146</v>
      </c>
      <c r="C6" s="35" t="s">
        <v>117</v>
      </c>
    </row>
    <row r="7" spans="2:3" x14ac:dyDescent="0.25">
      <c r="B7" s="38">
        <v>181</v>
      </c>
      <c r="C7" s="35" t="s">
        <v>118</v>
      </c>
    </row>
    <row r="8" spans="2:3" x14ac:dyDescent="0.25">
      <c r="B8" s="38">
        <v>27</v>
      </c>
      <c r="C8" s="35" t="s">
        <v>119</v>
      </c>
    </row>
    <row r="9" spans="2:3" x14ac:dyDescent="0.25">
      <c r="B9" s="38">
        <v>601</v>
      </c>
      <c r="C9" s="35" t="s">
        <v>120</v>
      </c>
    </row>
    <row r="10" spans="2:3" x14ac:dyDescent="0.25">
      <c r="B10" s="38">
        <v>108</v>
      </c>
      <c r="C10" s="36" t="s">
        <v>142</v>
      </c>
    </row>
    <row r="11" spans="2:3" x14ac:dyDescent="0.25">
      <c r="B11" s="38">
        <v>10</v>
      </c>
      <c r="C11" s="35" t="s">
        <v>143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410B-55F6-4D25-BB93-6A51767C145A}">
  <dimension ref="B2:O65"/>
  <sheetViews>
    <sheetView workbookViewId="0">
      <selection activeCell="C55" sqref="C55"/>
    </sheetView>
  </sheetViews>
  <sheetFormatPr defaultRowHeight="15" x14ac:dyDescent="0.25"/>
  <cols>
    <col min="2" max="2" width="10.7109375" customWidth="1"/>
    <col min="3" max="3" width="16.28515625" bestFit="1" customWidth="1"/>
    <col min="12" max="12" width="11.140625" bestFit="1" customWidth="1"/>
  </cols>
  <sheetData>
    <row r="2" spans="2:15" ht="18.75" x14ac:dyDescent="0.3">
      <c r="B2" s="5" t="s">
        <v>0</v>
      </c>
      <c r="C2" s="12"/>
      <c r="D2" s="4" t="s">
        <v>1</v>
      </c>
      <c r="E2" s="6"/>
      <c r="F2" s="6"/>
      <c r="G2" s="6"/>
      <c r="H2" s="6"/>
      <c r="L2" s="3"/>
      <c r="M2" s="3"/>
      <c r="N2" s="3"/>
      <c r="O2" s="6"/>
    </row>
    <row r="3" spans="2:15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1" t="s">
        <v>5</v>
      </c>
      <c r="H3" s="30" t="s">
        <v>4</v>
      </c>
      <c r="I3" s="30" t="s">
        <v>34</v>
      </c>
      <c r="J3" s="30" t="s">
        <v>35</v>
      </c>
      <c r="K3" s="30" t="s">
        <v>36</v>
      </c>
      <c r="L3" s="30" t="s">
        <v>9</v>
      </c>
    </row>
    <row r="4" spans="2:15" x14ac:dyDescent="0.25">
      <c r="B4" s="8" t="s">
        <v>48</v>
      </c>
      <c r="C4" s="7" t="s">
        <v>11</v>
      </c>
      <c r="D4" s="9">
        <v>172729.15999999997</v>
      </c>
      <c r="E4" s="9">
        <v>167896.06</v>
      </c>
      <c r="F4" s="9">
        <v>159364.52000000008</v>
      </c>
      <c r="G4" s="9">
        <v>86893.109999999971</v>
      </c>
      <c r="H4" s="9"/>
      <c r="L4" s="10">
        <f>SUM(D4:K4)</f>
        <v>586882.85</v>
      </c>
    </row>
    <row r="5" spans="2:15" x14ac:dyDescent="0.25">
      <c r="B5" s="13"/>
      <c r="C5" s="4" t="s">
        <v>12</v>
      </c>
      <c r="D5" s="9">
        <v>82419.439999999959</v>
      </c>
      <c r="E5" s="9">
        <v>27356.129999999994</v>
      </c>
      <c r="F5" s="9">
        <v>13823.970000000008</v>
      </c>
      <c r="G5" s="9">
        <v>12961.790000000005</v>
      </c>
      <c r="H5" s="9"/>
      <c r="L5" s="10">
        <f t="shared" ref="L5:L64" si="0">SUM(D5:K5)</f>
        <v>136561.32999999996</v>
      </c>
    </row>
    <row r="6" spans="2:15" x14ac:dyDescent="0.25">
      <c r="B6" s="13"/>
      <c r="C6" s="4" t="s">
        <v>49</v>
      </c>
      <c r="D6" s="9"/>
      <c r="E6" s="9"/>
      <c r="F6" s="9"/>
      <c r="G6" s="9">
        <v>1670.31</v>
      </c>
      <c r="H6" s="9"/>
      <c r="L6" s="10">
        <f t="shared" si="0"/>
        <v>1670.31</v>
      </c>
    </row>
    <row r="7" spans="2:15" x14ac:dyDescent="0.25">
      <c r="B7" s="13"/>
      <c r="C7" s="4" t="s">
        <v>38</v>
      </c>
      <c r="D7" s="9">
        <v>27773.069999999989</v>
      </c>
      <c r="E7" s="9">
        <v>20008.96000000001</v>
      </c>
      <c r="F7" s="9">
        <v>5271.3000000000011</v>
      </c>
      <c r="G7" s="9">
        <v>8634.5700000000052</v>
      </c>
      <c r="H7" s="9"/>
      <c r="L7" s="10">
        <f t="shared" si="0"/>
        <v>61687.900000000009</v>
      </c>
    </row>
    <row r="8" spans="2:15" x14ac:dyDescent="0.25">
      <c r="B8" s="13"/>
      <c r="C8" s="4" t="s">
        <v>50</v>
      </c>
      <c r="D8" s="9"/>
      <c r="E8" s="9">
        <v>543.78</v>
      </c>
      <c r="F8" s="9"/>
      <c r="G8" s="9">
        <v>224.62</v>
      </c>
      <c r="H8" s="9"/>
      <c r="L8" s="10">
        <f t="shared" si="0"/>
        <v>768.4</v>
      </c>
    </row>
    <row r="9" spans="2:15" x14ac:dyDescent="0.25">
      <c r="B9" s="13"/>
      <c r="C9" s="4" t="s">
        <v>39</v>
      </c>
      <c r="D9" s="9"/>
      <c r="E9" s="9">
        <v>1255.9299999999998</v>
      </c>
      <c r="F9" s="9">
        <v>1121.8</v>
      </c>
      <c r="G9" s="9">
        <v>389.27</v>
      </c>
      <c r="H9" s="9"/>
      <c r="L9" s="10">
        <f t="shared" si="0"/>
        <v>2766.9999999999995</v>
      </c>
    </row>
    <row r="10" spans="2:15" x14ac:dyDescent="0.25">
      <c r="B10" s="13"/>
      <c r="C10" s="4" t="s">
        <v>40</v>
      </c>
      <c r="D10" s="9"/>
      <c r="E10" s="9">
        <v>10444.270000000002</v>
      </c>
      <c r="F10" s="9">
        <v>11244.579999999991</v>
      </c>
      <c r="G10" s="9">
        <v>3638.8599999999956</v>
      </c>
      <c r="H10" s="9">
        <v>100</v>
      </c>
      <c r="L10" s="10">
        <f t="shared" si="0"/>
        <v>25427.709999999988</v>
      </c>
    </row>
    <row r="11" spans="2:15" x14ac:dyDescent="0.25">
      <c r="B11" s="13"/>
      <c r="C11" s="4" t="s">
        <v>13</v>
      </c>
      <c r="D11" s="9">
        <v>80290.750000000015</v>
      </c>
      <c r="E11" s="9">
        <v>42868.879999999976</v>
      </c>
      <c r="F11" s="9">
        <v>23764.090000000026</v>
      </c>
      <c r="G11" s="9">
        <v>20720.859999999997</v>
      </c>
      <c r="H11" s="9"/>
      <c r="L11" s="10">
        <f t="shared" si="0"/>
        <v>167644.58000000002</v>
      </c>
    </row>
    <row r="12" spans="2:15" x14ac:dyDescent="0.25">
      <c r="B12" s="13"/>
      <c r="C12" s="4" t="s">
        <v>41</v>
      </c>
      <c r="D12" s="9">
        <v>67559.329999999929</v>
      </c>
      <c r="E12" s="9">
        <v>46734.239999999998</v>
      </c>
      <c r="F12" s="9">
        <v>31071.029999999995</v>
      </c>
      <c r="G12" s="9">
        <v>18635.629999999997</v>
      </c>
      <c r="H12" s="9">
        <v>1387.8</v>
      </c>
      <c r="L12" s="10">
        <f t="shared" si="0"/>
        <v>165388.02999999991</v>
      </c>
    </row>
    <row r="13" spans="2:15" x14ac:dyDescent="0.25">
      <c r="B13" s="13"/>
      <c r="C13" s="4" t="s">
        <v>14</v>
      </c>
      <c r="D13" s="9">
        <v>66554.259999999937</v>
      </c>
      <c r="E13" s="9">
        <v>74153.739999999976</v>
      </c>
      <c r="F13" s="9">
        <v>58250.190000000046</v>
      </c>
      <c r="G13" s="9">
        <v>45587.960000000006</v>
      </c>
      <c r="H13" s="9"/>
      <c r="L13" s="10">
        <f t="shared" si="0"/>
        <v>244546.14999999997</v>
      </c>
    </row>
    <row r="14" spans="2:15" x14ac:dyDescent="0.25">
      <c r="B14" s="13"/>
      <c r="C14" s="4" t="s">
        <v>15</v>
      </c>
      <c r="D14" s="9">
        <v>31290.860000000004</v>
      </c>
      <c r="E14" s="9">
        <v>7747.79</v>
      </c>
      <c r="F14" s="9">
        <v>388215.45999999996</v>
      </c>
      <c r="G14" s="9">
        <v>54701.609999999979</v>
      </c>
      <c r="H14" s="9">
        <v>752</v>
      </c>
      <c r="L14" s="10">
        <f t="shared" si="0"/>
        <v>482707.72</v>
      </c>
    </row>
    <row r="15" spans="2:15" x14ac:dyDescent="0.25">
      <c r="B15" s="13"/>
      <c r="C15" s="4" t="s">
        <v>42</v>
      </c>
      <c r="D15" s="9">
        <v>306632.05999999994</v>
      </c>
      <c r="E15" s="9">
        <v>216802.78999999998</v>
      </c>
      <c r="F15" s="9">
        <v>468296.9000000002</v>
      </c>
      <c r="G15" s="9">
        <v>153288.98999999996</v>
      </c>
      <c r="H15" s="9"/>
      <c r="L15" s="10">
        <f t="shared" si="0"/>
        <v>1145020.74</v>
      </c>
    </row>
    <row r="16" spans="2:15" x14ac:dyDescent="0.25">
      <c r="B16" s="13"/>
      <c r="C16" s="4" t="s">
        <v>16</v>
      </c>
      <c r="D16" s="9">
        <v>23495.75</v>
      </c>
      <c r="E16" s="9">
        <v>18756.54</v>
      </c>
      <c r="F16" s="9">
        <v>20258.25</v>
      </c>
      <c r="G16" s="9">
        <v>20274.029999999995</v>
      </c>
      <c r="H16" s="9"/>
      <c r="L16" s="10">
        <f t="shared" si="0"/>
        <v>82784.569999999992</v>
      </c>
    </row>
    <row r="17" spans="2:12" x14ac:dyDescent="0.25">
      <c r="B17" s="13"/>
      <c r="C17" s="4" t="s">
        <v>17</v>
      </c>
      <c r="D17" s="9">
        <v>13408.060000000003</v>
      </c>
      <c r="E17" s="9">
        <v>47468.750000000015</v>
      </c>
      <c r="F17" s="9">
        <v>11341.330000000002</v>
      </c>
      <c r="G17" s="9">
        <v>13065.639999999998</v>
      </c>
      <c r="H17" s="9"/>
      <c r="L17" s="10">
        <f t="shared" si="0"/>
        <v>85283.780000000013</v>
      </c>
    </row>
    <row r="18" spans="2:12" x14ac:dyDescent="0.25">
      <c r="B18" s="13"/>
      <c r="C18" s="4" t="s">
        <v>19</v>
      </c>
      <c r="D18" s="9">
        <v>30405.090000000022</v>
      </c>
      <c r="E18" s="9">
        <v>38278.660000000018</v>
      </c>
      <c r="F18" s="9">
        <v>38354.039999999979</v>
      </c>
      <c r="G18" s="9">
        <v>20781.80999999999</v>
      </c>
      <c r="H18" s="9"/>
      <c r="L18" s="10">
        <f t="shared" si="0"/>
        <v>127819.6</v>
      </c>
    </row>
    <row r="19" spans="2:12" x14ac:dyDescent="0.25">
      <c r="B19" s="13"/>
      <c r="C19" s="4" t="s">
        <v>20</v>
      </c>
      <c r="D19" s="9">
        <v>55000.310000000005</v>
      </c>
      <c r="E19" s="9">
        <v>50280.990000000013</v>
      </c>
      <c r="F19" s="9">
        <v>30284.62000000001</v>
      </c>
      <c r="G19" s="9">
        <v>41076.75</v>
      </c>
      <c r="H19" s="9"/>
      <c r="L19" s="10">
        <f t="shared" si="0"/>
        <v>176642.67000000004</v>
      </c>
    </row>
    <row r="20" spans="2:12" x14ac:dyDescent="0.25">
      <c r="B20" s="13"/>
      <c r="C20" s="4" t="s">
        <v>21</v>
      </c>
      <c r="D20" s="9">
        <v>188194.24999999991</v>
      </c>
      <c r="E20" s="9">
        <v>166222.1999999999</v>
      </c>
      <c r="F20" s="9">
        <v>92867.759999999966</v>
      </c>
      <c r="G20" s="9">
        <v>102668.20999999989</v>
      </c>
      <c r="H20" s="9">
        <v>13536.24</v>
      </c>
      <c r="L20" s="10">
        <f t="shared" si="0"/>
        <v>563488.65999999968</v>
      </c>
    </row>
    <row r="21" spans="2:12" x14ac:dyDescent="0.25">
      <c r="B21" s="13"/>
      <c r="C21" s="4" t="s">
        <v>22</v>
      </c>
      <c r="D21" s="9">
        <v>680860.44000000122</v>
      </c>
      <c r="E21" s="9">
        <v>11111.670000000002</v>
      </c>
      <c r="F21" s="9">
        <v>17114.979999999996</v>
      </c>
      <c r="G21" s="9">
        <v>40855.280000000013</v>
      </c>
      <c r="H21" s="9">
        <v>25763.370000000003</v>
      </c>
      <c r="L21" s="10">
        <f t="shared" si="0"/>
        <v>775705.74000000127</v>
      </c>
    </row>
    <row r="22" spans="2:12" x14ac:dyDescent="0.25">
      <c r="B22" s="13"/>
      <c r="C22" s="4" t="s">
        <v>23</v>
      </c>
      <c r="D22" s="9">
        <v>161750.25000000009</v>
      </c>
      <c r="E22" s="9">
        <v>197292.40999999989</v>
      </c>
      <c r="F22" s="9">
        <v>193412.16999999993</v>
      </c>
      <c r="G22" s="9">
        <v>175974.31999999995</v>
      </c>
      <c r="H22" s="9"/>
      <c r="L22" s="10">
        <f t="shared" si="0"/>
        <v>728429.14999999979</v>
      </c>
    </row>
    <row r="23" spans="2:12" x14ac:dyDescent="0.25">
      <c r="B23" s="13"/>
      <c r="C23" s="4" t="s">
        <v>24</v>
      </c>
      <c r="D23" s="9">
        <v>125324.06999999998</v>
      </c>
      <c r="E23" s="9">
        <v>128946.04</v>
      </c>
      <c r="F23" s="9">
        <v>60353.249999999942</v>
      </c>
      <c r="G23" s="9">
        <v>38087.549999999988</v>
      </c>
      <c r="H23" s="9"/>
      <c r="L23" s="10">
        <f t="shared" si="0"/>
        <v>352710.90999999992</v>
      </c>
    </row>
    <row r="24" spans="2:12" x14ac:dyDescent="0.25">
      <c r="B24" s="13"/>
      <c r="C24" s="4" t="s">
        <v>25</v>
      </c>
      <c r="D24" s="9">
        <v>91842.009999999907</v>
      </c>
      <c r="E24" s="9">
        <v>54675.919999999969</v>
      </c>
      <c r="F24" s="9">
        <v>30101.229999999981</v>
      </c>
      <c r="G24" s="9">
        <v>16812.799999999996</v>
      </c>
      <c r="H24" s="9">
        <v>1344</v>
      </c>
      <c r="L24" s="10">
        <f t="shared" si="0"/>
        <v>194775.95999999985</v>
      </c>
    </row>
    <row r="25" spans="2:12" x14ac:dyDescent="0.25">
      <c r="B25" s="13"/>
      <c r="C25" s="4" t="s">
        <v>26</v>
      </c>
      <c r="D25" s="9">
        <v>6658.51</v>
      </c>
      <c r="E25" s="9">
        <v>7086.3799999999992</v>
      </c>
      <c r="F25" s="9">
        <v>4244.3200000000006</v>
      </c>
      <c r="G25" s="9">
        <v>4538.7099999999991</v>
      </c>
      <c r="H25" s="9"/>
      <c r="L25" s="10">
        <f t="shared" si="0"/>
        <v>22527.919999999998</v>
      </c>
    </row>
    <row r="26" spans="2:12" x14ac:dyDescent="0.25">
      <c r="B26" s="13"/>
      <c r="C26" s="4" t="s">
        <v>27</v>
      </c>
      <c r="D26" s="9">
        <v>8533.2900000000009</v>
      </c>
      <c r="E26" s="9">
        <v>6489.51</v>
      </c>
      <c r="F26" s="9">
        <v>4828.4900000000007</v>
      </c>
      <c r="G26" s="9">
        <v>6656.2099999999991</v>
      </c>
      <c r="H26" s="9"/>
      <c r="L26" s="10">
        <f t="shared" si="0"/>
        <v>26507.5</v>
      </c>
    </row>
    <row r="27" spans="2:12" x14ac:dyDescent="0.25">
      <c r="B27" s="13"/>
      <c r="C27" s="4" t="s">
        <v>28</v>
      </c>
      <c r="D27" s="9">
        <v>24038.980000000014</v>
      </c>
      <c r="E27" s="9">
        <v>21563.229999999996</v>
      </c>
      <c r="F27" s="9">
        <v>17930.999999999996</v>
      </c>
      <c r="G27" s="9">
        <v>19697.850000000006</v>
      </c>
      <c r="H27" s="9"/>
      <c r="L27" s="10">
        <f t="shared" si="0"/>
        <v>83231.060000000012</v>
      </c>
    </row>
    <row r="28" spans="2:12" x14ac:dyDescent="0.25">
      <c r="B28" s="13"/>
      <c r="C28" s="4" t="s">
        <v>29</v>
      </c>
      <c r="D28" s="9">
        <v>526369.61999999976</v>
      </c>
      <c r="E28" s="9">
        <v>523358.27999999968</v>
      </c>
      <c r="F28" s="9">
        <v>376784.5700000003</v>
      </c>
      <c r="G28" s="9">
        <v>385427.64999999997</v>
      </c>
      <c r="H28" s="9"/>
      <c r="L28" s="10">
        <f t="shared" si="0"/>
        <v>1811940.1199999996</v>
      </c>
    </row>
    <row r="29" spans="2:12" x14ac:dyDescent="0.25">
      <c r="B29" s="13"/>
      <c r="C29" s="4" t="s">
        <v>43</v>
      </c>
      <c r="D29" s="9">
        <v>11005.419999999993</v>
      </c>
      <c r="E29" s="9">
        <v>13863.760000000004</v>
      </c>
      <c r="F29" s="9">
        <v>7673.7099999999964</v>
      </c>
      <c r="G29" s="9">
        <v>4516.18</v>
      </c>
      <c r="H29" s="9"/>
      <c r="L29" s="10">
        <f t="shared" si="0"/>
        <v>37059.069999999992</v>
      </c>
    </row>
    <row r="30" spans="2:12" x14ac:dyDescent="0.25">
      <c r="B30" s="13"/>
      <c r="C30" s="4" t="s">
        <v>30</v>
      </c>
      <c r="D30" s="9">
        <v>20085.939999999991</v>
      </c>
      <c r="E30" s="9">
        <v>46999.810000000005</v>
      </c>
      <c r="F30" s="9">
        <v>17484.870000000003</v>
      </c>
      <c r="G30" s="9">
        <v>34232.390000000007</v>
      </c>
      <c r="H30" s="9"/>
      <c r="L30" s="10">
        <f t="shared" si="0"/>
        <v>118803.01000000001</v>
      </c>
    </row>
    <row r="31" spans="2:12" x14ac:dyDescent="0.25">
      <c r="B31" s="13"/>
      <c r="C31" s="4" t="s">
        <v>31</v>
      </c>
      <c r="D31" s="9">
        <v>36539.549999999996</v>
      </c>
      <c r="E31" s="9">
        <v>37480.94999999999</v>
      </c>
      <c r="F31" s="9">
        <v>25343.570000000011</v>
      </c>
      <c r="G31" s="9">
        <v>32664.930000000004</v>
      </c>
      <c r="H31" s="9"/>
      <c r="L31" s="10">
        <f t="shared" si="0"/>
        <v>132029</v>
      </c>
    </row>
    <row r="32" spans="2:12" x14ac:dyDescent="0.25">
      <c r="B32" s="13"/>
      <c r="C32" s="4" t="s">
        <v>32</v>
      </c>
      <c r="D32" s="9">
        <v>7782.26</v>
      </c>
      <c r="E32" s="9">
        <v>7351.14</v>
      </c>
      <c r="F32" s="9">
        <v>3248.67</v>
      </c>
      <c r="G32" s="9">
        <v>5874.5400000000009</v>
      </c>
      <c r="H32" s="9"/>
      <c r="L32" s="10">
        <f t="shared" si="0"/>
        <v>24256.61</v>
      </c>
    </row>
    <row r="33" spans="2:12" x14ac:dyDescent="0.25">
      <c r="B33" s="3" t="s">
        <v>33</v>
      </c>
      <c r="C33" s="6"/>
      <c r="D33" s="11">
        <f t="shared" ref="D33:K33" si="1">SUM(D4:D32)</f>
        <v>2846542.7299999995</v>
      </c>
      <c r="E33" s="11">
        <f t="shared" si="1"/>
        <v>1993038.8099999994</v>
      </c>
      <c r="F33" s="11">
        <f t="shared" si="1"/>
        <v>2112050.6700000009</v>
      </c>
      <c r="G33" s="11">
        <f t="shared" si="1"/>
        <v>1370552.4299999995</v>
      </c>
      <c r="H33" s="11">
        <f t="shared" si="1"/>
        <v>42883.41</v>
      </c>
      <c r="I33" s="11">
        <f t="shared" si="1"/>
        <v>0</v>
      </c>
      <c r="J33" s="11">
        <f t="shared" si="1"/>
        <v>0</v>
      </c>
      <c r="K33" s="11">
        <f t="shared" si="1"/>
        <v>0</v>
      </c>
      <c r="L33" s="10">
        <f>SUM(D33:K33)</f>
        <v>8365068.0499999998</v>
      </c>
    </row>
    <row r="34" spans="2:12" x14ac:dyDescent="0.25">
      <c r="B34" s="13"/>
      <c r="C34" s="4"/>
      <c r="D34" s="9"/>
      <c r="E34" s="9"/>
      <c r="F34" s="9"/>
      <c r="G34" s="9"/>
      <c r="H34" s="9"/>
      <c r="L34" s="10"/>
    </row>
    <row r="35" spans="2:12" x14ac:dyDescent="0.25">
      <c r="B35" s="8" t="s">
        <v>2</v>
      </c>
      <c r="C35" s="7" t="s">
        <v>3</v>
      </c>
      <c r="D35" s="8" t="s">
        <v>8</v>
      </c>
      <c r="E35" s="8" t="s">
        <v>7</v>
      </c>
      <c r="F35" s="8" t="s">
        <v>6</v>
      </c>
      <c r="G35" s="8" t="s">
        <v>5</v>
      </c>
      <c r="H35" s="7" t="s">
        <v>4</v>
      </c>
      <c r="I35" s="7" t="s">
        <v>34</v>
      </c>
      <c r="J35" s="7" t="s">
        <v>35</v>
      </c>
      <c r="K35" s="7" t="s">
        <v>36</v>
      </c>
      <c r="L35" s="7" t="s">
        <v>9</v>
      </c>
    </row>
    <row r="36" spans="2:12" x14ac:dyDescent="0.25">
      <c r="B36" s="13"/>
      <c r="C36" s="7" t="s">
        <v>11</v>
      </c>
      <c r="D36" s="11">
        <v>263</v>
      </c>
      <c r="E36" s="11">
        <v>256</v>
      </c>
      <c r="F36" s="11">
        <v>236</v>
      </c>
      <c r="G36" s="11">
        <v>135</v>
      </c>
      <c r="H36" s="11"/>
      <c r="L36" s="10">
        <f t="shared" si="0"/>
        <v>890</v>
      </c>
    </row>
    <row r="37" spans="2:12" x14ac:dyDescent="0.25">
      <c r="B37" s="13"/>
      <c r="C37" s="4" t="s">
        <v>12</v>
      </c>
      <c r="D37" s="9">
        <v>233</v>
      </c>
      <c r="E37" s="9">
        <v>77</v>
      </c>
      <c r="F37" s="9">
        <v>39</v>
      </c>
      <c r="G37" s="9">
        <v>38</v>
      </c>
      <c r="H37" s="9"/>
      <c r="L37" s="10">
        <f t="shared" si="0"/>
        <v>387</v>
      </c>
    </row>
    <row r="38" spans="2:12" x14ac:dyDescent="0.25">
      <c r="B38" s="13"/>
      <c r="C38" s="4" t="s">
        <v>49</v>
      </c>
      <c r="D38" s="9"/>
      <c r="E38" s="9"/>
      <c r="F38" s="9"/>
      <c r="G38" s="9">
        <v>3</v>
      </c>
      <c r="H38" s="9"/>
      <c r="L38" s="10">
        <f t="shared" si="0"/>
        <v>3</v>
      </c>
    </row>
    <row r="39" spans="2:12" x14ac:dyDescent="0.25">
      <c r="B39" s="13"/>
      <c r="C39" s="4" t="s">
        <v>38</v>
      </c>
      <c r="D39" s="9">
        <v>122</v>
      </c>
      <c r="E39" s="9">
        <v>88</v>
      </c>
      <c r="F39" s="9">
        <v>26</v>
      </c>
      <c r="G39" s="9">
        <v>47</v>
      </c>
      <c r="H39" s="9"/>
      <c r="L39" s="10">
        <f t="shared" si="0"/>
        <v>283</v>
      </c>
    </row>
    <row r="40" spans="2:12" x14ac:dyDescent="0.25">
      <c r="B40" s="13"/>
      <c r="C40" s="4" t="s">
        <v>50</v>
      </c>
      <c r="D40" s="9"/>
      <c r="E40" s="9">
        <v>4</v>
      </c>
      <c r="F40" s="9"/>
      <c r="G40" s="9">
        <v>2</v>
      </c>
      <c r="H40" s="9"/>
      <c r="L40" s="10">
        <f t="shared" si="0"/>
        <v>6</v>
      </c>
    </row>
    <row r="41" spans="2:12" x14ac:dyDescent="0.25">
      <c r="B41" s="13"/>
      <c r="C41" s="4" t="s">
        <v>39</v>
      </c>
      <c r="D41" s="9"/>
      <c r="E41" s="9">
        <v>12</v>
      </c>
      <c r="F41" s="9">
        <v>12</v>
      </c>
      <c r="G41" s="9">
        <v>5</v>
      </c>
      <c r="H41" s="9"/>
      <c r="L41" s="10">
        <f t="shared" si="0"/>
        <v>29</v>
      </c>
    </row>
    <row r="42" spans="2:12" x14ac:dyDescent="0.25">
      <c r="B42" s="13"/>
      <c r="C42" s="4" t="s">
        <v>40</v>
      </c>
      <c r="D42" s="9"/>
      <c r="E42" s="9">
        <v>547</v>
      </c>
      <c r="F42" s="9">
        <v>562</v>
      </c>
      <c r="G42" s="9">
        <v>181</v>
      </c>
      <c r="H42" s="9">
        <v>4</v>
      </c>
      <c r="L42" s="10">
        <f t="shared" si="0"/>
        <v>1294</v>
      </c>
    </row>
    <row r="43" spans="2:12" x14ac:dyDescent="0.25">
      <c r="B43" s="13"/>
      <c r="C43" s="4" t="s">
        <v>13</v>
      </c>
      <c r="D43" s="9">
        <v>534</v>
      </c>
      <c r="E43" s="9">
        <v>294</v>
      </c>
      <c r="F43" s="9">
        <v>154</v>
      </c>
      <c r="G43" s="9">
        <v>136</v>
      </c>
      <c r="H43" s="9"/>
      <c r="L43" s="10">
        <f t="shared" si="0"/>
        <v>1118</v>
      </c>
    </row>
    <row r="44" spans="2:12" x14ac:dyDescent="0.25">
      <c r="B44" s="13"/>
      <c r="C44" s="4" t="s">
        <v>41</v>
      </c>
      <c r="D44" s="9">
        <v>918</v>
      </c>
      <c r="E44" s="9">
        <v>634</v>
      </c>
      <c r="F44" s="9">
        <v>423</v>
      </c>
      <c r="G44" s="9">
        <v>261</v>
      </c>
      <c r="H44" s="9">
        <v>18</v>
      </c>
      <c r="L44" s="10">
        <f t="shared" si="0"/>
        <v>2254</v>
      </c>
    </row>
    <row r="45" spans="2:12" x14ac:dyDescent="0.25">
      <c r="B45" s="13"/>
      <c r="C45" s="4" t="s">
        <v>14</v>
      </c>
      <c r="D45" s="9">
        <v>295</v>
      </c>
      <c r="E45" s="9">
        <v>329</v>
      </c>
      <c r="F45" s="9">
        <v>255</v>
      </c>
      <c r="G45" s="9">
        <v>203</v>
      </c>
      <c r="H45" s="9"/>
      <c r="L45" s="10">
        <f t="shared" si="0"/>
        <v>1082</v>
      </c>
    </row>
    <row r="46" spans="2:12" x14ac:dyDescent="0.25">
      <c r="B46" s="13"/>
      <c r="C46" s="4" t="s">
        <v>15</v>
      </c>
      <c r="D46" s="9">
        <v>164</v>
      </c>
      <c r="E46" s="9">
        <v>39</v>
      </c>
      <c r="F46" s="9">
        <v>2197</v>
      </c>
      <c r="G46" s="9">
        <v>335</v>
      </c>
      <c r="H46" s="9">
        <v>4</v>
      </c>
      <c r="L46" s="10">
        <f t="shared" si="0"/>
        <v>2739</v>
      </c>
    </row>
    <row r="47" spans="2:12" x14ac:dyDescent="0.25">
      <c r="B47" s="13"/>
      <c r="C47" s="4" t="s">
        <v>42</v>
      </c>
      <c r="D47" s="9">
        <v>802</v>
      </c>
      <c r="E47" s="9">
        <v>566</v>
      </c>
      <c r="F47" s="9">
        <v>1326</v>
      </c>
      <c r="G47" s="9">
        <v>448</v>
      </c>
      <c r="H47" s="9"/>
      <c r="L47" s="10">
        <f t="shared" si="0"/>
        <v>3142</v>
      </c>
    </row>
    <row r="48" spans="2:12" x14ac:dyDescent="0.25">
      <c r="B48" s="13"/>
      <c r="C48" s="4" t="s">
        <v>16</v>
      </c>
      <c r="D48" s="9">
        <v>247</v>
      </c>
      <c r="E48" s="9">
        <v>189</v>
      </c>
      <c r="F48" s="9">
        <v>196</v>
      </c>
      <c r="G48" s="9">
        <v>193</v>
      </c>
      <c r="H48" s="9"/>
      <c r="L48" s="10">
        <f t="shared" si="0"/>
        <v>825</v>
      </c>
    </row>
    <row r="49" spans="2:12" x14ac:dyDescent="0.25">
      <c r="B49" s="13"/>
      <c r="C49" s="4" t="s">
        <v>17</v>
      </c>
      <c r="D49" s="9">
        <v>68</v>
      </c>
      <c r="E49" s="9">
        <v>242</v>
      </c>
      <c r="F49" s="9">
        <v>58</v>
      </c>
      <c r="G49" s="9">
        <v>63</v>
      </c>
      <c r="H49" s="9"/>
      <c r="L49" s="10">
        <f t="shared" si="0"/>
        <v>431</v>
      </c>
    </row>
    <row r="50" spans="2:12" x14ac:dyDescent="0.25">
      <c r="B50" s="13"/>
      <c r="C50" s="4" t="s">
        <v>19</v>
      </c>
      <c r="D50" s="9">
        <v>154</v>
      </c>
      <c r="E50" s="9">
        <v>195</v>
      </c>
      <c r="F50" s="9">
        <v>190</v>
      </c>
      <c r="G50" s="9">
        <v>101</v>
      </c>
      <c r="H50" s="9"/>
      <c r="L50" s="10">
        <f t="shared" si="0"/>
        <v>640</v>
      </c>
    </row>
    <row r="51" spans="2:12" x14ac:dyDescent="0.25">
      <c r="B51" s="13"/>
      <c r="C51" s="4" t="s">
        <v>20</v>
      </c>
      <c r="D51" s="9">
        <v>278</v>
      </c>
      <c r="E51" s="9">
        <v>255</v>
      </c>
      <c r="F51" s="9">
        <v>151</v>
      </c>
      <c r="G51" s="9">
        <v>198</v>
      </c>
      <c r="H51" s="9"/>
      <c r="L51" s="10">
        <f t="shared" si="0"/>
        <v>882</v>
      </c>
    </row>
    <row r="52" spans="2:12" x14ac:dyDescent="0.25">
      <c r="B52" s="13"/>
      <c r="C52" s="4" t="s">
        <v>21</v>
      </c>
      <c r="D52" s="9">
        <v>656</v>
      </c>
      <c r="E52" s="9">
        <v>580</v>
      </c>
      <c r="F52" s="9">
        <v>324</v>
      </c>
      <c r="G52" s="9">
        <v>364</v>
      </c>
      <c r="H52" s="9">
        <v>48</v>
      </c>
      <c r="L52" s="10">
        <f t="shared" si="0"/>
        <v>1972</v>
      </c>
    </row>
    <row r="53" spans="2:12" x14ac:dyDescent="0.25">
      <c r="B53" s="13"/>
      <c r="C53" s="4" t="s">
        <v>22</v>
      </c>
      <c r="D53" s="9">
        <v>2198</v>
      </c>
      <c r="E53" s="9">
        <v>34</v>
      </c>
      <c r="F53" s="9">
        <v>59</v>
      </c>
      <c r="G53" s="9">
        <v>167</v>
      </c>
      <c r="H53" s="9">
        <v>82</v>
      </c>
      <c r="L53" s="10">
        <f t="shared" si="0"/>
        <v>2540</v>
      </c>
    </row>
    <row r="54" spans="2:12" x14ac:dyDescent="0.25">
      <c r="B54" s="13"/>
      <c r="C54" s="4" t="s">
        <v>23</v>
      </c>
      <c r="D54" s="9">
        <v>374</v>
      </c>
      <c r="E54" s="9">
        <v>463</v>
      </c>
      <c r="F54" s="9">
        <v>433</v>
      </c>
      <c r="G54" s="9">
        <v>396</v>
      </c>
      <c r="H54" s="9"/>
      <c r="L54" s="10">
        <f t="shared" si="0"/>
        <v>1666</v>
      </c>
    </row>
    <row r="55" spans="2:12" x14ac:dyDescent="0.25">
      <c r="B55" s="13"/>
      <c r="C55" s="4" t="s">
        <v>24</v>
      </c>
      <c r="D55" s="9">
        <v>485</v>
      </c>
      <c r="E55" s="9">
        <v>508</v>
      </c>
      <c r="F55" s="9">
        <v>230</v>
      </c>
      <c r="G55" s="9">
        <v>148</v>
      </c>
      <c r="H55" s="9"/>
      <c r="L55" s="10">
        <f t="shared" si="0"/>
        <v>1371</v>
      </c>
    </row>
    <row r="56" spans="2:12" x14ac:dyDescent="0.25">
      <c r="B56" s="13"/>
      <c r="C56" s="4" t="s">
        <v>25</v>
      </c>
      <c r="D56" s="9">
        <v>490</v>
      </c>
      <c r="E56" s="9">
        <v>292</v>
      </c>
      <c r="F56" s="9">
        <v>161</v>
      </c>
      <c r="G56" s="9">
        <v>92</v>
      </c>
      <c r="H56" s="9">
        <v>8</v>
      </c>
      <c r="L56" s="10">
        <f t="shared" si="0"/>
        <v>1043</v>
      </c>
    </row>
    <row r="57" spans="2:12" x14ac:dyDescent="0.25">
      <c r="B57" s="13"/>
      <c r="C57" s="4" t="s">
        <v>26</v>
      </c>
      <c r="D57" s="9">
        <v>206</v>
      </c>
      <c r="E57" s="9">
        <v>222</v>
      </c>
      <c r="F57" s="9">
        <v>132</v>
      </c>
      <c r="G57" s="9">
        <v>135</v>
      </c>
      <c r="H57" s="9"/>
      <c r="L57" s="10">
        <f t="shared" si="0"/>
        <v>695</v>
      </c>
    </row>
    <row r="58" spans="2:12" x14ac:dyDescent="0.25">
      <c r="B58" s="13"/>
      <c r="C58" s="4" t="s">
        <v>27</v>
      </c>
      <c r="D58" s="9">
        <v>191</v>
      </c>
      <c r="E58" s="9">
        <v>153</v>
      </c>
      <c r="F58" s="9">
        <v>120</v>
      </c>
      <c r="G58" s="9">
        <v>148</v>
      </c>
      <c r="H58" s="9"/>
      <c r="L58" s="10">
        <f t="shared" si="0"/>
        <v>612</v>
      </c>
    </row>
    <row r="59" spans="2:12" x14ac:dyDescent="0.25">
      <c r="B59" s="13"/>
      <c r="C59" s="4" t="s">
        <v>28</v>
      </c>
      <c r="D59" s="9">
        <v>168</v>
      </c>
      <c r="E59" s="9">
        <v>142</v>
      </c>
      <c r="F59" s="9">
        <v>122</v>
      </c>
      <c r="G59" s="9">
        <v>125</v>
      </c>
      <c r="H59" s="9"/>
      <c r="L59" s="10">
        <f t="shared" si="0"/>
        <v>557</v>
      </c>
    </row>
    <row r="60" spans="2:12" x14ac:dyDescent="0.25">
      <c r="B60" s="13"/>
      <c r="C60" s="4" t="s">
        <v>29</v>
      </c>
      <c r="D60" s="9">
        <v>2670</v>
      </c>
      <c r="E60" s="9">
        <v>2665</v>
      </c>
      <c r="F60" s="9">
        <v>1591</v>
      </c>
      <c r="G60" s="9">
        <v>1969</v>
      </c>
      <c r="H60" s="9"/>
      <c r="L60" s="10">
        <f t="shared" si="0"/>
        <v>8895</v>
      </c>
    </row>
    <row r="61" spans="2:12" x14ac:dyDescent="0.25">
      <c r="B61" s="13"/>
      <c r="C61" s="4" t="s">
        <v>43</v>
      </c>
      <c r="D61" s="9">
        <v>92</v>
      </c>
      <c r="E61" s="9">
        <v>116</v>
      </c>
      <c r="F61" s="9">
        <v>63</v>
      </c>
      <c r="G61" s="9">
        <v>37</v>
      </c>
      <c r="H61" s="9"/>
      <c r="L61" s="10">
        <f t="shared" si="0"/>
        <v>308</v>
      </c>
    </row>
    <row r="62" spans="2:12" x14ac:dyDescent="0.25">
      <c r="B62" s="13"/>
      <c r="C62" s="4" t="s">
        <v>30</v>
      </c>
      <c r="D62" s="9">
        <v>102</v>
      </c>
      <c r="E62" s="9">
        <v>247</v>
      </c>
      <c r="F62" s="9">
        <v>87</v>
      </c>
      <c r="G62" s="9">
        <v>197</v>
      </c>
      <c r="H62" s="9"/>
      <c r="L62" s="10">
        <f t="shared" si="0"/>
        <v>633</v>
      </c>
    </row>
    <row r="63" spans="2:12" x14ac:dyDescent="0.25">
      <c r="B63" s="13"/>
      <c r="C63" s="4" t="s">
        <v>31</v>
      </c>
      <c r="D63" s="9">
        <v>880</v>
      </c>
      <c r="E63" s="9">
        <v>880</v>
      </c>
      <c r="F63" s="9">
        <v>572</v>
      </c>
      <c r="G63" s="9">
        <v>778</v>
      </c>
      <c r="H63" s="9"/>
      <c r="L63" s="10">
        <f t="shared" si="0"/>
        <v>3110</v>
      </c>
    </row>
    <row r="64" spans="2:12" x14ac:dyDescent="0.25">
      <c r="B64" s="13"/>
      <c r="C64" s="4" t="s">
        <v>32</v>
      </c>
      <c r="D64" s="9">
        <v>125</v>
      </c>
      <c r="E64" s="9">
        <v>115</v>
      </c>
      <c r="F64" s="9">
        <v>47</v>
      </c>
      <c r="G64" s="9">
        <v>90</v>
      </c>
      <c r="H64" s="9"/>
      <c r="L64" s="10">
        <f t="shared" si="0"/>
        <v>377</v>
      </c>
    </row>
    <row r="65" spans="2:12" x14ac:dyDescent="0.25">
      <c r="B65" s="3" t="s">
        <v>33</v>
      </c>
      <c r="C65" s="6"/>
      <c r="D65" s="11">
        <f t="shared" ref="D65:K65" si="2">SUM(D36:D64)</f>
        <v>12715</v>
      </c>
      <c r="E65" s="11">
        <f t="shared" si="2"/>
        <v>10144</v>
      </c>
      <c r="F65" s="11">
        <f t="shared" si="2"/>
        <v>9766</v>
      </c>
      <c r="G65" s="11">
        <f t="shared" si="2"/>
        <v>6995</v>
      </c>
      <c r="H65" s="11">
        <f t="shared" si="2"/>
        <v>164</v>
      </c>
      <c r="I65" s="11">
        <f t="shared" si="2"/>
        <v>0</v>
      </c>
      <c r="J65" s="11">
        <f t="shared" si="2"/>
        <v>0</v>
      </c>
      <c r="K65" s="11">
        <f t="shared" si="2"/>
        <v>0</v>
      </c>
      <c r="L65" s="10">
        <f>SUM(D65:K65)</f>
        <v>39784</v>
      </c>
    </row>
  </sheetData>
  <conditionalFormatting sqref="D36:H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K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23B8-CFC9-4735-AFCD-0A502F78D6E9}">
  <dimension ref="B2:L53"/>
  <sheetViews>
    <sheetView topLeftCell="B33" workbookViewId="0">
      <selection activeCell="E62" sqref="E62"/>
    </sheetView>
  </sheetViews>
  <sheetFormatPr defaultRowHeight="15" x14ac:dyDescent="0.25"/>
  <cols>
    <col min="2" max="2" width="26.28515625" bestFit="1" customWidth="1"/>
    <col min="3" max="3" width="16.7109375" customWidth="1"/>
    <col min="7" max="7" width="8.7109375"/>
    <col min="9" max="11" width="8.7109375"/>
    <col min="12" max="12" width="11.140625" bestFit="1" customWidth="1"/>
  </cols>
  <sheetData>
    <row r="2" spans="2:12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2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2" x14ac:dyDescent="0.25">
      <c r="B4" s="8" t="s">
        <v>37</v>
      </c>
      <c r="C4" s="7" t="s">
        <v>11</v>
      </c>
      <c r="D4" s="9">
        <v>74124.349999999991</v>
      </c>
      <c r="E4" s="9">
        <v>89916.090000000055</v>
      </c>
      <c r="F4" s="9">
        <v>65649.159999999974</v>
      </c>
      <c r="G4" s="9">
        <v>44385.810000000012</v>
      </c>
      <c r="H4" s="9"/>
      <c r="I4" s="9"/>
      <c r="J4" s="9"/>
      <c r="K4" s="9"/>
      <c r="L4" s="10">
        <v>274075.41000000003</v>
      </c>
    </row>
    <row r="5" spans="2:12" x14ac:dyDescent="0.25">
      <c r="B5" s="13"/>
      <c r="C5" s="4" t="s">
        <v>12</v>
      </c>
      <c r="D5" s="9">
        <v>2825.7400000000002</v>
      </c>
      <c r="E5" s="9">
        <v>1863.6100000000001</v>
      </c>
      <c r="F5" s="9">
        <v>2953.3900000000003</v>
      </c>
      <c r="G5" s="9">
        <v>2528.5700000000002</v>
      </c>
      <c r="H5" s="9"/>
      <c r="I5" s="9"/>
      <c r="J5" s="9"/>
      <c r="K5" s="9"/>
      <c r="L5" s="10">
        <v>10171.310000000001</v>
      </c>
    </row>
    <row r="6" spans="2:12" x14ac:dyDescent="0.25">
      <c r="B6" s="13"/>
      <c r="C6" s="4" t="s">
        <v>38</v>
      </c>
      <c r="D6" s="9">
        <v>16685.34</v>
      </c>
      <c r="E6" s="9">
        <v>5244.71</v>
      </c>
      <c r="F6" s="9">
        <v>3099.1300000000006</v>
      </c>
      <c r="G6" s="9">
        <v>4529.4199999999992</v>
      </c>
      <c r="H6" s="9"/>
      <c r="I6" s="9"/>
      <c r="J6" s="9"/>
      <c r="K6" s="9"/>
      <c r="L6" s="10">
        <v>29558.6</v>
      </c>
    </row>
    <row r="7" spans="2:12" x14ac:dyDescent="0.25">
      <c r="B7" s="13"/>
      <c r="C7" s="4" t="s">
        <v>39</v>
      </c>
      <c r="D7" s="9"/>
      <c r="E7" s="9">
        <v>21340</v>
      </c>
      <c r="F7" s="9">
        <v>10560</v>
      </c>
      <c r="G7" s="9">
        <v>9899.9299999999985</v>
      </c>
      <c r="H7" s="9">
        <v>880</v>
      </c>
      <c r="I7" s="9"/>
      <c r="J7" s="9"/>
      <c r="K7" s="9"/>
      <c r="L7" s="10">
        <v>42679.93</v>
      </c>
    </row>
    <row r="8" spans="2:12" x14ac:dyDescent="0.25">
      <c r="B8" s="13"/>
      <c r="C8" s="4" t="s">
        <v>40</v>
      </c>
      <c r="D8" s="9"/>
      <c r="E8" s="9">
        <v>8572.9299999999967</v>
      </c>
      <c r="F8" s="9">
        <v>5299.1899999999987</v>
      </c>
      <c r="G8" s="9">
        <v>2824.6299999999978</v>
      </c>
      <c r="H8" s="9">
        <v>450.49</v>
      </c>
      <c r="I8" s="9"/>
      <c r="J8" s="9"/>
      <c r="K8" s="9"/>
      <c r="L8" s="10">
        <v>17147.239999999994</v>
      </c>
    </row>
    <row r="9" spans="2:12" x14ac:dyDescent="0.25">
      <c r="B9" s="13"/>
      <c r="C9" s="4" t="s">
        <v>13</v>
      </c>
      <c r="D9" s="9">
        <v>164109.6599999998</v>
      </c>
      <c r="E9" s="9">
        <v>86915.160000000033</v>
      </c>
      <c r="F9" s="9">
        <v>80333.489999999918</v>
      </c>
      <c r="G9" s="9">
        <v>71802.039999999964</v>
      </c>
      <c r="H9" s="9"/>
      <c r="I9" s="9"/>
      <c r="J9" s="9"/>
      <c r="K9" s="9"/>
      <c r="L9" s="10">
        <v>403160.34999999974</v>
      </c>
    </row>
    <row r="10" spans="2:12" x14ac:dyDescent="0.25">
      <c r="B10" s="13"/>
      <c r="C10" s="4" t="s">
        <v>41</v>
      </c>
      <c r="D10" s="9">
        <v>21186.519999999993</v>
      </c>
      <c r="E10" s="9">
        <v>15081.009999999991</v>
      </c>
      <c r="F10" s="9">
        <v>14572.470000000007</v>
      </c>
      <c r="G10" s="9">
        <v>11256</v>
      </c>
      <c r="H10" s="9">
        <v>1542.0000000000002</v>
      </c>
      <c r="I10" s="9"/>
      <c r="J10" s="9"/>
      <c r="K10" s="9"/>
      <c r="L10" s="10">
        <v>63637.999999999985</v>
      </c>
    </row>
    <row r="11" spans="2:12" x14ac:dyDescent="0.25">
      <c r="B11" s="13"/>
      <c r="C11" s="4" t="s">
        <v>14</v>
      </c>
      <c r="D11" s="9">
        <v>49653.340000000004</v>
      </c>
      <c r="E11" s="9">
        <v>36240.380000000019</v>
      </c>
      <c r="F11" s="9">
        <v>48008.250000000022</v>
      </c>
      <c r="G11" s="9">
        <v>26190.119999999988</v>
      </c>
      <c r="H11" s="9"/>
      <c r="I11" s="9"/>
      <c r="J11" s="9"/>
      <c r="K11" s="9"/>
      <c r="L11" s="10">
        <v>160092.09000000003</v>
      </c>
    </row>
    <row r="12" spans="2:12" x14ac:dyDescent="0.25">
      <c r="B12" s="13"/>
      <c r="C12" s="4" t="s">
        <v>15</v>
      </c>
      <c r="D12" s="9">
        <v>727.68000000000006</v>
      </c>
      <c r="E12" s="9"/>
      <c r="F12" s="9">
        <v>8235.0400000000027</v>
      </c>
      <c r="G12" s="9">
        <v>-9.9999999999909051E-3</v>
      </c>
      <c r="H12" s="9"/>
      <c r="I12" s="9"/>
      <c r="J12" s="9"/>
      <c r="K12" s="9"/>
      <c r="L12" s="10">
        <v>8962.7100000000028</v>
      </c>
    </row>
    <row r="13" spans="2:12" x14ac:dyDescent="0.25">
      <c r="B13" s="13"/>
      <c r="C13" s="4" t="s">
        <v>42</v>
      </c>
      <c r="D13" s="9">
        <v>379942.93999999994</v>
      </c>
      <c r="E13" s="9">
        <v>161657.13</v>
      </c>
      <c r="F13" s="9">
        <v>72454.12999999999</v>
      </c>
      <c r="G13" s="9">
        <v>17258.219999999994</v>
      </c>
      <c r="H13" s="9"/>
      <c r="I13" s="9"/>
      <c r="J13" s="9"/>
      <c r="K13" s="9"/>
      <c r="L13" s="10">
        <v>631312.41999999993</v>
      </c>
    </row>
    <row r="14" spans="2:12" x14ac:dyDescent="0.25">
      <c r="B14" s="13"/>
      <c r="C14" s="4" t="s">
        <v>16</v>
      </c>
      <c r="D14" s="9">
        <v>288.64</v>
      </c>
      <c r="E14" s="9">
        <v>289.73</v>
      </c>
      <c r="F14" s="9">
        <v>724.75</v>
      </c>
      <c r="G14" s="9">
        <v>297.49</v>
      </c>
      <c r="H14" s="9"/>
      <c r="I14" s="9"/>
      <c r="J14" s="9"/>
      <c r="K14" s="9"/>
      <c r="L14" s="10">
        <v>1600.6100000000001</v>
      </c>
    </row>
    <row r="15" spans="2:12" x14ac:dyDescent="0.25">
      <c r="B15" s="13"/>
      <c r="C15" s="4" t="s">
        <v>17</v>
      </c>
      <c r="D15" s="9">
        <v>27197.540000000005</v>
      </c>
      <c r="E15" s="9">
        <v>20617.469999999976</v>
      </c>
      <c r="F15" s="9">
        <v>21445.199999999986</v>
      </c>
      <c r="G15" s="9">
        <v>23373.680000000015</v>
      </c>
      <c r="H15" s="9"/>
      <c r="I15" s="9"/>
      <c r="J15" s="9"/>
      <c r="K15" s="9"/>
      <c r="L15" s="10">
        <v>92633.889999999985</v>
      </c>
    </row>
    <row r="16" spans="2:12" x14ac:dyDescent="0.25">
      <c r="B16" s="13"/>
      <c r="C16" s="4" t="s">
        <v>19</v>
      </c>
      <c r="D16" s="9">
        <v>35429.280000000013</v>
      </c>
      <c r="E16" s="9">
        <v>34632.510000000017</v>
      </c>
      <c r="F16" s="9">
        <v>33709.930000000015</v>
      </c>
      <c r="G16" s="9">
        <v>47152.329999999987</v>
      </c>
      <c r="H16" s="9"/>
      <c r="I16" s="9"/>
      <c r="J16" s="9"/>
      <c r="K16" s="9"/>
      <c r="L16" s="10">
        <v>150924.05000000005</v>
      </c>
    </row>
    <row r="17" spans="2:12" x14ac:dyDescent="0.25">
      <c r="B17" s="13"/>
      <c r="C17" s="4" t="s">
        <v>20</v>
      </c>
      <c r="D17" s="9">
        <v>78901.340000000113</v>
      </c>
      <c r="E17" s="9">
        <v>76281.480000000025</v>
      </c>
      <c r="F17" s="9">
        <v>94820.889999999985</v>
      </c>
      <c r="G17" s="9">
        <v>121539.52999999998</v>
      </c>
      <c r="H17" s="9"/>
      <c r="I17" s="9"/>
      <c r="J17" s="9"/>
      <c r="K17" s="9"/>
      <c r="L17" s="10">
        <v>371543.24000000011</v>
      </c>
    </row>
    <row r="18" spans="2:12" x14ac:dyDescent="0.25">
      <c r="B18" s="13"/>
      <c r="C18" s="4" t="s">
        <v>21</v>
      </c>
      <c r="D18" s="9">
        <v>214813.31000000008</v>
      </c>
      <c r="E18" s="9">
        <v>195591.75000000009</v>
      </c>
      <c r="F18" s="9">
        <v>164079.06000000011</v>
      </c>
      <c r="G18" s="9">
        <v>210201.53999999983</v>
      </c>
      <c r="H18" s="9">
        <v>28460.58</v>
      </c>
      <c r="I18" s="9"/>
      <c r="J18" s="9"/>
      <c r="K18" s="9"/>
      <c r="L18" s="10">
        <v>813146.24000000011</v>
      </c>
    </row>
    <row r="19" spans="2:12" x14ac:dyDescent="0.25">
      <c r="B19" s="13"/>
      <c r="C19" s="4" t="s">
        <v>22</v>
      </c>
      <c r="D19" s="9">
        <v>882188.37999999966</v>
      </c>
      <c r="E19" s="9">
        <v>2639.92</v>
      </c>
      <c r="F19" s="9">
        <v>6270</v>
      </c>
      <c r="G19" s="9">
        <v>8587.69</v>
      </c>
      <c r="H19" s="9">
        <v>8006.7699999999995</v>
      </c>
      <c r="I19" s="9"/>
      <c r="J19" s="9"/>
      <c r="K19" s="9"/>
      <c r="L19" s="10">
        <v>907692.75999999966</v>
      </c>
    </row>
    <row r="20" spans="2:12" x14ac:dyDescent="0.25">
      <c r="B20" s="13"/>
      <c r="C20" s="4" t="s">
        <v>23</v>
      </c>
      <c r="D20" s="9">
        <v>94261.030000000072</v>
      </c>
      <c r="E20" s="9">
        <v>92617.599999999919</v>
      </c>
      <c r="F20" s="9">
        <v>131518.38999999993</v>
      </c>
      <c r="G20" s="9">
        <v>79634.110000000044</v>
      </c>
      <c r="H20" s="9"/>
      <c r="I20" s="9"/>
      <c r="J20" s="9"/>
      <c r="K20" s="9"/>
      <c r="L20" s="10">
        <v>398031.12999999995</v>
      </c>
    </row>
    <row r="21" spans="2:12" x14ac:dyDescent="0.25">
      <c r="B21" s="13"/>
      <c r="C21" s="4" t="s">
        <v>24</v>
      </c>
      <c r="D21" s="9">
        <v>5280.54</v>
      </c>
      <c r="E21" s="9"/>
      <c r="F21" s="9"/>
      <c r="G21" s="9"/>
      <c r="H21" s="9"/>
      <c r="I21" s="9"/>
      <c r="J21" s="9"/>
      <c r="K21" s="9"/>
      <c r="L21" s="10">
        <v>5280.54</v>
      </c>
    </row>
    <row r="22" spans="2:12" x14ac:dyDescent="0.25">
      <c r="B22" s="13"/>
      <c r="C22" s="4" t="s">
        <v>25</v>
      </c>
      <c r="D22" s="9">
        <v>90632.760000000024</v>
      </c>
      <c r="E22" s="9">
        <v>121106.20000000003</v>
      </c>
      <c r="F22" s="9">
        <v>88520.500000000029</v>
      </c>
      <c r="G22" s="9">
        <v>49236.500000000015</v>
      </c>
      <c r="H22" s="9">
        <v>3696</v>
      </c>
      <c r="I22" s="9"/>
      <c r="J22" s="9"/>
      <c r="K22" s="9"/>
      <c r="L22" s="10">
        <v>353191.96000000008</v>
      </c>
    </row>
    <row r="23" spans="2:12" x14ac:dyDescent="0.25">
      <c r="B23" s="13"/>
      <c r="C23" s="4" t="s">
        <v>28</v>
      </c>
      <c r="D23" s="9">
        <v>7965.9900000000043</v>
      </c>
      <c r="E23" s="9">
        <v>6638.69</v>
      </c>
      <c r="F23" s="9">
        <v>4469.4399999999996</v>
      </c>
      <c r="G23" s="9">
        <v>2821.5799999999995</v>
      </c>
      <c r="H23" s="9"/>
      <c r="I23" s="9"/>
      <c r="J23" s="9"/>
      <c r="K23" s="9"/>
      <c r="L23" s="10">
        <v>21895.700000000004</v>
      </c>
    </row>
    <row r="24" spans="2:12" x14ac:dyDescent="0.25">
      <c r="B24" s="13"/>
      <c r="C24" s="4" t="s">
        <v>29</v>
      </c>
      <c r="D24" s="9">
        <v>635062.29999999993</v>
      </c>
      <c r="E24" s="9">
        <v>671986.1599999998</v>
      </c>
      <c r="F24" s="9">
        <v>564291.89999999991</v>
      </c>
      <c r="G24" s="9">
        <v>834047.47999999963</v>
      </c>
      <c r="H24" s="9"/>
      <c r="I24" s="9"/>
      <c r="J24" s="9"/>
      <c r="K24" s="9"/>
      <c r="L24" s="10">
        <v>2705387.8399999989</v>
      </c>
    </row>
    <row r="25" spans="2:12" x14ac:dyDescent="0.25">
      <c r="B25" s="13"/>
      <c r="C25" s="4" t="s">
        <v>43</v>
      </c>
      <c r="D25" s="9">
        <v>23922.760000000009</v>
      </c>
      <c r="E25" s="9">
        <v>20176.120000000003</v>
      </c>
      <c r="F25" s="9">
        <v>14659.449999999997</v>
      </c>
      <c r="G25" s="9">
        <v>13278.840000000004</v>
      </c>
      <c r="H25" s="9"/>
      <c r="I25" s="9"/>
      <c r="J25" s="9"/>
      <c r="K25" s="9"/>
      <c r="L25" s="10">
        <v>72037.170000000013</v>
      </c>
    </row>
    <row r="26" spans="2:12" x14ac:dyDescent="0.25">
      <c r="B26" s="13"/>
      <c r="C26" s="4" t="s">
        <v>30</v>
      </c>
      <c r="D26" s="9">
        <v>24167.81</v>
      </c>
      <c r="E26" s="9">
        <v>20606.370000000003</v>
      </c>
      <c r="F26" s="9">
        <v>20406.730000000007</v>
      </c>
      <c r="G26" s="9">
        <v>18979.580000000009</v>
      </c>
      <c r="H26" s="9"/>
      <c r="I26" s="9"/>
      <c r="J26" s="9"/>
      <c r="K26" s="9"/>
      <c r="L26" s="10">
        <v>84160.49000000002</v>
      </c>
    </row>
    <row r="27" spans="2:12" x14ac:dyDescent="0.25">
      <c r="B27" s="3" t="s">
        <v>33</v>
      </c>
      <c r="C27" s="6"/>
      <c r="D27" s="11">
        <f>SUM(D4:D26)</f>
        <v>2829367.2500000005</v>
      </c>
      <c r="E27" s="11">
        <f>SUM(E4:E26)</f>
        <v>1690015.0200000003</v>
      </c>
      <c r="F27" s="11">
        <f>SUM(F4:F26)</f>
        <v>1456080.4899999998</v>
      </c>
      <c r="G27" s="11">
        <f>SUM(G4:G26)</f>
        <v>1599825.0799999996</v>
      </c>
      <c r="H27" s="11">
        <f>SUM(H4:H26)</f>
        <v>43035.840000000004</v>
      </c>
      <c r="I27" s="11">
        <f>SUM(I5:I26)</f>
        <v>0</v>
      </c>
      <c r="J27" s="11">
        <f>SUM(J5:J26)</f>
        <v>0</v>
      </c>
      <c r="K27" s="11">
        <f>SUM(K5:K26)</f>
        <v>0</v>
      </c>
      <c r="L27" s="10">
        <f>SUM(D27:K27)</f>
        <v>7618323.6799999997</v>
      </c>
    </row>
    <row r="28" spans="2:12" x14ac:dyDescent="0.25">
      <c r="B28" s="13"/>
      <c r="C28" s="4"/>
      <c r="D28" s="9"/>
      <c r="E28" s="9"/>
      <c r="F28" s="9"/>
      <c r="G28" s="9"/>
      <c r="H28" s="9"/>
      <c r="I28" s="9"/>
      <c r="J28" s="9"/>
      <c r="K28" s="9"/>
      <c r="L28" s="10"/>
    </row>
    <row r="29" spans="2:12" x14ac:dyDescent="0.25">
      <c r="B29" s="8" t="s">
        <v>2</v>
      </c>
      <c r="C29" s="7" t="s">
        <v>3</v>
      </c>
      <c r="D29" s="8" t="s">
        <v>8</v>
      </c>
      <c r="E29" s="8" t="s">
        <v>7</v>
      </c>
      <c r="F29" s="8" t="s">
        <v>6</v>
      </c>
      <c r="G29" s="8" t="s">
        <v>5</v>
      </c>
      <c r="H29" s="7" t="s">
        <v>4</v>
      </c>
      <c r="I29" s="7" t="s">
        <v>34</v>
      </c>
      <c r="J29" s="7" t="s">
        <v>35</v>
      </c>
      <c r="K29" s="7" t="s">
        <v>36</v>
      </c>
      <c r="L29" s="7" t="s">
        <v>9</v>
      </c>
    </row>
    <row r="30" spans="2:12" x14ac:dyDescent="0.25">
      <c r="B30" s="13"/>
      <c r="C30" s="7" t="s">
        <v>11</v>
      </c>
      <c r="D30" s="11">
        <v>108</v>
      </c>
      <c r="E30" s="11">
        <v>131</v>
      </c>
      <c r="F30" s="11">
        <v>95</v>
      </c>
      <c r="G30" s="11">
        <v>64</v>
      </c>
      <c r="H30" s="11"/>
      <c r="I30" s="11"/>
      <c r="J30" s="11"/>
      <c r="K30" s="11"/>
      <c r="L30" s="20">
        <v>398</v>
      </c>
    </row>
    <row r="31" spans="2:12" x14ac:dyDescent="0.25">
      <c r="B31" s="13"/>
      <c r="C31" s="4" t="s">
        <v>12</v>
      </c>
      <c r="D31" s="9">
        <v>8</v>
      </c>
      <c r="E31" s="9">
        <v>5</v>
      </c>
      <c r="F31" s="9">
        <v>8</v>
      </c>
      <c r="G31" s="9">
        <v>7</v>
      </c>
      <c r="H31" s="9"/>
      <c r="I31" s="9"/>
      <c r="J31" s="9"/>
      <c r="K31" s="9"/>
      <c r="L31" s="10">
        <v>28</v>
      </c>
    </row>
    <row r="32" spans="2:12" x14ac:dyDescent="0.25">
      <c r="B32" s="13"/>
      <c r="C32" s="4" t="s">
        <v>38</v>
      </c>
      <c r="D32" s="9">
        <v>70</v>
      </c>
      <c r="E32" s="9">
        <v>22</v>
      </c>
      <c r="F32" s="9">
        <v>13</v>
      </c>
      <c r="G32" s="9">
        <v>19</v>
      </c>
      <c r="H32" s="9"/>
      <c r="I32" s="9"/>
      <c r="J32" s="9"/>
      <c r="K32" s="9"/>
      <c r="L32" s="10">
        <v>124</v>
      </c>
    </row>
    <row r="33" spans="2:12" x14ac:dyDescent="0.25">
      <c r="B33" s="13"/>
      <c r="C33" s="4" t="s">
        <v>39</v>
      </c>
      <c r="D33" s="9"/>
      <c r="E33" s="9">
        <v>194</v>
      </c>
      <c r="F33" s="9">
        <v>96</v>
      </c>
      <c r="G33" s="9">
        <v>90</v>
      </c>
      <c r="H33" s="9">
        <v>8</v>
      </c>
      <c r="I33" s="9"/>
      <c r="J33" s="9"/>
      <c r="K33" s="9"/>
      <c r="L33" s="10">
        <v>388</v>
      </c>
    </row>
    <row r="34" spans="2:12" x14ac:dyDescent="0.25">
      <c r="B34" s="13"/>
      <c r="C34" s="4" t="s">
        <v>40</v>
      </c>
      <c r="D34" s="9"/>
      <c r="E34" s="9">
        <v>343</v>
      </c>
      <c r="F34" s="9">
        <v>212</v>
      </c>
      <c r="G34" s="9">
        <v>113</v>
      </c>
      <c r="H34" s="9">
        <v>18</v>
      </c>
      <c r="I34" s="9"/>
      <c r="J34" s="9"/>
      <c r="K34" s="9"/>
      <c r="L34" s="10">
        <v>686</v>
      </c>
    </row>
    <row r="35" spans="2:12" x14ac:dyDescent="0.25">
      <c r="B35" s="13"/>
      <c r="C35" s="4" t="s">
        <v>13</v>
      </c>
      <c r="D35" s="9">
        <v>848</v>
      </c>
      <c r="E35" s="9">
        <v>449</v>
      </c>
      <c r="F35" s="9">
        <v>415</v>
      </c>
      <c r="G35" s="9">
        <v>371</v>
      </c>
      <c r="H35" s="9"/>
      <c r="I35" s="9"/>
      <c r="J35" s="9"/>
      <c r="K35" s="9"/>
      <c r="L35" s="10">
        <v>2083</v>
      </c>
    </row>
    <row r="36" spans="2:12" x14ac:dyDescent="0.25">
      <c r="B36" s="13"/>
      <c r="C36" s="4" t="s">
        <v>41</v>
      </c>
      <c r="D36" s="9">
        <v>275</v>
      </c>
      <c r="E36" s="9">
        <v>196</v>
      </c>
      <c r="F36" s="9">
        <v>189</v>
      </c>
      <c r="G36" s="9">
        <v>146</v>
      </c>
      <c r="H36" s="9">
        <v>20</v>
      </c>
      <c r="I36" s="9"/>
      <c r="J36" s="9"/>
      <c r="K36" s="9"/>
      <c r="L36" s="10">
        <v>826</v>
      </c>
    </row>
    <row r="37" spans="2:12" x14ac:dyDescent="0.25">
      <c r="B37" s="13"/>
      <c r="C37" s="4" t="s">
        <v>14</v>
      </c>
      <c r="D37" s="9">
        <v>211</v>
      </c>
      <c r="E37" s="9">
        <v>154</v>
      </c>
      <c r="F37" s="9">
        <v>200</v>
      </c>
      <c r="G37" s="9">
        <v>107</v>
      </c>
      <c r="H37" s="9"/>
      <c r="I37" s="9"/>
      <c r="J37" s="9"/>
      <c r="K37" s="9"/>
      <c r="L37" s="10">
        <v>672</v>
      </c>
    </row>
    <row r="38" spans="2:12" x14ac:dyDescent="0.25">
      <c r="B38" s="13"/>
      <c r="C38" s="4" t="s">
        <v>15</v>
      </c>
      <c r="D38" s="9">
        <v>3</v>
      </c>
      <c r="E38" s="9"/>
      <c r="F38" s="9">
        <v>35</v>
      </c>
      <c r="G38" s="9">
        <v>0</v>
      </c>
      <c r="H38" s="9"/>
      <c r="I38" s="9"/>
      <c r="J38" s="9"/>
      <c r="K38" s="9"/>
      <c r="L38" s="10">
        <v>38</v>
      </c>
    </row>
    <row r="39" spans="2:12" x14ac:dyDescent="0.25">
      <c r="B39" s="13"/>
      <c r="C39" s="4" t="s">
        <v>42</v>
      </c>
      <c r="D39" s="9">
        <v>785</v>
      </c>
      <c r="E39" s="9">
        <v>334</v>
      </c>
      <c r="F39" s="9">
        <v>148</v>
      </c>
      <c r="G39" s="9">
        <v>35</v>
      </c>
      <c r="H39" s="9"/>
      <c r="I39" s="9"/>
      <c r="J39" s="9"/>
      <c r="K39" s="9"/>
      <c r="L39" s="10">
        <v>1302</v>
      </c>
    </row>
    <row r="40" spans="2:12" x14ac:dyDescent="0.25">
      <c r="B40" s="13"/>
      <c r="C40" s="4" t="s">
        <v>16</v>
      </c>
      <c r="D40" s="9">
        <v>2</v>
      </c>
      <c r="E40" s="9">
        <v>2</v>
      </c>
      <c r="F40" s="9">
        <v>5</v>
      </c>
      <c r="G40" s="9">
        <v>2</v>
      </c>
      <c r="H40" s="9"/>
      <c r="I40" s="9"/>
      <c r="J40" s="9"/>
      <c r="K40" s="9"/>
      <c r="L40" s="10">
        <v>11</v>
      </c>
    </row>
    <row r="41" spans="2:12" x14ac:dyDescent="0.25">
      <c r="B41" s="13"/>
      <c r="C41" s="4" t="s">
        <v>17</v>
      </c>
      <c r="D41" s="9">
        <v>132</v>
      </c>
      <c r="E41" s="9">
        <v>100</v>
      </c>
      <c r="F41" s="9">
        <v>104</v>
      </c>
      <c r="G41" s="9">
        <v>105</v>
      </c>
      <c r="H41" s="9"/>
      <c r="I41" s="9"/>
      <c r="J41" s="9"/>
      <c r="K41" s="9"/>
      <c r="L41" s="10">
        <v>441</v>
      </c>
    </row>
    <row r="42" spans="2:12" x14ac:dyDescent="0.25">
      <c r="B42" s="13"/>
      <c r="C42" s="4" t="s">
        <v>19</v>
      </c>
      <c r="D42" s="9">
        <v>172</v>
      </c>
      <c r="E42" s="9">
        <v>168</v>
      </c>
      <c r="F42" s="9">
        <v>158</v>
      </c>
      <c r="G42" s="9">
        <v>213</v>
      </c>
      <c r="H42" s="9"/>
      <c r="I42" s="9"/>
      <c r="J42" s="9"/>
      <c r="K42" s="9"/>
      <c r="L42" s="10">
        <v>711</v>
      </c>
    </row>
    <row r="43" spans="2:12" x14ac:dyDescent="0.25">
      <c r="B43" s="13"/>
      <c r="C43" s="4" t="s">
        <v>20</v>
      </c>
      <c r="D43" s="9">
        <v>383</v>
      </c>
      <c r="E43" s="9">
        <v>370</v>
      </c>
      <c r="F43" s="9">
        <v>449</v>
      </c>
      <c r="G43" s="9">
        <v>542</v>
      </c>
      <c r="H43" s="9"/>
      <c r="I43" s="9"/>
      <c r="J43" s="9"/>
      <c r="K43" s="9"/>
      <c r="L43" s="10">
        <v>1744</v>
      </c>
    </row>
    <row r="44" spans="2:12" x14ac:dyDescent="0.25">
      <c r="B44" s="13"/>
      <c r="C44" s="4" t="s">
        <v>21</v>
      </c>
      <c r="D44" s="9">
        <v>717</v>
      </c>
      <c r="E44" s="9">
        <v>651</v>
      </c>
      <c r="F44" s="9">
        <v>547</v>
      </c>
      <c r="G44" s="9">
        <v>667</v>
      </c>
      <c r="H44" s="9">
        <v>111</v>
      </c>
      <c r="I44" s="9"/>
      <c r="J44" s="9"/>
      <c r="K44" s="9"/>
      <c r="L44" s="10">
        <v>2693</v>
      </c>
    </row>
    <row r="45" spans="2:12" x14ac:dyDescent="0.25">
      <c r="B45" s="13"/>
      <c r="C45" s="4" t="s">
        <v>22</v>
      </c>
      <c r="D45" s="9">
        <v>2688</v>
      </c>
      <c r="E45" s="9">
        <v>8</v>
      </c>
      <c r="F45" s="9">
        <v>19</v>
      </c>
      <c r="G45" s="9">
        <v>26</v>
      </c>
      <c r="H45" s="9">
        <v>24</v>
      </c>
      <c r="I45" s="9"/>
      <c r="J45" s="9"/>
      <c r="K45" s="9"/>
      <c r="L45" s="10">
        <v>2765</v>
      </c>
    </row>
    <row r="46" spans="2:12" x14ac:dyDescent="0.25">
      <c r="B46" s="13"/>
      <c r="C46" s="4" t="s">
        <v>23</v>
      </c>
      <c r="D46" s="9">
        <v>171</v>
      </c>
      <c r="E46" s="9">
        <v>168</v>
      </c>
      <c r="F46" s="9">
        <v>234</v>
      </c>
      <c r="G46" s="9">
        <v>140</v>
      </c>
      <c r="H46" s="9"/>
      <c r="I46" s="9"/>
      <c r="J46" s="9"/>
      <c r="K46" s="9"/>
      <c r="L46" s="10">
        <v>713</v>
      </c>
    </row>
    <row r="47" spans="2:12" x14ac:dyDescent="0.25">
      <c r="B47" s="13"/>
      <c r="C47" s="4" t="s">
        <v>24</v>
      </c>
      <c r="D47" s="9">
        <v>16</v>
      </c>
      <c r="E47" s="9"/>
      <c r="F47" s="9"/>
      <c r="G47" s="9"/>
      <c r="H47" s="9"/>
      <c r="I47" s="9"/>
      <c r="J47" s="9"/>
      <c r="K47" s="9"/>
      <c r="L47" s="10">
        <v>16</v>
      </c>
    </row>
    <row r="48" spans="2:12" x14ac:dyDescent="0.25">
      <c r="B48" s="13"/>
      <c r="C48" s="4" t="s">
        <v>25</v>
      </c>
      <c r="D48" s="9">
        <v>461</v>
      </c>
      <c r="E48" s="9">
        <v>616</v>
      </c>
      <c r="F48" s="9">
        <v>448</v>
      </c>
      <c r="G48" s="9">
        <v>239</v>
      </c>
      <c r="H48" s="9">
        <v>22</v>
      </c>
      <c r="I48" s="9"/>
      <c r="J48" s="9"/>
      <c r="K48" s="9"/>
      <c r="L48" s="10">
        <v>1786</v>
      </c>
    </row>
    <row r="49" spans="2:12" x14ac:dyDescent="0.25">
      <c r="B49" s="13"/>
      <c r="C49" s="4" t="s">
        <v>28</v>
      </c>
      <c r="D49" s="9">
        <v>36</v>
      </c>
      <c r="E49" s="9">
        <v>30</v>
      </c>
      <c r="F49" s="9">
        <v>20</v>
      </c>
      <c r="G49" s="9">
        <v>12</v>
      </c>
      <c r="H49" s="9"/>
      <c r="I49" s="9"/>
      <c r="J49" s="9"/>
      <c r="K49" s="9"/>
      <c r="L49" s="10">
        <v>98</v>
      </c>
    </row>
    <row r="50" spans="2:12" x14ac:dyDescent="0.25">
      <c r="B50" s="13"/>
      <c r="C50" s="4" t="s">
        <v>29</v>
      </c>
      <c r="D50" s="9">
        <v>2967</v>
      </c>
      <c r="E50" s="9">
        <v>3286</v>
      </c>
      <c r="F50" s="9">
        <v>2287</v>
      </c>
      <c r="G50" s="9">
        <v>3738</v>
      </c>
      <c r="H50" s="9"/>
      <c r="I50" s="9"/>
      <c r="J50" s="9"/>
      <c r="K50" s="9"/>
      <c r="L50" s="10">
        <v>12278</v>
      </c>
    </row>
    <row r="51" spans="2:12" x14ac:dyDescent="0.25">
      <c r="B51" s="13"/>
      <c r="C51" s="4" t="s">
        <v>43</v>
      </c>
      <c r="D51" s="9">
        <v>191</v>
      </c>
      <c r="E51" s="9">
        <v>161</v>
      </c>
      <c r="F51" s="9">
        <v>117</v>
      </c>
      <c r="G51" s="9">
        <v>100</v>
      </c>
      <c r="H51" s="9"/>
      <c r="I51" s="9"/>
      <c r="J51" s="9"/>
      <c r="K51" s="9"/>
      <c r="L51" s="10">
        <v>569</v>
      </c>
    </row>
    <row r="52" spans="2:12" x14ac:dyDescent="0.25">
      <c r="B52" s="13"/>
      <c r="C52" s="4" t="s">
        <v>30</v>
      </c>
      <c r="D52" s="9">
        <v>118</v>
      </c>
      <c r="E52" s="9">
        <v>100</v>
      </c>
      <c r="F52" s="9">
        <v>95</v>
      </c>
      <c r="G52" s="9">
        <v>90</v>
      </c>
      <c r="H52" s="9"/>
      <c r="I52" s="9"/>
      <c r="J52" s="9"/>
      <c r="K52" s="9"/>
      <c r="L52" s="10">
        <v>403</v>
      </c>
    </row>
    <row r="53" spans="2:12" x14ac:dyDescent="0.25">
      <c r="B53" s="3" t="s">
        <v>33</v>
      </c>
      <c r="C53" s="6"/>
      <c r="D53" s="11">
        <f t="shared" ref="D53:K53" si="0">SUM(D30:D52)</f>
        <v>10362</v>
      </c>
      <c r="E53" s="11">
        <f t="shared" si="0"/>
        <v>7488</v>
      </c>
      <c r="F53" s="11">
        <f t="shared" si="0"/>
        <v>5894</v>
      </c>
      <c r="G53" s="11">
        <f t="shared" si="0"/>
        <v>6826</v>
      </c>
      <c r="H53" s="11">
        <f t="shared" si="0"/>
        <v>203</v>
      </c>
      <c r="I53" s="11">
        <f t="shared" si="0"/>
        <v>0</v>
      </c>
      <c r="J53" s="11">
        <f t="shared" si="0"/>
        <v>0</v>
      </c>
      <c r="K53" s="11">
        <f t="shared" si="0"/>
        <v>0</v>
      </c>
      <c r="L53" s="10">
        <f>SUM(D53:K53)</f>
        <v>30773</v>
      </c>
    </row>
  </sheetData>
  <conditionalFormatting sqref="D30:H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K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E224-E9C9-4D85-B35F-CE3CEF5B55F9}">
  <dimension ref="B2:L55"/>
  <sheetViews>
    <sheetView topLeftCell="A41" workbookViewId="0">
      <selection activeCell="D45" sqref="D45"/>
    </sheetView>
  </sheetViews>
  <sheetFormatPr defaultRowHeight="15" x14ac:dyDescent="0.25"/>
  <cols>
    <col min="2" max="2" width="26.28515625" bestFit="1" customWidth="1"/>
    <col min="3" max="3" width="16.2851562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71</v>
      </c>
      <c r="C4" s="7" t="s">
        <v>11</v>
      </c>
      <c r="D4" s="9">
        <v>97461.639999999927</v>
      </c>
      <c r="E4" s="9">
        <v>134498.83000000005</v>
      </c>
      <c r="F4" s="9">
        <v>121537.59999999993</v>
      </c>
      <c r="G4" s="9">
        <v>115842.27000000003</v>
      </c>
      <c r="H4" s="9"/>
      <c r="L4" s="10">
        <f>SUM(D4:K4)</f>
        <v>469340.33999999991</v>
      </c>
    </row>
    <row r="5" spans="2:12" x14ac:dyDescent="0.25">
      <c r="B5" s="13"/>
      <c r="C5" s="4" t="s">
        <v>12</v>
      </c>
      <c r="D5" s="9">
        <v>8652.6099999999988</v>
      </c>
      <c r="E5" s="9">
        <v>12270.239999999998</v>
      </c>
      <c r="F5" s="9">
        <v>9862.2899999999991</v>
      </c>
      <c r="G5" s="9">
        <v>9645.0000000000018</v>
      </c>
      <c r="H5" s="9"/>
      <c r="L5" s="10">
        <f t="shared" ref="L5:L54" si="0">SUM(D5:K5)</f>
        <v>40430.14</v>
      </c>
    </row>
    <row r="6" spans="2:12" x14ac:dyDescent="0.25">
      <c r="B6" s="13"/>
      <c r="C6" s="4" t="s">
        <v>38</v>
      </c>
      <c r="D6" s="9">
        <v>5006.5699999999988</v>
      </c>
      <c r="E6" s="9">
        <v>3336.8100000000004</v>
      </c>
      <c r="F6" s="9">
        <v>2622.35</v>
      </c>
      <c r="G6" s="9">
        <v>3814.2499999999991</v>
      </c>
      <c r="H6" s="9"/>
      <c r="L6" s="10">
        <f t="shared" si="0"/>
        <v>14779.98</v>
      </c>
    </row>
    <row r="7" spans="2:12" x14ac:dyDescent="0.25">
      <c r="B7" s="13"/>
      <c r="C7" s="4" t="s">
        <v>13</v>
      </c>
      <c r="D7" s="9">
        <v>967.9</v>
      </c>
      <c r="E7" s="9">
        <v>1342.9899999999998</v>
      </c>
      <c r="F7" s="9">
        <v>920.19</v>
      </c>
      <c r="G7" s="9">
        <v>193.59</v>
      </c>
      <c r="H7" s="9"/>
      <c r="L7" s="10">
        <f t="shared" si="0"/>
        <v>3424.67</v>
      </c>
    </row>
    <row r="8" spans="2:12" x14ac:dyDescent="0.25">
      <c r="B8" s="13"/>
      <c r="C8" s="4" t="s">
        <v>41</v>
      </c>
      <c r="D8" s="9">
        <v>12956.079999999998</v>
      </c>
      <c r="E8" s="9">
        <v>8479.8799999999974</v>
      </c>
      <c r="F8" s="9">
        <v>10100.470000000001</v>
      </c>
      <c r="G8" s="9">
        <v>6697.1199999999981</v>
      </c>
      <c r="H8" s="9">
        <v>2840.1200000000003</v>
      </c>
      <c r="L8" s="10">
        <f t="shared" si="0"/>
        <v>41073.67</v>
      </c>
    </row>
    <row r="9" spans="2:12" x14ac:dyDescent="0.25">
      <c r="B9" s="13"/>
      <c r="C9" s="4" t="s">
        <v>14</v>
      </c>
      <c r="D9" s="9">
        <v>29644.930000000004</v>
      </c>
      <c r="E9" s="9">
        <v>13645.810000000005</v>
      </c>
      <c r="F9" s="9">
        <v>25285.899999999998</v>
      </c>
      <c r="G9" s="9">
        <v>22732.859999999993</v>
      </c>
      <c r="H9" s="9"/>
      <c r="L9" s="10">
        <f t="shared" si="0"/>
        <v>91309.5</v>
      </c>
    </row>
    <row r="10" spans="2:12" x14ac:dyDescent="0.25">
      <c r="B10" s="13"/>
      <c r="C10" s="4" t="s">
        <v>15</v>
      </c>
      <c r="D10" s="9">
        <v>12192.029999999999</v>
      </c>
      <c r="E10" s="9">
        <v>6570.8399999999992</v>
      </c>
      <c r="F10" s="9">
        <v>49360.83</v>
      </c>
      <c r="G10" s="9">
        <v>32494.479999999996</v>
      </c>
      <c r="H10" s="9"/>
      <c r="L10" s="10">
        <f t="shared" si="0"/>
        <v>100618.18</v>
      </c>
    </row>
    <row r="11" spans="2:12" x14ac:dyDescent="0.25">
      <c r="B11" s="13"/>
      <c r="C11" s="4" t="s">
        <v>42</v>
      </c>
      <c r="D11" s="9">
        <v>232989.88000000003</v>
      </c>
      <c r="E11" s="9">
        <v>13850.150000000001</v>
      </c>
      <c r="F11" s="9">
        <v>13138.579999999998</v>
      </c>
      <c r="G11" s="9">
        <v>7851.3300000000008</v>
      </c>
      <c r="H11" s="9"/>
      <c r="L11" s="10">
        <f t="shared" si="0"/>
        <v>267829.94</v>
      </c>
    </row>
    <row r="12" spans="2:12" x14ac:dyDescent="0.25">
      <c r="B12" s="13"/>
      <c r="C12" s="4" t="s">
        <v>16</v>
      </c>
      <c r="D12" s="9">
        <v>278.2</v>
      </c>
      <c r="E12" s="9">
        <v>160.80000000000001</v>
      </c>
      <c r="F12" s="9">
        <v>217.2</v>
      </c>
      <c r="G12" s="9">
        <v>0</v>
      </c>
      <c r="H12" s="9"/>
      <c r="L12" s="10">
        <f t="shared" si="0"/>
        <v>656.2</v>
      </c>
    </row>
    <row r="13" spans="2:12" x14ac:dyDescent="0.25">
      <c r="B13" s="13"/>
      <c r="C13" s="4" t="s">
        <v>17</v>
      </c>
      <c r="D13" s="9">
        <v>618.55999999999995</v>
      </c>
      <c r="E13" s="9">
        <v>1058.03</v>
      </c>
      <c r="F13" s="9">
        <v>26326.899999999994</v>
      </c>
      <c r="G13" s="9">
        <v>13645.310000000001</v>
      </c>
      <c r="H13" s="9"/>
      <c r="L13" s="10">
        <f t="shared" si="0"/>
        <v>41648.799999999996</v>
      </c>
    </row>
    <row r="14" spans="2:12" x14ac:dyDescent="0.25">
      <c r="B14" s="13"/>
      <c r="C14" s="4" t="s">
        <v>19</v>
      </c>
      <c r="D14" s="9">
        <v>618.35</v>
      </c>
      <c r="E14" s="9">
        <v>2061.98</v>
      </c>
      <c r="F14" s="9">
        <v>26377.17</v>
      </c>
      <c r="G14" s="9">
        <v>18915.98</v>
      </c>
      <c r="H14" s="9"/>
      <c r="L14" s="10">
        <f t="shared" si="0"/>
        <v>47973.479999999996</v>
      </c>
    </row>
    <row r="15" spans="2:12" x14ac:dyDescent="0.25">
      <c r="B15" s="13"/>
      <c r="C15" s="4" t="s">
        <v>20</v>
      </c>
      <c r="D15" s="9">
        <v>1985.43</v>
      </c>
      <c r="E15" s="9">
        <v>27558.36</v>
      </c>
      <c r="F15" s="9">
        <v>5262.670000000001</v>
      </c>
      <c r="G15" s="9">
        <v>17911.579999999994</v>
      </c>
      <c r="H15" s="9"/>
      <c r="L15" s="10">
        <f t="shared" si="0"/>
        <v>52718.039999999994</v>
      </c>
    </row>
    <row r="16" spans="2:12" x14ac:dyDescent="0.25">
      <c r="B16" s="13"/>
      <c r="C16" s="4" t="s">
        <v>21</v>
      </c>
      <c r="D16" s="9">
        <v>94725.110000000015</v>
      </c>
      <c r="E16" s="9">
        <v>81728.559999999983</v>
      </c>
      <c r="F16" s="9">
        <v>31788.990000000005</v>
      </c>
      <c r="G16" s="9">
        <v>55499.880000000041</v>
      </c>
      <c r="H16" s="9">
        <v>8827.5999999999985</v>
      </c>
      <c r="L16" s="10">
        <f t="shared" si="0"/>
        <v>272570.14</v>
      </c>
    </row>
    <row r="17" spans="2:12" x14ac:dyDescent="0.25">
      <c r="B17" s="13"/>
      <c r="C17" s="4" t="s">
        <v>22</v>
      </c>
      <c r="D17" s="9">
        <v>209172.97999999998</v>
      </c>
      <c r="E17" s="9">
        <v>981.06</v>
      </c>
      <c r="F17" s="9">
        <v>7260</v>
      </c>
      <c r="G17" s="9">
        <v>29141.97</v>
      </c>
      <c r="H17" s="9">
        <v>17914.38</v>
      </c>
      <c r="L17" s="10">
        <f t="shared" si="0"/>
        <v>264470.38999999996</v>
      </c>
    </row>
    <row r="18" spans="2:12" x14ac:dyDescent="0.25">
      <c r="B18" s="13"/>
      <c r="C18" s="4" t="s">
        <v>24</v>
      </c>
      <c r="D18" s="9">
        <v>25750.390000000003</v>
      </c>
      <c r="E18" s="9">
        <v>2392.37</v>
      </c>
      <c r="F18" s="9">
        <v>6879.3799999999992</v>
      </c>
      <c r="G18" s="9">
        <v>1650.45</v>
      </c>
      <c r="H18" s="9"/>
      <c r="L18" s="10">
        <f t="shared" si="0"/>
        <v>36672.589999999997</v>
      </c>
    </row>
    <row r="19" spans="2:12" x14ac:dyDescent="0.25">
      <c r="B19" s="13"/>
      <c r="C19" s="4" t="s">
        <v>25</v>
      </c>
      <c r="D19" s="9">
        <v>1488.5899999999997</v>
      </c>
      <c r="E19" s="9">
        <v>1594.61</v>
      </c>
      <c r="F19" s="9">
        <v>456.74</v>
      </c>
      <c r="G19" s="9">
        <v>618.36</v>
      </c>
      <c r="H19" s="9"/>
      <c r="L19" s="10">
        <f t="shared" si="0"/>
        <v>4158.2999999999993</v>
      </c>
    </row>
    <row r="20" spans="2:12" x14ac:dyDescent="0.25">
      <c r="B20" s="13"/>
      <c r="C20" s="4" t="s">
        <v>26</v>
      </c>
      <c r="D20" s="9"/>
      <c r="E20" s="9">
        <v>37.799999999999997</v>
      </c>
      <c r="F20" s="9"/>
      <c r="G20" s="9"/>
      <c r="H20" s="9"/>
      <c r="L20" s="10">
        <f t="shared" si="0"/>
        <v>37.799999999999997</v>
      </c>
    </row>
    <row r="21" spans="2:12" x14ac:dyDescent="0.25">
      <c r="B21" s="13"/>
      <c r="C21" s="4" t="s">
        <v>27</v>
      </c>
      <c r="D21" s="9">
        <v>96.72</v>
      </c>
      <c r="E21" s="9">
        <v>185.22000000000003</v>
      </c>
      <c r="F21" s="9">
        <v>512.15</v>
      </c>
      <c r="G21" s="9">
        <v>3750.19</v>
      </c>
      <c r="H21" s="9"/>
      <c r="L21" s="10">
        <f t="shared" si="0"/>
        <v>4544.28</v>
      </c>
    </row>
    <row r="22" spans="2:12" x14ac:dyDescent="0.25">
      <c r="B22" s="13"/>
      <c r="C22" s="4" t="s">
        <v>28</v>
      </c>
      <c r="D22" s="9">
        <v>1085.96</v>
      </c>
      <c r="E22" s="9">
        <v>1102.95</v>
      </c>
      <c r="F22" s="9">
        <v>395.93999999999994</v>
      </c>
      <c r="G22" s="9">
        <v>2370.87</v>
      </c>
      <c r="H22" s="9"/>
      <c r="L22" s="10">
        <f t="shared" si="0"/>
        <v>4955.7199999999993</v>
      </c>
    </row>
    <row r="23" spans="2:12" x14ac:dyDescent="0.25">
      <c r="B23" s="13"/>
      <c r="C23" s="4" t="s">
        <v>29</v>
      </c>
      <c r="D23" s="9">
        <v>449319.70999999973</v>
      </c>
      <c r="E23" s="9">
        <v>461875.57000000018</v>
      </c>
      <c r="F23" s="9">
        <v>316361.15999999986</v>
      </c>
      <c r="G23" s="9">
        <v>526893.59999999939</v>
      </c>
      <c r="H23" s="9"/>
      <c r="L23" s="10">
        <f t="shared" si="0"/>
        <v>1754450.0399999991</v>
      </c>
    </row>
    <row r="24" spans="2:12" x14ac:dyDescent="0.25">
      <c r="B24" s="13"/>
      <c r="C24" s="4" t="s">
        <v>43</v>
      </c>
      <c r="D24" s="9">
        <v>6255.53</v>
      </c>
      <c r="E24" s="9">
        <v>1002.05</v>
      </c>
      <c r="F24" s="9">
        <v>3132.72</v>
      </c>
      <c r="G24" s="9">
        <v>2379.2499999999995</v>
      </c>
      <c r="H24" s="9"/>
      <c r="L24" s="10">
        <f t="shared" si="0"/>
        <v>12769.55</v>
      </c>
    </row>
    <row r="25" spans="2:12" x14ac:dyDescent="0.25">
      <c r="B25" s="13"/>
      <c r="C25" s="4" t="s">
        <v>30</v>
      </c>
      <c r="D25" s="9">
        <v>36923.790000000015</v>
      </c>
      <c r="E25" s="9">
        <v>48129.719999999987</v>
      </c>
      <c r="F25" s="9">
        <v>19264.650000000001</v>
      </c>
      <c r="G25" s="9">
        <v>34849.87999999999</v>
      </c>
      <c r="H25" s="9"/>
      <c r="L25" s="10">
        <f t="shared" si="0"/>
        <v>139168.03999999998</v>
      </c>
    </row>
    <row r="26" spans="2:12" x14ac:dyDescent="0.25">
      <c r="B26" s="13"/>
      <c r="C26" s="4" t="s">
        <v>31</v>
      </c>
      <c r="D26" s="9">
        <v>778.7</v>
      </c>
      <c r="E26" s="9">
        <v>2029.1100000000006</v>
      </c>
      <c r="F26" s="9">
        <v>1176.77</v>
      </c>
      <c r="G26" s="9">
        <v>1926.1000000000004</v>
      </c>
      <c r="H26" s="9"/>
      <c r="L26" s="10">
        <f t="shared" si="0"/>
        <v>5910.68</v>
      </c>
    </row>
    <row r="27" spans="2:12" x14ac:dyDescent="0.25">
      <c r="B27" s="13"/>
      <c r="C27" s="4" t="s">
        <v>68</v>
      </c>
      <c r="D27" s="9">
        <v>106120.34000000003</v>
      </c>
      <c r="E27" s="9">
        <v>36388.73000000001</v>
      </c>
      <c r="F27" s="9">
        <v>149228.88</v>
      </c>
      <c r="G27" s="9">
        <v>98021.71000000005</v>
      </c>
      <c r="H27" s="9"/>
      <c r="L27" s="10">
        <f t="shared" si="0"/>
        <v>389759.66000000015</v>
      </c>
    </row>
    <row r="28" spans="2:12" x14ac:dyDescent="0.25">
      <c r="B28" s="3" t="s">
        <v>33</v>
      </c>
      <c r="C28" s="6"/>
      <c r="D28" s="11">
        <f>SUM(D4:D27)</f>
        <v>1335089.9999999998</v>
      </c>
      <c r="E28" s="11">
        <f t="shared" ref="E28:K28" si="1">SUM(E4:E27)</f>
        <v>862282.47000000009</v>
      </c>
      <c r="F28" s="11">
        <f t="shared" si="1"/>
        <v>827469.5299999998</v>
      </c>
      <c r="G28" s="11">
        <f t="shared" si="1"/>
        <v>1006846.0299999994</v>
      </c>
      <c r="H28" s="11">
        <f t="shared" si="1"/>
        <v>29582.1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4061270.129999999</v>
      </c>
    </row>
    <row r="29" spans="2:12" x14ac:dyDescent="0.25">
      <c r="B29" s="13"/>
      <c r="C29" s="4"/>
      <c r="D29" s="9"/>
      <c r="E29" s="9"/>
      <c r="F29" s="9"/>
      <c r="G29" s="9"/>
      <c r="L29" s="10"/>
    </row>
    <row r="30" spans="2:12" x14ac:dyDescent="0.25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25">
      <c r="B31" s="13"/>
      <c r="C31" s="7" t="s">
        <v>11</v>
      </c>
      <c r="D31" s="11">
        <v>142</v>
      </c>
      <c r="E31" s="11">
        <v>196</v>
      </c>
      <c r="F31" s="11">
        <v>176</v>
      </c>
      <c r="G31" s="11">
        <v>167</v>
      </c>
      <c r="H31" s="11"/>
      <c r="L31" s="10">
        <f t="shared" si="0"/>
        <v>681</v>
      </c>
    </row>
    <row r="32" spans="2:12" x14ac:dyDescent="0.25">
      <c r="B32" s="13"/>
      <c r="C32" s="4" t="s">
        <v>12</v>
      </c>
      <c r="D32" s="9">
        <v>25</v>
      </c>
      <c r="E32" s="9">
        <v>34</v>
      </c>
      <c r="F32" s="9">
        <v>27</v>
      </c>
      <c r="G32" s="9">
        <v>27</v>
      </c>
      <c r="H32" s="9"/>
      <c r="L32" s="10">
        <f t="shared" si="0"/>
        <v>113</v>
      </c>
    </row>
    <row r="33" spans="2:12" x14ac:dyDescent="0.25">
      <c r="B33" s="13"/>
      <c r="C33" s="4" t="s">
        <v>38</v>
      </c>
      <c r="D33" s="9">
        <v>21</v>
      </c>
      <c r="E33" s="9">
        <v>14</v>
      </c>
      <c r="F33" s="9">
        <v>11</v>
      </c>
      <c r="G33" s="9">
        <v>16</v>
      </c>
      <c r="H33" s="9"/>
      <c r="L33" s="10">
        <f t="shared" si="0"/>
        <v>62</v>
      </c>
    </row>
    <row r="34" spans="2:12" x14ac:dyDescent="0.25">
      <c r="B34" s="13"/>
      <c r="C34" s="4" t="s">
        <v>13</v>
      </c>
      <c r="D34" s="9">
        <v>5</v>
      </c>
      <c r="E34" s="9">
        <v>9</v>
      </c>
      <c r="F34" s="9">
        <v>6</v>
      </c>
      <c r="G34" s="9">
        <v>1</v>
      </c>
      <c r="H34" s="9"/>
      <c r="L34" s="10">
        <f t="shared" si="0"/>
        <v>21</v>
      </c>
    </row>
    <row r="35" spans="2:12" x14ac:dyDescent="0.25">
      <c r="B35" s="13"/>
      <c r="C35" s="4" t="s">
        <v>41</v>
      </c>
      <c r="D35" s="9">
        <v>168</v>
      </c>
      <c r="E35" s="9">
        <v>110</v>
      </c>
      <c r="F35" s="9">
        <v>131</v>
      </c>
      <c r="G35" s="9">
        <v>87</v>
      </c>
      <c r="H35" s="9">
        <v>37</v>
      </c>
      <c r="L35" s="10">
        <f t="shared" si="0"/>
        <v>533</v>
      </c>
    </row>
    <row r="36" spans="2:12" x14ac:dyDescent="0.25">
      <c r="B36" s="13"/>
      <c r="C36" s="4" t="s">
        <v>14</v>
      </c>
      <c r="D36" s="9">
        <v>128</v>
      </c>
      <c r="E36" s="9">
        <v>58</v>
      </c>
      <c r="F36" s="9">
        <v>105</v>
      </c>
      <c r="G36" s="9">
        <v>93</v>
      </c>
      <c r="H36" s="9"/>
      <c r="L36" s="10">
        <f t="shared" si="0"/>
        <v>384</v>
      </c>
    </row>
    <row r="37" spans="2:12" x14ac:dyDescent="0.25">
      <c r="B37" s="13"/>
      <c r="C37" s="4" t="s">
        <v>15</v>
      </c>
      <c r="D37" s="9">
        <v>71</v>
      </c>
      <c r="E37" s="9">
        <v>37</v>
      </c>
      <c r="F37" s="9">
        <v>293</v>
      </c>
      <c r="G37" s="9">
        <v>139</v>
      </c>
      <c r="H37" s="9"/>
      <c r="L37" s="10">
        <f t="shared" si="0"/>
        <v>540</v>
      </c>
    </row>
    <row r="38" spans="2:12" x14ac:dyDescent="0.25">
      <c r="B38" s="13"/>
      <c r="C38" s="4" t="s">
        <v>42</v>
      </c>
      <c r="D38" s="9">
        <v>645</v>
      </c>
      <c r="E38" s="9">
        <v>38</v>
      </c>
      <c r="F38" s="9">
        <v>37</v>
      </c>
      <c r="G38" s="9">
        <v>16</v>
      </c>
      <c r="H38" s="9"/>
      <c r="L38" s="10">
        <f t="shared" si="0"/>
        <v>736</v>
      </c>
    </row>
    <row r="39" spans="2:12" x14ac:dyDescent="0.25">
      <c r="B39" s="13"/>
      <c r="C39" s="4" t="s">
        <v>16</v>
      </c>
      <c r="D39" s="9">
        <v>6</v>
      </c>
      <c r="E39" s="9">
        <v>3</v>
      </c>
      <c r="F39" s="9">
        <v>5</v>
      </c>
      <c r="G39" s="9">
        <v>0</v>
      </c>
      <c r="H39" s="9"/>
      <c r="L39" s="10">
        <f t="shared" si="0"/>
        <v>14</v>
      </c>
    </row>
    <row r="40" spans="2:12" x14ac:dyDescent="0.25">
      <c r="B40" s="13"/>
      <c r="C40" s="4" t="s">
        <v>17</v>
      </c>
      <c r="D40" s="9">
        <v>3</v>
      </c>
      <c r="E40" s="9">
        <v>6</v>
      </c>
      <c r="F40" s="9">
        <v>164</v>
      </c>
      <c r="G40" s="9">
        <v>64</v>
      </c>
      <c r="H40" s="9"/>
      <c r="L40" s="10">
        <f t="shared" si="0"/>
        <v>237</v>
      </c>
    </row>
    <row r="41" spans="2:12" x14ac:dyDescent="0.25">
      <c r="B41" s="13"/>
      <c r="C41" s="4" t="s">
        <v>19</v>
      </c>
      <c r="D41" s="9">
        <v>3</v>
      </c>
      <c r="E41" s="9">
        <v>13</v>
      </c>
      <c r="F41" s="9">
        <v>159</v>
      </c>
      <c r="G41" s="9">
        <v>85</v>
      </c>
      <c r="H41" s="9"/>
      <c r="L41" s="10">
        <f t="shared" si="0"/>
        <v>260</v>
      </c>
    </row>
    <row r="42" spans="2:12" x14ac:dyDescent="0.25">
      <c r="B42" s="13"/>
      <c r="C42" s="4" t="s">
        <v>20</v>
      </c>
      <c r="D42" s="9">
        <v>11</v>
      </c>
      <c r="E42" s="9">
        <v>171</v>
      </c>
      <c r="F42" s="9">
        <v>32</v>
      </c>
      <c r="G42" s="9">
        <v>81</v>
      </c>
      <c r="H42" s="9"/>
      <c r="L42" s="10">
        <f t="shared" si="0"/>
        <v>295</v>
      </c>
    </row>
    <row r="43" spans="2:12" x14ac:dyDescent="0.25">
      <c r="B43" s="13"/>
      <c r="C43" s="4" t="s">
        <v>21</v>
      </c>
      <c r="D43" s="9">
        <v>334</v>
      </c>
      <c r="E43" s="9">
        <v>287</v>
      </c>
      <c r="F43" s="9">
        <v>112</v>
      </c>
      <c r="G43" s="9">
        <v>178</v>
      </c>
      <c r="H43" s="9">
        <v>31</v>
      </c>
      <c r="L43" s="10">
        <f t="shared" si="0"/>
        <v>942</v>
      </c>
    </row>
    <row r="44" spans="2:12" x14ac:dyDescent="0.25">
      <c r="B44" s="13"/>
      <c r="C44" s="4" t="s">
        <v>22</v>
      </c>
      <c r="D44" s="9">
        <v>644</v>
      </c>
      <c r="E44" s="9">
        <v>3</v>
      </c>
      <c r="F44" s="9">
        <v>22</v>
      </c>
      <c r="G44" s="9">
        <v>88</v>
      </c>
      <c r="H44" s="9">
        <v>54</v>
      </c>
      <c r="L44" s="10">
        <f t="shared" si="0"/>
        <v>811</v>
      </c>
    </row>
    <row r="45" spans="2:12" x14ac:dyDescent="0.25">
      <c r="B45" s="13"/>
      <c r="C45" s="4" t="s">
        <v>24</v>
      </c>
      <c r="D45" s="9">
        <v>99</v>
      </c>
      <c r="E45" s="9">
        <v>9</v>
      </c>
      <c r="F45" s="9">
        <v>27</v>
      </c>
      <c r="G45" s="9">
        <v>5</v>
      </c>
      <c r="H45" s="9"/>
      <c r="L45" s="10">
        <f t="shared" si="0"/>
        <v>140</v>
      </c>
    </row>
    <row r="46" spans="2:12" x14ac:dyDescent="0.25">
      <c r="B46" s="13"/>
      <c r="C46" s="4" t="s">
        <v>25</v>
      </c>
      <c r="D46" s="9">
        <v>9</v>
      </c>
      <c r="E46" s="9">
        <v>9</v>
      </c>
      <c r="F46" s="9">
        <v>3</v>
      </c>
      <c r="G46" s="9">
        <v>3</v>
      </c>
      <c r="H46" s="9"/>
      <c r="L46" s="10">
        <f t="shared" si="0"/>
        <v>24</v>
      </c>
    </row>
    <row r="47" spans="2:12" x14ac:dyDescent="0.25">
      <c r="B47" s="13"/>
      <c r="C47" s="4" t="s">
        <v>26</v>
      </c>
      <c r="D47" s="9"/>
      <c r="E47" s="9">
        <v>2</v>
      </c>
      <c r="F47" s="9"/>
      <c r="G47" s="9"/>
      <c r="H47" s="9"/>
      <c r="L47" s="10">
        <f t="shared" si="0"/>
        <v>2</v>
      </c>
    </row>
    <row r="48" spans="2:12" x14ac:dyDescent="0.25">
      <c r="B48" s="13"/>
      <c r="C48" s="4" t="s">
        <v>27</v>
      </c>
      <c r="D48" s="9">
        <v>4</v>
      </c>
      <c r="E48" s="9">
        <v>7</v>
      </c>
      <c r="F48" s="9">
        <v>29</v>
      </c>
      <c r="G48" s="9">
        <v>62</v>
      </c>
      <c r="H48" s="9"/>
      <c r="L48" s="10">
        <f t="shared" si="0"/>
        <v>102</v>
      </c>
    </row>
    <row r="49" spans="2:12" x14ac:dyDescent="0.25">
      <c r="B49" s="13"/>
      <c r="C49" s="4" t="s">
        <v>28</v>
      </c>
      <c r="D49" s="9">
        <v>13</v>
      </c>
      <c r="E49" s="9">
        <v>13</v>
      </c>
      <c r="F49" s="9">
        <v>6</v>
      </c>
      <c r="G49" s="9">
        <v>10</v>
      </c>
      <c r="H49" s="9"/>
      <c r="L49" s="10">
        <f t="shared" si="0"/>
        <v>42</v>
      </c>
    </row>
    <row r="50" spans="2:12" x14ac:dyDescent="0.25">
      <c r="B50" s="13"/>
      <c r="C50" s="4" t="s">
        <v>29</v>
      </c>
      <c r="D50" s="9">
        <v>2301</v>
      </c>
      <c r="E50" s="9">
        <v>2369</v>
      </c>
      <c r="F50" s="9">
        <v>1360</v>
      </c>
      <c r="G50" s="9">
        <v>2374</v>
      </c>
      <c r="H50" s="9"/>
      <c r="L50" s="10">
        <f t="shared" si="0"/>
        <v>8404</v>
      </c>
    </row>
    <row r="51" spans="2:12" x14ac:dyDescent="0.25">
      <c r="B51" s="13"/>
      <c r="C51" s="4" t="s">
        <v>43</v>
      </c>
      <c r="D51" s="9">
        <v>50</v>
      </c>
      <c r="E51" s="9">
        <v>8</v>
      </c>
      <c r="F51" s="9">
        <v>25</v>
      </c>
      <c r="G51" s="9">
        <v>18</v>
      </c>
      <c r="H51" s="9"/>
      <c r="L51" s="10">
        <f t="shared" si="0"/>
        <v>101</v>
      </c>
    </row>
    <row r="52" spans="2:12" x14ac:dyDescent="0.25">
      <c r="B52" s="13"/>
      <c r="C52" s="4" t="s">
        <v>30</v>
      </c>
      <c r="D52" s="9">
        <v>180</v>
      </c>
      <c r="E52" s="9">
        <v>234</v>
      </c>
      <c r="F52" s="9">
        <v>90</v>
      </c>
      <c r="G52" s="9">
        <v>165</v>
      </c>
      <c r="H52" s="9"/>
      <c r="L52" s="10">
        <f t="shared" si="0"/>
        <v>669</v>
      </c>
    </row>
    <row r="53" spans="2:12" x14ac:dyDescent="0.25">
      <c r="B53" s="13"/>
      <c r="C53" s="4" t="s">
        <v>31</v>
      </c>
      <c r="D53" s="9">
        <v>30</v>
      </c>
      <c r="E53" s="9">
        <v>86</v>
      </c>
      <c r="F53" s="9">
        <v>57</v>
      </c>
      <c r="G53" s="9">
        <v>29</v>
      </c>
      <c r="H53" s="9"/>
      <c r="L53" s="10">
        <f t="shared" si="0"/>
        <v>202</v>
      </c>
    </row>
    <row r="54" spans="2:12" x14ac:dyDescent="0.25">
      <c r="B54" s="13"/>
      <c r="C54" s="4" t="s">
        <v>68</v>
      </c>
      <c r="D54" s="9">
        <v>242</v>
      </c>
      <c r="E54" s="9">
        <v>83</v>
      </c>
      <c r="F54" s="9">
        <v>341</v>
      </c>
      <c r="G54" s="9">
        <v>172</v>
      </c>
      <c r="H54" s="9"/>
      <c r="L54" s="10">
        <f t="shared" si="0"/>
        <v>838</v>
      </c>
    </row>
    <row r="55" spans="2:12" x14ac:dyDescent="0.25">
      <c r="B55" s="8" t="s">
        <v>45</v>
      </c>
      <c r="C55" s="23"/>
      <c r="D55" s="11">
        <f>SUM(D31:D54)</f>
        <v>5134</v>
      </c>
      <c r="E55" s="11">
        <f t="shared" ref="E55:K55" si="2">SUM(E31:E54)</f>
        <v>3799</v>
      </c>
      <c r="F55" s="11">
        <f t="shared" si="2"/>
        <v>3218</v>
      </c>
      <c r="G55" s="11">
        <f t="shared" si="2"/>
        <v>3880</v>
      </c>
      <c r="H55" s="11">
        <f t="shared" si="2"/>
        <v>122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1">
        <f>SUM(D55:K55)</f>
        <v>16153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L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97FB-37A5-4E97-9D39-50DE516CB401}">
  <dimension ref="B2:L57"/>
  <sheetViews>
    <sheetView topLeftCell="A37" workbookViewId="0">
      <selection activeCell="G52" sqref="G52"/>
    </sheetView>
  </sheetViews>
  <sheetFormatPr defaultRowHeight="15" x14ac:dyDescent="0.25"/>
  <cols>
    <col min="2" max="2" width="26.28515625" bestFit="1" customWidth="1"/>
    <col min="3" max="3" width="16.2851562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70</v>
      </c>
      <c r="C4" s="7" t="s">
        <v>11</v>
      </c>
      <c r="D4" s="9">
        <v>18916.740000000002</v>
      </c>
      <c r="E4" s="9">
        <v>19498.500000000004</v>
      </c>
      <c r="F4" s="9">
        <v>28992.379999999997</v>
      </c>
      <c r="G4" s="9">
        <v>27697.949999999997</v>
      </c>
      <c r="H4" s="9"/>
      <c r="L4" s="10">
        <f>SUM(D4:K4)</f>
        <v>95105.569999999992</v>
      </c>
    </row>
    <row r="5" spans="2:12" x14ac:dyDescent="0.25">
      <c r="B5" s="13"/>
      <c r="C5" s="4" t="s">
        <v>12</v>
      </c>
      <c r="D5" s="9">
        <v>331.69</v>
      </c>
      <c r="E5" s="9">
        <v>372.73</v>
      </c>
      <c r="F5" s="9">
        <v>744.95</v>
      </c>
      <c r="G5" s="9"/>
      <c r="H5" s="9"/>
      <c r="L5" s="10">
        <f t="shared" ref="L5:L56" si="0">SUM(D5:K5)</f>
        <v>1449.3700000000001</v>
      </c>
    </row>
    <row r="6" spans="2:12" x14ac:dyDescent="0.25">
      <c r="B6" s="13"/>
      <c r="C6" s="4" t="s">
        <v>38</v>
      </c>
      <c r="D6" s="9">
        <v>635.93000000000006</v>
      </c>
      <c r="E6" s="9">
        <v>715.11</v>
      </c>
      <c r="F6" s="9">
        <v>654.99</v>
      </c>
      <c r="G6" s="9">
        <v>238.3</v>
      </c>
      <c r="H6" s="9"/>
      <c r="L6" s="10">
        <f t="shared" si="0"/>
        <v>2244.33</v>
      </c>
    </row>
    <row r="7" spans="2:12" x14ac:dyDescent="0.25">
      <c r="B7" s="13"/>
      <c r="C7" s="4" t="s">
        <v>39</v>
      </c>
      <c r="D7" s="9"/>
      <c r="E7" s="9">
        <v>1712.5100000000002</v>
      </c>
      <c r="F7" s="9">
        <v>963.65000000000009</v>
      </c>
      <c r="G7" s="9">
        <v>528.95000000000005</v>
      </c>
      <c r="H7" s="9">
        <v>110</v>
      </c>
      <c r="L7" s="10">
        <f t="shared" si="0"/>
        <v>3315.1100000000006</v>
      </c>
    </row>
    <row r="8" spans="2:12" x14ac:dyDescent="0.25">
      <c r="B8" s="13"/>
      <c r="C8" s="4" t="s">
        <v>40</v>
      </c>
      <c r="D8" s="9">
        <v>621.75</v>
      </c>
      <c r="E8" s="9">
        <v>7923.2000000000062</v>
      </c>
      <c r="F8" s="9">
        <v>5039.4899999999934</v>
      </c>
      <c r="G8" s="9">
        <v>5801.3900000000012</v>
      </c>
      <c r="H8" s="9">
        <v>1924.5500000000002</v>
      </c>
      <c r="L8" s="10">
        <f t="shared" si="0"/>
        <v>21310.38</v>
      </c>
    </row>
    <row r="9" spans="2:12" x14ac:dyDescent="0.25">
      <c r="B9" s="13"/>
      <c r="C9" s="4" t="s">
        <v>13</v>
      </c>
      <c r="D9" s="9">
        <v>44952.14999999998</v>
      </c>
      <c r="E9" s="9">
        <v>4975.079999999999</v>
      </c>
      <c r="F9" s="9"/>
      <c r="G9" s="9"/>
      <c r="H9" s="9"/>
      <c r="L9" s="10">
        <f t="shared" si="0"/>
        <v>49927.229999999981</v>
      </c>
    </row>
    <row r="10" spans="2:12" x14ac:dyDescent="0.25">
      <c r="B10" s="13"/>
      <c r="C10" s="4" t="s">
        <v>41</v>
      </c>
      <c r="D10" s="9">
        <v>15075.690000000006</v>
      </c>
      <c r="E10" s="9">
        <v>11874.880000000001</v>
      </c>
      <c r="F10" s="9">
        <v>7034.0799999999963</v>
      </c>
      <c r="G10" s="9">
        <v>8710.9699999999993</v>
      </c>
      <c r="H10" s="9">
        <v>1850.3999999999996</v>
      </c>
      <c r="L10" s="10">
        <f t="shared" si="0"/>
        <v>44546.020000000004</v>
      </c>
    </row>
    <row r="11" spans="2:12" x14ac:dyDescent="0.25">
      <c r="B11" s="13"/>
      <c r="C11" s="4" t="s">
        <v>14</v>
      </c>
      <c r="D11" s="9">
        <v>3137.9400000000005</v>
      </c>
      <c r="E11" s="9">
        <v>1545.75</v>
      </c>
      <c r="F11" s="9">
        <v>1629.95</v>
      </c>
      <c r="G11" s="9">
        <v>643.08000000000004</v>
      </c>
      <c r="H11" s="9"/>
      <c r="L11" s="10">
        <f t="shared" si="0"/>
        <v>6956.72</v>
      </c>
    </row>
    <row r="12" spans="2:12" x14ac:dyDescent="0.25">
      <c r="B12" s="13"/>
      <c r="C12" s="4" t="s">
        <v>15</v>
      </c>
      <c r="D12" s="9">
        <v>118092.29000000005</v>
      </c>
      <c r="E12" s="9">
        <v>23117.140000000018</v>
      </c>
      <c r="F12" s="9">
        <v>151403.96999999983</v>
      </c>
      <c r="G12" s="9">
        <v>4108.33</v>
      </c>
      <c r="H12" s="9"/>
      <c r="L12" s="10">
        <f t="shared" si="0"/>
        <v>296721.72999999992</v>
      </c>
    </row>
    <row r="13" spans="2:12" x14ac:dyDescent="0.25">
      <c r="B13" s="13"/>
      <c r="C13" s="4" t="s">
        <v>42</v>
      </c>
      <c r="D13" s="9">
        <v>861.47</v>
      </c>
      <c r="E13" s="9"/>
      <c r="F13" s="9"/>
      <c r="G13" s="9">
        <v>0</v>
      </c>
      <c r="H13" s="9"/>
      <c r="L13" s="10">
        <f t="shared" si="0"/>
        <v>861.47</v>
      </c>
    </row>
    <row r="14" spans="2:12" x14ac:dyDescent="0.25">
      <c r="B14" s="13"/>
      <c r="C14" s="4" t="s">
        <v>16</v>
      </c>
      <c r="D14" s="9">
        <v>127.67</v>
      </c>
      <c r="E14" s="9"/>
      <c r="F14" s="9"/>
      <c r="G14" s="9"/>
      <c r="H14" s="9"/>
      <c r="L14" s="10">
        <f t="shared" si="0"/>
        <v>127.67</v>
      </c>
    </row>
    <row r="15" spans="2:12" x14ac:dyDescent="0.25">
      <c r="B15" s="13"/>
      <c r="C15" s="4" t="s">
        <v>17</v>
      </c>
      <c r="D15" s="9">
        <v>14290.059999999998</v>
      </c>
      <c r="E15" s="9">
        <v>8962.2800000000007</v>
      </c>
      <c r="F15" s="9">
        <v>7835.8300000000036</v>
      </c>
      <c r="G15" s="9">
        <v>9002.9300000000021</v>
      </c>
      <c r="H15" s="9"/>
      <c r="L15" s="10">
        <f t="shared" si="0"/>
        <v>40091.1</v>
      </c>
    </row>
    <row r="16" spans="2:12" x14ac:dyDescent="0.25">
      <c r="B16" s="13"/>
      <c r="C16" s="4" t="s">
        <v>19</v>
      </c>
      <c r="D16" s="9">
        <v>17950.090000000011</v>
      </c>
      <c r="E16" s="9">
        <v>8223.8399999999965</v>
      </c>
      <c r="F16" s="9">
        <v>8842.0499999999975</v>
      </c>
      <c r="G16" s="9">
        <v>11737.230000000003</v>
      </c>
      <c r="H16" s="9"/>
      <c r="L16" s="10">
        <f t="shared" si="0"/>
        <v>46753.210000000006</v>
      </c>
    </row>
    <row r="17" spans="2:12" x14ac:dyDescent="0.25">
      <c r="B17" s="13"/>
      <c r="C17" s="4" t="s">
        <v>20</v>
      </c>
      <c r="D17" s="9">
        <v>17584.010000000006</v>
      </c>
      <c r="E17" s="9">
        <v>17337.960000000017</v>
      </c>
      <c r="F17" s="9">
        <v>19942.46999999999</v>
      </c>
      <c r="G17" s="9">
        <v>16728.810000000009</v>
      </c>
      <c r="H17" s="9"/>
      <c r="L17" s="10">
        <f t="shared" si="0"/>
        <v>71593.250000000029</v>
      </c>
    </row>
    <row r="18" spans="2:12" x14ac:dyDescent="0.25">
      <c r="B18" s="13"/>
      <c r="C18" s="4" t="s">
        <v>21</v>
      </c>
      <c r="D18" s="9">
        <v>215452.1699999999</v>
      </c>
      <c r="E18" s="9">
        <v>131142.66000000021</v>
      </c>
      <c r="F18" s="9">
        <v>79607.140000000087</v>
      </c>
      <c r="G18" s="9">
        <v>100064.6399999998</v>
      </c>
      <c r="H18" s="9">
        <v>24387.54</v>
      </c>
      <c r="L18" s="10">
        <f t="shared" si="0"/>
        <v>550654.15</v>
      </c>
    </row>
    <row r="19" spans="2:12" x14ac:dyDescent="0.25">
      <c r="B19" s="13"/>
      <c r="C19" s="4" t="s">
        <v>22</v>
      </c>
      <c r="D19" s="9">
        <v>2727900.5600000024</v>
      </c>
      <c r="E19" s="9">
        <v>194452.48000000013</v>
      </c>
      <c r="F19" s="9">
        <v>16054.53</v>
      </c>
      <c r="G19" s="9">
        <v>46400.259999999937</v>
      </c>
      <c r="H19" s="9">
        <v>104215.79</v>
      </c>
      <c r="L19" s="10">
        <f t="shared" si="0"/>
        <v>3089023.620000002</v>
      </c>
    </row>
    <row r="20" spans="2:12" x14ac:dyDescent="0.25">
      <c r="B20" s="13"/>
      <c r="C20" s="4" t="s">
        <v>24</v>
      </c>
      <c r="D20" s="9">
        <v>69561.56999999992</v>
      </c>
      <c r="E20" s="9">
        <v>65411.840000000004</v>
      </c>
      <c r="F20" s="9">
        <v>25182.21999999999</v>
      </c>
      <c r="G20" s="9">
        <v>25089.750000000011</v>
      </c>
      <c r="H20" s="9"/>
      <c r="L20" s="10">
        <f t="shared" si="0"/>
        <v>185245.37999999992</v>
      </c>
    </row>
    <row r="21" spans="2:12" x14ac:dyDescent="0.25">
      <c r="B21" s="13"/>
      <c r="C21" s="4" t="s">
        <v>25</v>
      </c>
      <c r="D21" s="9">
        <v>36355.019999999997</v>
      </c>
      <c r="E21" s="9">
        <v>34668.89</v>
      </c>
      <c r="F21" s="9"/>
      <c r="G21" s="9">
        <v>13502.760000000002</v>
      </c>
      <c r="H21" s="9">
        <v>5040</v>
      </c>
      <c r="L21" s="10">
        <f t="shared" si="0"/>
        <v>89566.670000000013</v>
      </c>
    </row>
    <row r="22" spans="2:12" x14ac:dyDescent="0.25">
      <c r="B22" s="13"/>
      <c r="C22" s="4" t="s">
        <v>27</v>
      </c>
      <c r="D22" s="9">
        <v>158.31</v>
      </c>
      <c r="E22" s="9"/>
      <c r="F22" s="9"/>
      <c r="G22" s="9"/>
      <c r="H22" s="9"/>
      <c r="L22" s="10">
        <f t="shared" si="0"/>
        <v>158.31</v>
      </c>
    </row>
    <row r="23" spans="2:12" x14ac:dyDescent="0.25">
      <c r="B23" s="13"/>
      <c r="C23" s="4" t="s">
        <v>28</v>
      </c>
      <c r="D23" s="9"/>
      <c r="E23" s="9"/>
      <c r="F23" s="9">
        <v>223.99</v>
      </c>
      <c r="G23" s="9">
        <v>233.6</v>
      </c>
      <c r="H23" s="9"/>
      <c r="L23" s="10">
        <f t="shared" si="0"/>
        <v>457.59000000000003</v>
      </c>
    </row>
    <row r="24" spans="2:12" x14ac:dyDescent="0.25">
      <c r="B24" s="13"/>
      <c r="C24" s="4" t="s">
        <v>29</v>
      </c>
      <c r="D24" s="9">
        <v>595879.68000000145</v>
      </c>
      <c r="E24" s="9">
        <v>410769.82999999897</v>
      </c>
      <c r="F24" s="9">
        <v>205761.12000000005</v>
      </c>
      <c r="G24" s="9">
        <v>339861.60999999987</v>
      </c>
      <c r="H24" s="9"/>
      <c r="L24" s="10">
        <f t="shared" si="0"/>
        <v>1552272.2400000005</v>
      </c>
    </row>
    <row r="25" spans="2:12" x14ac:dyDescent="0.25">
      <c r="B25" s="13"/>
      <c r="C25" s="4" t="s">
        <v>43</v>
      </c>
      <c r="D25" s="9">
        <v>9133.3900000000049</v>
      </c>
      <c r="E25" s="9">
        <v>4295.32</v>
      </c>
      <c r="F25" s="9">
        <v>3560.8499999999995</v>
      </c>
      <c r="G25" s="9">
        <v>2702.3399999999997</v>
      </c>
      <c r="H25" s="9"/>
      <c r="L25" s="10">
        <f t="shared" si="0"/>
        <v>19691.900000000005</v>
      </c>
    </row>
    <row r="26" spans="2:12" x14ac:dyDescent="0.25">
      <c r="B26" s="13"/>
      <c r="C26" s="4" t="s">
        <v>30</v>
      </c>
      <c r="D26" s="9">
        <v>20937.699999999993</v>
      </c>
      <c r="E26" s="9">
        <v>15973.740000000007</v>
      </c>
      <c r="F26" s="9">
        <v>11414.770000000004</v>
      </c>
      <c r="G26" s="9">
        <v>13116.299999999994</v>
      </c>
      <c r="H26" s="9"/>
      <c r="L26" s="10">
        <f t="shared" si="0"/>
        <v>61442.51</v>
      </c>
    </row>
    <row r="27" spans="2:12" x14ac:dyDescent="0.25">
      <c r="B27" s="13"/>
      <c r="C27" s="4" t="s">
        <v>31</v>
      </c>
      <c r="D27" s="9">
        <v>18811.819999999992</v>
      </c>
      <c r="E27" s="9">
        <v>16771.450000000008</v>
      </c>
      <c r="F27" s="9">
        <v>19800.71999999999</v>
      </c>
      <c r="G27" s="9">
        <v>13476.68</v>
      </c>
      <c r="H27" s="9"/>
      <c r="L27" s="10">
        <f t="shared" si="0"/>
        <v>68860.669999999984</v>
      </c>
    </row>
    <row r="28" spans="2:12" x14ac:dyDescent="0.25">
      <c r="B28" s="13"/>
      <c r="C28" s="4" t="s">
        <v>68</v>
      </c>
      <c r="D28" s="9">
        <v>13237.170000000002</v>
      </c>
      <c r="E28" s="9">
        <v>19665.230000000003</v>
      </c>
      <c r="F28" s="9">
        <v>12044.240000000002</v>
      </c>
      <c r="G28" s="9">
        <v>6988.9700000000012</v>
      </c>
      <c r="H28" s="9"/>
      <c r="L28" s="10">
        <f t="shared" si="0"/>
        <v>51935.610000000015</v>
      </c>
    </row>
    <row r="29" spans="2:12" x14ac:dyDescent="0.25">
      <c r="B29" s="3" t="s">
        <v>33</v>
      </c>
      <c r="C29" s="6"/>
      <c r="D29" s="11">
        <f>SUM(D4:D28)</f>
        <v>3960004.8700000038</v>
      </c>
      <c r="E29" s="11">
        <f>SUM(E4:E28)</f>
        <v>999410.41999999911</v>
      </c>
      <c r="F29" s="11">
        <f t="shared" ref="F29:K29" si="1">SUM(F4:F28)</f>
        <v>606733.3899999999</v>
      </c>
      <c r="G29" s="11">
        <f t="shared" si="1"/>
        <v>646634.84999999963</v>
      </c>
      <c r="H29" s="11">
        <f t="shared" si="1"/>
        <v>137528.28</v>
      </c>
      <c r="I29" s="11">
        <f t="shared" si="1"/>
        <v>0</v>
      </c>
      <c r="J29" s="11">
        <f t="shared" si="1"/>
        <v>0</v>
      </c>
      <c r="K29" s="11">
        <f t="shared" si="1"/>
        <v>0</v>
      </c>
      <c r="L29" s="10">
        <f>SUM(D29:K29)</f>
        <v>6350311.8100000024</v>
      </c>
    </row>
    <row r="30" spans="2:12" x14ac:dyDescent="0.25">
      <c r="B30" s="13"/>
      <c r="C30" s="4"/>
      <c r="D30" s="9"/>
      <c r="E30" s="9"/>
      <c r="F30" s="9"/>
      <c r="G30" s="9"/>
      <c r="L30" s="10"/>
    </row>
    <row r="31" spans="2:12" x14ac:dyDescent="0.25">
      <c r="B31" s="8" t="s">
        <v>2</v>
      </c>
      <c r="C31" s="30" t="s">
        <v>3</v>
      </c>
      <c r="D31" s="31" t="s">
        <v>8</v>
      </c>
      <c r="E31" s="31" t="s">
        <v>7</v>
      </c>
      <c r="F31" s="31" t="s">
        <v>6</v>
      </c>
      <c r="G31" s="31" t="s">
        <v>5</v>
      </c>
      <c r="H31" s="30" t="s">
        <v>4</v>
      </c>
      <c r="I31" s="30" t="s">
        <v>34</v>
      </c>
      <c r="J31" s="30" t="s">
        <v>35</v>
      </c>
      <c r="K31" s="30" t="s">
        <v>36</v>
      </c>
      <c r="L31" s="30" t="s">
        <v>9</v>
      </c>
    </row>
    <row r="32" spans="2:12" x14ac:dyDescent="0.25">
      <c r="B32" s="13"/>
      <c r="C32" s="7" t="s">
        <v>11</v>
      </c>
      <c r="D32" s="11">
        <v>31</v>
      </c>
      <c r="E32" s="11">
        <v>32</v>
      </c>
      <c r="F32" s="11">
        <v>50</v>
      </c>
      <c r="G32" s="11">
        <v>49</v>
      </c>
      <c r="H32" s="11"/>
      <c r="L32" s="10">
        <f t="shared" si="0"/>
        <v>162</v>
      </c>
    </row>
    <row r="33" spans="2:12" x14ac:dyDescent="0.25">
      <c r="B33" s="13"/>
      <c r="C33" s="4" t="s">
        <v>12</v>
      </c>
      <c r="D33" s="9">
        <v>1</v>
      </c>
      <c r="E33" s="9">
        <v>1</v>
      </c>
      <c r="F33" s="9">
        <v>2</v>
      </c>
      <c r="G33" s="9"/>
      <c r="H33" s="9"/>
      <c r="L33" s="10">
        <f t="shared" si="0"/>
        <v>4</v>
      </c>
    </row>
    <row r="34" spans="2:12" x14ac:dyDescent="0.25">
      <c r="B34" s="13"/>
      <c r="C34" s="4" t="s">
        <v>38</v>
      </c>
      <c r="D34" s="9">
        <v>3</v>
      </c>
      <c r="E34" s="9">
        <v>3</v>
      </c>
      <c r="F34" s="9">
        <v>3</v>
      </c>
      <c r="G34" s="9">
        <v>1</v>
      </c>
      <c r="H34" s="9"/>
      <c r="L34" s="10">
        <f t="shared" si="0"/>
        <v>10</v>
      </c>
    </row>
    <row r="35" spans="2:12" x14ac:dyDescent="0.25">
      <c r="B35" s="13"/>
      <c r="C35" s="4" t="s">
        <v>39</v>
      </c>
      <c r="D35" s="9"/>
      <c r="E35" s="9">
        <v>16</v>
      </c>
      <c r="F35" s="9">
        <v>13</v>
      </c>
      <c r="G35" s="9">
        <v>8</v>
      </c>
      <c r="H35" s="9">
        <v>1</v>
      </c>
      <c r="L35" s="10">
        <f t="shared" si="0"/>
        <v>38</v>
      </c>
    </row>
    <row r="36" spans="2:12" x14ac:dyDescent="0.25">
      <c r="B36" s="13"/>
      <c r="C36" s="4" t="s">
        <v>40</v>
      </c>
      <c r="D36" s="9">
        <v>28</v>
      </c>
      <c r="E36" s="9">
        <v>463</v>
      </c>
      <c r="F36" s="9">
        <v>308</v>
      </c>
      <c r="G36" s="9">
        <v>387</v>
      </c>
      <c r="H36" s="9">
        <v>77</v>
      </c>
      <c r="L36" s="10">
        <f t="shared" si="0"/>
        <v>1263</v>
      </c>
    </row>
    <row r="37" spans="2:12" x14ac:dyDescent="0.25">
      <c r="B37" s="13"/>
      <c r="C37" s="4" t="s">
        <v>13</v>
      </c>
      <c r="D37" s="9">
        <v>345</v>
      </c>
      <c r="E37" s="9">
        <v>44</v>
      </c>
      <c r="F37" s="9"/>
      <c r="G37" s="9"/>
      <c r="H37" s="9"/>
      <c r="L37" s="10">
        <f t="shared" si="0"/>
        <v>389</v>
      </c>
    </row>
    <row r="38" spans="2:12" x14ac:dyDescent="0.25">
      <c r="B38" s="13"/>
      <c r="C38" s="4" t="s">
        <v>41</v>
      </c>
      <c r="D38" s="9">
        <v>220</v>
      </c>
      <c r="E38" s="9">
        <v>162</v>
      </c>
      <c r="F38" s="9">
        <v>102</v>
      </c>
      <c r="G38" s="9">
        <v>113</v>
      </c>
      <c r="H38" s="9">
        <v>24</v>
      </c>
      <c r="L38" s="10">
        <f t="shared" si="0"/>
        <v>621</v>
      </c>
    </row>
    <row r="39" spans="2:12" x14ac:dyDescent="0.25">
      <c r="B39" s="13"/>
      <c r="C39" s="4" t="s">
        <v>14</v>
      </c>
      <c r="D39" s="9">
        <v>15</v>
      </c>
      <c r="E39" s="9">
        <v>7</v>
      </c>
      <c r="F39" s="9">
        <v>9</v>
      </c>
      <c r="G39" s="9">
        <v>4</v>
      </c>
      <c r="H39" s="9"/>
      <c r="L39" s="10">
        <f t="shared" si="0"/>
        <v>35</v>
      </c>
    </row>
    <row r="40" spans="2:12" x14ac:dyDescent="0.25">
      <c r="B40" s="13"/>
      <c r="C40" s="4" t="s">
        <v>15</v>
      </c>
      <c r="D40" s="9">
        <v>711</v>
      </c>
      <c r="E40" s="9">
        <v>143</v>
      </c>
      <c r="F40" s="9">
        <v>928</v>
      </c>
      <c r="G40" s="9">
        <v>26</v>
      </c>
      <c r="H40" s="9"/>
      <c r="L40" s="10">
        <f t="shared" si="0"/>
        <v>1808</v>
      </c>
    </row>
    <row r="41" spans="2:12" x14ac:dyDescent="0.25">
      <c r="B41" s="13"/>
      <c r="C41" s="4" t="s">
        <v>42</v>
      </c>
      <c r="D41" s="9">
        <v>2</v>
      </c>
      <c r="E41" s="9"/>
      <c r="F41" s="9"/>
      <c r="G41" s="9">
        <v>0</v>
      </c>
      <c r="H41" s="9"/>
      <c r="L41" s="10">
        <f t="shared" si="0"/>
        <v>2</v>
      </c>
    </row>
    <row r="42" spans="2:12" x14ac:dyDescent="0.25">
      <c r="B42" s="13"/>
      <c r="C42" s="4" t="s">
        <v>16</v>
      </c>
      <c r="D42" s="9">
        <v>1</v>
      </c>
      <c r="E42" s="9"/>
      <c r="F42" s="9"/>
      <c r="G42" s="9"/>
      <c r="H42" s="9"/>
      <c r="L42" s="10">
        <f t="shared" si="0"/>
        <v>1</v>
      </c>
    </row>
    <row r="43" spans="2:12" x14ac:dyDescent="0.25">
      <c r="B43" s="13"/>
      <c r="C43" s="4" t="s">
        <v>17</v>
      </c>
      <c r="D43" s="9">
        <v>78</v>
      </c>
      <c r="E43" s="9">
        <v>61</v>
      </c>
      <c r="F43" s="9">
        <v>52</v>
      </c>
      <c r="G43" s="9">
        <v>59</v>
      </c>
      <c r="H43" s="9"/>
      <c r="L43" s="10">
        <f t="shared" si="0"/>
        <v>250</v>
      </c>
    </row>
    <row r="44" spans="2:12" x14ac:dyDescent="0.25">
      <c r="B44" s="13"/>
      <c r="C44" s="4" t="s">
        <v>19</v>
      </c>
      <c r="D44" s="9">
        <v>98</v>
      </c>
      <c r="E44" s="9">
        <v>57</v>
      </c>
      <c r="F44" s="9">
        <v>57</v>
      </c>
      <c r="G44" s="9">
        <v>75</v>
      </c>
      <c r="H44" s="9"/>
      <c r="L44" s="10">
        <f t="shared" si="0"/>
        <v>287</v>
      </c>
    </row>
    <row r="45" spans="2:12" x14ac:dyDescent="0.25">
      <c r="B45" s="13"/>
      <c r="C45" s="4" t="s">
        <v>20</v>
      </c>
      <c r="D45" s="9">
        <v>96</v>
      </c>
      <c r="E45" s="9">
        <v>117</v>
      </c>
      <c r="F45" s="9">
        <v>130</v>
      </c>
      <c r="G45" s="9">
        <v>106</v>
      </c>
      <c r="H45" s="9"/>
      <c r="L45" s="10">
        <f t="shared" si="0"/>
        <v>449</v>
      </c>
    </row>
    <row r="46" spans="2:12" x14ac:dyDescent="0.25">
      <c r="B46" s="13"/>
      <c r="C46" s="4" t="s">
        <v>21</v>
      </c>
      <c r="D46" s="9">
        <v>809</v>
      </c>
      <c r="E46" s="9">
        <v>579</v>
      </c>
      <c r="F46" s="9">
        <v>391</v>
      </c>
      <c r="G46" s="9">
        <v>500</v>
      </c>
      <c r="H46" s="9">
        <v>93</v>
      </c>
      <c r="L46" s="10">
        <f t="shared" si="0"/>
        <v>2372</v>
      </c>
    </row>
    <row r="47" spans="2:12" x14ac:dyDescent="0.25">
      <c r="B47" s="13"/>
      <c r="C47" s="4" t="s">
        <v>22</v>
      </c>
      <c r="D47" s="9">
        <v>9381</v>
      </c>
      <c r="E47" s="9">
        <v>674</v>
      </c>
      <c r="F47" s="9">
        <v>55</v>
      </c>
      <c r="G47" s="9">
        <v>162</v>
      </c>
      <c r="H47" s="9">
        <v>315</v>
      </c>
      <c r="L47" s="10">
        <f t="shared" si="0"/>
        <v>10587</v>
      </c>
    </row>
    <row r="48" spans="2:12" x14ac:dyDescent="0.25">
      <c r="B48" s="13"/>
      <c r="C48" s="4" t="s">
        <v>24</v>
      </c>
      <c r="D48" s="9">
        <v>237</v>
      </c>
      <c r="E48" s="9">
        <v>243</v>
      </c>
      <c r="F48" s="9">
        <v>97</v>
      </c>
      <c r="G48" s="9">
        <v>98</v>
      </c>
      <c r="H48" s="9"/>
      <c r="L48" s="10">
        <f t="shared" si="0"/>
        <v>675</v>
      </c>
    </row>
    <row r="49" spans="2:12" x14ac:dyDescent="0.25">
      <c r="B49" s="13"/>
      <c r="C49" s="4" t="s">
        <v>25</v>
      </c>
      <c r="D49" s="9">
        <v>208</v>
      </c>
      <c r="E49" s="9">
        <v>225</v>
      </c>
      <c r="F49" s="9"/>
      <c r="G49" s="9">
        <v>95</v>
      </c>
      <c r="H49" s="9">
        <v>30</v>
      </c>
      <c r="L49" s="10">
        <f t="shared" si="0"/>
        <v>558</v>
      </c>
    </row>
    <row r="50" spans="2:12" x14ac:dyDescent="0.25">
      <c r="B50" s="13"/>
      <c r="C50" s="4" t="s">
        <v>27</v>
      </c>
      <c r="D50" s="9">
        <v>3</v>
      </c>
      <c r="E50" s="9"/>
      <c r="F50" s="9"/>
      <c r="G50" s="9"/>
      <c r="H50" s="9"/>
      <c r="L50" s="10">
        <f t="shared" si="0"/>
        <v>3</v>
      </c>
    </row>
    <row r="51" spans="2:12" x14ac:dyDescent="0.25">
      <c r="B51" s="13"/>
      <c r="C51" s="4" t="s">
        <v>28</v>
      </c>
      <c r="D51" s="9"/>
      <c r="E51" s="9"/>
      <c r="F51" s="9">
        <v>1</v>
      </c>
      <c r="G51" s="9">
        <v>1</v>
      </c>
      <c r="H51" s="9"/>
      <c r="L51" s="10">
        <f t="shared" si="0"/>
        <v>2</v>
      </c>
    </row>
    <row r="52" spans="2:12" x14ac:dyDescent="0.25">
      <c r="B52" s="13"/>
      <c r="C52" s="4" t="s">
        <v>29</v>
      </c>
      <c r="D52" s="9">
        <v>3184</v>
      </c>
      <c r="E52" s="9">
        <v>2784</v>
      </c>
      <c r="F52" s="9">
        <v>1228</v>
      </c>
      <c r="G52" s="9">
        <v>2410</v>
      </c>
      <c r="H52" s="9"/>
      <c r="L52" s="10">
        <f t="shared" si="0"/>
        <v>9606</v>
      </c>
    </row>
    <row r="53" spans="2:12" x14ac:dyDescent="0.25">
      <c r="B53" s="13"/>
      <c r="C53" s="4" t="s">
        <v>43</v>
      </c>
      <c r="D53" s="9">
        <v>82</v>
      </c>
      <c r="E53" s="9">
        <v>36</v>
      </c>
      <c r="F53" s="9">
        <v>32</v>
      </c>
      <c r="G53" s="9">
        <v>23</v>
      </c>
      <c r="H53" s="9"/>
      <c r="L53" s="10">
        <f t="shared" si="0"/>
        <v>173</v>
      </c>
    </row>
    <row r="54" spans="2:12" x14ac:dyDescent="0.25">
      <c r="B54" s="13"/>
      <c r="C54" s="4" t="s">
        <v>30</v>
      </c>
      <c r="D54" s="9">
        <v>115</v>
      </c>
      <c r="E54" s="9">
        <v>87</v>
      </c>
      <c r="F54" s="9">
        <v>60</v>
      </c>
      <c r="G54" s="9">
        <v>72</v>
      </c>
      <c r="H54" s="9"/>
      <c r="L54" s="10">
        <f t="shared" si="0"/>
        <v>334</v>
      </c>
    </row>
    <row r="55" spans="2:12" x14ac:dyDescent="0.25">
      <c r="B55" s="13"/>
      <c r="C55" s="4" t="s">
        <v>31</v>
      </c>
      <c r="D55" s="9">
        <v>1060</v>
      </c>
      <c r="E55" s="9">
        <v>1000</v>
      </c>
      <c r="F55" s="9">
        <v>1000</v>
      </c>
      <c r="G55" s="9">
        <v>1000</v>
      </c>
      <c r="H55" s="9"/>
      <c r="L55" s="10">
        <f t="shared" si="0"/>
        <v>4060</v>
      </c>
    </row>
    <row r="56" spans="2:12" x14ac:dyDescent="0.25">
      <c r="B56" s="13"/>
      <c r="C56" s="4" t="s">
        <v>68</v>
      </c>
      <c r="D56" s="9">
        <v>27</v>
      </c>
      <c r="E56" s="9">
        <v>45</v>
      </c>
      <c r="F56" s="9">
        <v>27</v>
      </c>
      <c r="G56" s="9">
        <v>16</v>
      </c>
      <c r="H56" s="9"/>
      <c r="L56" s="10">
        <f t="shared" si="0"/>
        <v>115</v>
      </c>
    </row>
    <row r="57" spans="2:12" x14ac:dyDescent="0.25">
      <c r="B57" s="8" t="s">
        <v>45</v>
      </c>
      <c r="C57" s="23"/>
      <c r="D57" s="11">
        <f>SUM(D32:D56)</f>
        <v>16735</v>
      </c>
      <c r="E57" s="11">
        <f t="shared" ref="E57:K57" si="2">SUM(E32:E56)</f>
        <v>6779</v>
      </c>
      <c r="F57" s="11">
        <f t="shared" si="2"/>
        <v>4545</v>
      </c>
      <c r="G57" s="11">
        <f t="shared" si="2"/>
        <v>5205</v>
      </c>
      <c r="H57" s="11">
        <f t="shared" si="2"/>
        <v>540</v>
      </c>
      <c r="I57" s="11">
        <f t="shared" si="2"/>
        <v>0</v>
      </c>
      <c r="J57" s="11">
        <f t="shared" si="2"/>
        <v>0</v>
      </c>
      <c r="K57" s="11">
        <f t="shared" si="2"/>
        <v>0</v>
      </c>
      <c r="L57" s="11">
        <f>SUM(D57:K57)</f>
        <v>33804</v>
      </c>
    </row>
  </sheetData>
  <conditionalFormatting sqref="D29:K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K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L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C3B2-7468-4BA3-9108-F316DBC162D1}">
  <sheetPr>
    <pageSetUpPr fitToPage="1"/>
  </sheetPr>
  <dimension ref="B2:X91"/>
  <sheetViews>
    <sheetView topLeftCell="L50" workbookViewId="0">
      <selection activeCell="AC42" sqref="AC42"/>
    </sheetView>
  </sheetViews>
  <sheetFormatPr defaultRowHeight="15" x14ac:dyDescent="0.25"/>
  <cols>
    <col min="2" max="2" width="15.28515625" customWidth="1"/>
    <col min="3" max="3" width="16.28515625" customWidth="1"/>
    <col min="7" max="7" width="12.42578125" customWidth="1"/>
    <col min="12" max="12" width="11.140625" bestFit="1" customWidth="1"/>
    <col min="17" max="17" width="26.28515625" bestFit="1" customWidth="1"/>
    <col min="18" max="18" width="16.28515625" bestFit="1" customWidth="1"/>
    <col min="24" max="24" width="11.140625" bestFit="1" customWidth="1"/>
  </cols>
  <sheetData>
    <row r="2" spans="2:24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24" ht="18.75" x14ac:dyDescent="0.3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7" t="s">
        <v>5</v>
      </c>
      <c r="H3" s="3" t="s">
        <v>4</v>
      </c>
      <c r="I3" s="3" t="s">
        <v>34</v>
      </c>
      <c r="J3" s="3" t="s">
        <v>35</v>
      </c>
      <c r="K3" s="3" t="s">
        <v>36</v>
      </c>
      <c r="L3" s="7" t="s">
        <v>9</v>
      </c>
      <c r="Q3" s="5"/>
      <c r="R3" s="12"/>
      <c r="S3" s="4" t="s">
        <v>55</v>
      </c>
      <c r="T3" s="6"/>
      <c r="U3" s="6"/>
      <c r="V3" s="6"/>
      <c r="W3" s="6"/>
      <c r="X3" s="6"/>
    </row>
    <row r="4" spans="2:24" x14ac:dyDescent="0.25">
      <c r="B4" s="8" t="s">
        <v>54</v>
      </c>
      <c r="C4" s="7" t="s">
        <v>11</v>
      </c>
      <c r="D4" s="9">
        <v>77548.749999999985</v>
      </c>
      <c r="E4" s="9">
        <v>10981.8</v>
      </c>
      <c r="F4" s="9">
        <v>13123.36</v>
      </c>
      <c r="G4" s="9">
        <v>11110.260000000002</v>
      </c>
      <c r="L4" s="10">
        <f>SUM(D4:K4)</f>
        <v>112764.16999999998</v>
      </c>
      <c r="Q4" s="16" t="s">
        <v>2</v>
      </c>
      <c r="R4" s="17" t="s">
        <v>3</v>
      </c>
      <c r="S4" s="18">
        <v>2021</v>
      </c>
      <c r="T4" s="18">
        <v>2022</v>
      </c>
      <c r="U4" s="18">
        <v>2023</v>
      </c>
      <c r="V4" s="18">
        <v>2024</v>
      </c>
      <c r="W4" s="18">
        <v>2025</v>
      </c>
      <c r="X4" s="17" t="s">
        <v>9</v>
      </c>
    </row>
    <row r="5" spans="2:24" x14ac:dyDescent="0.25">
      <c r="B5" s="13"/>
      <c r="C5" s="4" t="s">
        <v>12</v>
      </c>
      <c r="D5" s="9">
        <v>1863.55</v>
      </c>
      <c r="E5" s="9">
        <v>1863.45</v>
      </c>
      <c r="F5" s="9">
        <v>1434.02</v>
      </c>
      <c r="G5" s="9"/>
      <c r="L5" s="10">
        <f t="shared" ref="L5:L50" si="0">SUM(D5:K5)</f>
        <v>5161.0200000000004</v>
      </c>
      <c r="Q5" s="8" t="s">
        <v>54</v>
      </c>
      <c r="R5" s="7" t="s">
        <v>11</v>
      </c>
      <c r="S5" s="9">
        <v>75763.59</v>
      </c>
      <c r="T5" s="9">
        <v>-7580.3699999999972</v>
      </c>
      <c r="U5" s="9">
        <v>12219.619999999999</v>
      </c>
      <c r="V5" s="9">
        <v>235784.59000000005</v>
      </c>
      <c r="W5" s="9">
        <v>112764.16999999994</v>
      </c>
      <c r="X5" s="10">
        <v>428951.6</v>
      </c>
    </row>
    <row r="6" spans="2:24" x14ac:dyDescent="0.25">
      <c r="B6" s="13"/>
      <c r="C6" s="4" t="s">
        <v>38</v>
      </c>
      <c r="D6" s="9">
        <v>238.4</v>
      </c>
      <c r="E6" s="9">
        <v>238.4</v>
      </c>
      <c r="F6" s="9"/>
      <c r="G6" s="9">
        <v>238.39</v>
      </c>
      <c r="L6" s="10">
        <f t="shared" si="0"/>
        <v>715.19</v>
      </c>
      <c r="Q6" s="13"/>
      <c r="R6" s="4" t="s">
        <v>12</v>
      </c>
      <c r="S6" s="9">
        <v>-58916.420000000006</v>
      </c>
      <c r="T6" s="9">
        <v>24221.69</v>
      </c>
      <c r="U6" s="9">
        <v>2581.6000000000004</v>
      </c>
      <c r="V6" s="9">
        <v>1243.31</v>
      </c>
      <c r="W6" s="9">
        <v>5161.0200000000004</v>
      </c>
      <c r="X6" s="10">
        <v>-25708.80000000001</v>
      </c>
    </row>
    <row r="7" spans="2:24" x14ac:dyDescent="0.25">
      <c r="B7" s="13"/>
      <c r="C7" s="4" t="s">
        <v>39</v>
      </c>
      <c r="D7" s="9"/>
      <c r="E7" s="9">
        <v>220</v>
      </c>
      <c r="F7" s="9">
        <v>330</v>
      </c>
      <c r="G7" s="9">
        <v>-110</v>
      </c>
      <c r="L7" s="10">
        <f t="shared" si="0"/>
        <v>440</v>
      </c>
      <c r="Q7" s="13"/>
      <c r="R7" s="4" t="s">
        <v>38</v>
      </c>
      <c r="S7" s="9">
        <v>33281.750000000015</v>
      </c>
      <c r="T7" s="9">
        <v>1520.2599999999998</v>
      </c>
      <c r="U7" s="9">
        <v>12065.36</v>
      </c>
      <c r="V7" s="9">
        <v>5821.2000000000007</v>
      </c>
      <c r="W7" s="9">
        <v>715.18999999999994</v>
      </c>
      <c r="X7" s="10">
        <v>53403.760000000024</v>
      </c>
    </row>
    <row r="8" spans="2:24" x14ac:dyDescent="0.25">
      <c r="B8" s="13"/>
      <c r="C8" s="4" t="s">
        <v>13</v>
      </c>
      <c r="D8" s="9">
        <v>386.96</v>
      </c>
      <c r="E8" s="9">
        <v>774.29</v>
      </c>
      <c r="F8" s="9"/>
      <c r="G8" s="9"/>
      <c r="L8" s="10">
        <f t="shared" si="0"/>
        <v>1161.25</v>
      </c>
      <c r="Q8" s="13"/>
      <c r="R8" s="4" t="s">
        <v>50</v>
      </c>
      <c r="S8" s="9">
        <v>9723.5500000000011</v>
      </c>
      <c r="T8" s="9">
        <v>-1408.7000000000003</v>
      </c>
      <c r="U8" s="9">
        <v>-1553.64</v>
      </c>
      <c r="V8" s="9"/>
      <c r="W8" s="9"/>
      <c r="X8" s="10">
        <v>6761.21</v>
      </c>
    </row>
    <row r="9" spans="2:24" x14ac:dyDescent="0.25">
      <c r="B9" s="13"/>
      <c r="C9" s="4" t="s">
        <v>41</v>
      </c>
      <c r="D9" s="9"/>
      <c r="E9" s="9">
        <v>308.23</v>
      </c>
      <c r="F9" s="9">
        <v>77.099999999999994</v>
      </c>
      <c r="G9" s="9"/>
      <c r="L9" s="10">
        <f t="shared" si="0"/>
        <v>385.33000000000004</v>
      </c>
      <c r="Q9" s="13"/>
      <c r="R9" s="4" t="s">
        <v>39</v>
      </c>
      <c r="S9" s="9"/>
      <c r="T9" s="9"/>
      <c r="U9" s="9"/>
      <c r="V9" s="9"/>
      <c r="W9" s="9">
        <v>440</v>
      </c>
      <c r="X9" s="10">
        <v>440</v>
      </c>
    </row>
    <row r="10" spans="2:24" x14ac:dyDescent="0.25">
      <c r="B10" s="13"/>
      <c r="C10" s="4" t="s">
        <v>14</v>
      </c>
      <c r="D10" s="9">
        <v>4706.54</v>
      </c>
      <c r="E10" s="9">
        <v>4000.71</v>
      </c>
      <c r="F10" s="9">
        <v>3620.09</v>
      </c>
      <c r="G10" s="9">
        <v>3668.88</v>
      </c>
      <c r="L10" s="10">
        <f t="shared" si="0"/>
        <v>15996.220000000001</v>
      </c>
      <c r="Q10" s="13"/>
      <c r="R10" s="4" t="s">
        <v>13</v>
      </c>
      <c r="S10" s="9">
        <v>367334.3499999998</v>
      </c>
      <c r="T10" s="9">
        <v>-9971.3400000000129</v>
      </c>
      <c r="U10" s="9">
        <v>4607.1500000000005</v>
      </c>
      <c r="V10" s="9">
        <v>10472.760000000002</v>
      </c>
      <c r="W10" s="9">
        <v>1161.25</v>
      </c>
      <c r="X10" s="10">
        <v>373604.16999999981</v>
      </c>
    </row>
    <row r="11" spans="2:24" x14ac:dyDescent="0.25">
      <c r="B11" s="13"/>
      <c r="C11" s="4" t="s">
        <v>15</v>
      </c>
      <c r="D11" s="9">
        <v>242.56</v>
      </c>
      <c r="E11" s="9">
        <v>2299.42</v>
      </c>
      <c r="F11" s="9">
        <v>16964.679999999997</v>
      </c>
      <c r="G11" s="9"/>
      <c r="L11" s="10">
        <f t="shared" si="0"/>
        <v>19506.659999999996</v>
      </c>
      <c r="Q11" s="13"/>
      <c r="R11" s="4" t="s">
        <v>41</v>
      </c>
      <c r="S11" s="9">
        <v>34888.910000000011</v>
      </c>
      <c r="T11" s="9">
        <v>89.050000000000466</v>
      </c>
      <c r="U11" s="9">
        <v>3438.68</v>
      </c>
      <c r="V11" s="9">
        <v>2017.3199999999995</v>
      </c>
      <c r="W11" s="9">
        <v>385.33000000000004</v>
      </c>
      <c r="X11" s="10">
        <v>40819.290000000015</v>
      </c>
    </row>
    <row r="12" spans="2:24" x14ac:dyDescent="0.25">
      <c r="B12" s="13"/>
      <c r="C12" s="4" t="s">
        <v>42</v>
      </c>
      <c r="D12" s="9">
        <v>11132.01</v>
      </c>
      <c r="E12" s="9">
        <v>0</v>
      </c>
      <c r="F12" s="9">
        <v>968.02</v>
      </c>
      <c r="G12" s="9">
        <v>484.97</v>
      </c>
      <c r="L12" s="10">
        <f t="shared" si="0"/>
        <v>12585</v>
      </c>
      <c r="Q12" s="13"/>
      <c r="R12" s="4" t="s">
        <v>14</v>
      </c>
      <c r="S12" s="9"/>
      <c r="T12" s="9"/>
      <c r="U12" s="9">
        <v>5638.76</v>
      </c>
      <c r="V12" s="9">
        <v>28677.69000000001</v>
      </c>
      <c r="W12" s="9">
        <v>15996.219999999996</v>
      </c>
      <c r="X12" s="10">
        <v>50312.670000000006</v>
      </c>
    </row>
    <row r="13" spans="2:24" x14ac:dyDescent="0.25">
      <c r="B13" s="13"/>
      <c r="C13" s="4" t="s">
        <v>16</v>
      </c>
      <c r="D13" s="9"/>
      <c r="E13" s="9">
        <v>144.77000000000001</v>
      </c>
      <c r="F13" s="9">
        <v>144.94999999999999</v>
      </c>
      <c r="G13" s="9"/>
      <c r="L13" s="10">
        <f t="shared" si="0"/>
        <v>289.72000000000003</v>
      </c>
      <c r="Q13" s="13"/>
      <c r="R13" s="4" t="s">
        <v>56</v>
      </c>
      <c r="S13" s="9">
        <v>1570624.6300000018</v>
      </c>
      <c r="T13" s="9">
        <v>6557.5499999999884</v>
      </c>
      <c r="U13" s="9">
        <v>-26400</v>
      </c>
      <c r="V13" s="9"/>
      <c r="W13" s="9"/>
      <c r="X13" s="10">
        <v>1550782.1800000018</v>
      </c>
    </row>
    <row r="14" spans="2:24" x14ac:dyDescent="0.25">
      <c r="B14" s="13"/>
      <c r="C14" s="4" t="s">
        <v>17</v>
      </c>
      <c r="D14" s="9">
        <v>1853.9099999999999</v>
      </c>
      <c r="E14" s="9">
        <v>1030.8600000000001</v>
      </c>
      <c r="F14" s="9">
        <v>4946.7</v>
      </c>
      <c r="G14" s="9">
        <v>1313.0800000000002</v>
      </c>
      <c r="L14" s="10">
        <f t="shared" si="0"/>
        <v>9144.5499999999993</v>
      </c>
      <c r="Q14" s="13"/>
      <c r="R14" s="4" t="s">
        <v>57</v>
      </c>
      <c r="S14" s="9"/>
      <c r="T14" s="9">
        <v>7000</v>
      </c>
      <c r="U14" s="9"/>
      <c r="V14" s="9">
        <v>9.9999999999909051E-3</v>
      </c>
      <c r="W14" s="9"/>
      <c r="X14" s="10">
        <v>7000.01</v>
      </c>
    </row>
    <row r="15" spans="2:24" x14ac:dyDescent="0.25">
      <c r="B15" s="13"/>
      <c r="C15" s="4" t="s">
        <v>19</v>
      </c>
      <c r="D15" s="9">
        <v>1029.8000000000002</v>
      </c>
      <c r="E15" s="9">
        <v>1235.6400000000001</v>
      </c>
      <c r="F15" s="9">
        <v>5423.1900000000005</v>
      </c>
      <c r="G15" s="9">
        <v>618</v>
      </c>
      <c r="L15" s="10">
        <f t="shared" si="0"/>
        <v>8306.630000000001</v>
      </c>
      <c r="Q15" s="13"/>
      <c r="R15" s="4" t="s">
        <v>15</v>
      </c>
      <c r="S15" s="9">
        <v>5556124.9700000007</v>
      </c>
      <c r="T15" s="9">
        <v>64072.37000000001</v>
      </c>
      <c r="U15" s="9">
        <v>-14057.24</v>
      </c>
      <c r="V15" s="9">
        <v>12911.31</v>
      </c>
      <c r="W15" s="9">
        <v>19506.66</v>
      </c>
      <c r="X15" s="10">
        <v>5638558.0700000003</v>
      </c>
    </row>
    <row r="16" spans="2:24" x14ac:dyDescent="0.25">
      <c r="B16" s="13"/>
      <c r="C16" s="4" t="s">
        <v>20</v>
      </c>
      <c r="D16" s="9">
        <v>7411.6</v>
      </c>
      <c r="E16" s="9">
        <v>5559.9099999999989</v>
      </c>
      <c r="F16" s="9">
        <v>10667.989999999998</v>
      </c>
      <c r="G16" s="9">
        <v>5893.23</v>
      </c>
      <c r="L16" s="10">
        <f t="shared" si="0"/>
        <v>29532.729999999996</v>
      </c>
      <c r="Q16" s="13"/>
      <c r="R16" s="4" t="s">
        <v>42</v>
      </c>
      <c r="S16" s="9"/>
      <c r="T16" s="9"/>
      <c r="U16" s="9"/>
      <c r="V16" s="9">
        <v>86636.82</v>
      </c>
      <c r="W16" s="9">
        <v>12585</v>
      </c>
      <c r="X16" s="10">
        <v>99221.82</v>
      </c>
    </row>
    <row r="17" spans="2:24" x14ac:dyDescent="0.25">
      <c r="B17" s="13"/>
      <c r="C17" s="4" t="s">
        <v>21</v>
      </c>
      <c r="D17" s="9">
        <v>300.44</v>
      </c>
      <c r="E17" s="9">
        <v>1502.2</v>
      </c>
      <c r="F17" s="9">
        <v>300.58</v>
      </c>
      <c r="G17" s="9">
        <v>619.79999999999995</v>
      </c>
      <c r="L17" s="10">
        <f t="shared" si="0"/>
        <v>2723.0200000000004</v>
      </c>
      <c r="Q17" s="13"/>
      <c r="R17" s="4" t="s">
        <v>16</v>
      </c>
      <c r="S17" s="9">
        <v>1245.95</v>
      </c>
      <c r="T17" s="9">
        <v>2733.0099999999998</v>
      </c>
      <c r="U17" s="9">
        <v>113.38000000000001</v>
      </c>
      <c r="V17" s="9">
        <v>1677.8</v>
      </c>
      <c r="W17" s="9">
        <v>289.72000000000003</v>
      </c>
      <c r="X17" s="10">
        <v>6059.8600000000006</v>
      </c>
    </row>
    <row r="18" spans="2:24" x14ac:dyDescent="0.25">
      <c r="B18" s="13"/>
      <c r="C18" s="4" t="s">
        <v>22</v>
      </c>
      <c r="D18" s="9">
        <v>24065.57</v>
      </c>
      <c r="E18" s="9">
        <v>3299.99</v>
      </c>
      <c r="F18" s="9">
        <v>33000</v>
      </c>
      <c r="G18" s="9"/>
      <c r="L18" s="10">
        <f t="shared" si="0"/>
        <v>60365.56</v>
      </c>
      <c r="Q18" s="13"/>
      <c r="R18" s="4" t="s">
        <v>58</v>
      </c>
      <c r="S18" s="9">
        <v>-1675.4900000000002</v>
      </c>
      <c r="T18" s="9">
        <v>-1023.99</v>
      </c>
      <c r="U18" s="9">
        <v>210.96</v>
      </c>
      <c r="V18" s="9"/>
      <c r="W18" s="9"/>
      <c r="X18" s="10">
        <v>-2488.5200000000004</v>
      </c>
    </row>
    <row r="19" spans="2:24" x14ac:dyDescent="0.25">
      <c r="B19" s="13"/>
      <c r="C19" s="4" t="s">
        <v>23</v>
      </c>
      <c r="D19" s="9">
        <v>51820.150000000016</v>
      </c>
      <c r="E19" s="9">
        <v>8820.93</v>
      </c>
      <c r="F19" s="9">
        <v>-558.40999999999985</v>
      </c>
      <c r="G19" s="9"/>
      <c r="L19" s="10">
        <f t="shared" si="0"/>
        <v>60082.670000000013</v>
      </c>
      <c r="Q19" s="13"/>
      <c r="R19" s="4" t="s">
        <v>17</v>
      </c>
      <c r="S19" s="9">
        <v>37927.860000000008</v>
      </c>
      <c r="T19" s="9">
        <v>73889.189999999973</v>
      </c>
      <c r="U19" s="9">
        <v>54192.33</v>
      </c>
      <c r="V19" s="9">
        <v>29217.63</v>
      </c>
      <c r="W19" s="9">
        <v>9144.5500000000029</v>
      </c>
      <c r="X19" s="10">
        <v>204371.56</v>
      </c>
    </row>
    <row r="20" spans="2:24" x14ac:dyDescent="0.25">
      <c r="B20" s="13"/>
      <c r="C20" s="4" t="s">
        <v>24</v>
      </c>
      <c r="D20" s="9">
        <v>19801.16</v>
      </c>
      <c r="E20" s="9">
        <v>13531.43</v>
      </c>
      <c r="F20" s="9">
        <v>17838.169999999998</v>
      </c>
      <c r="G20" s="9">
        <v>5038.0600000000004</v>
      </c>
      <c r="L20" s="10">
        <f t="shared" si="0"/>
        <v>56208.819999999992</v>
      </c>
      <c r="Q20" s="13"/>
      <c r="R20" s="4" t="s">
        <v>19</v>
      </c>
      <c r="S20" s="9">
        <v>45860.37000000001</v>
      </c>
      <c r="T20" s="9">
        <v>57539.51</v>
      </c>
      <c r="U20" s="9">
        <v>39904.579999999994</v>
      </c>
      <c r="V20" s="9">
        <v>19046.929999999997</v>
      </c>
      <c r="W20" s="9">
        <v>8306.630000000001</v>
      </c>
      <c r="X20" s="10">
        <v>170658.02</v>
      </c>
    </row>
    <row r="21" spans="2:24" x14ac:dyDescent="0.25">
      <c r="B21" s="13"/>
      <c r="C21" s="4" t="s">
        <v>25</v>
      </c>
      <c r="D21" s="9">
        <v>1376.2</v>
      </c>
      <c r="E21" s="9">
        <v>196.61</v>
      </c>
      <c r="F21" s="9"/>
      <c r="G21" s="9"/>
      <c r="L21" s="10">
        <f t="shared" si="0"/>
        <v>1572.81</v>
      </c>
      <c r="Q21" s="13"/>
      <c r="R21" s="4" t="s">
        <v>20</v>
      </c>
      <c r="S21" s="9">
        <v>170353.68000000005</v>
      </c>
      <c r="T21" s="9">
        <v>22838.800000000032</v>
      </c>
      <c r="U21" s="9">
        <v>44315.80999999999</v>
      </c>
      <c r="V21" s="9">
        <v>56738.59</v>
      </c>
      <c r="W21" s="9">
        <v>29532.730000000003</v>
      </c>
      <c r="X21" s="10">
        <v>323779.6100000001</v>
      </c>
    </row>
    <row r="22" spans="2:24" x14ac:dyDescent="0.25">
      <c r="B22" s="13"/>
      <c r="C22" s="4" t="s">
        <v>28</v>
      </c>
      <c r="D22" s="9">
        <v>2655.36</v>
      </c>
      <c r="E22" s="9">
        <v>1770.32</v>
      </c>
      <c r="F22" s="9">
        <v>223.54</v>
      </c>
      <c r="G22" s="9"/>
      <c r="L22" s="10">
        <f t="shared" si="0"/>
        <v>4649.22</v>
      </c>
      <c r="Q22" s="13"/>
      <c r="R22" s="4" t="s">
        <v>21</v>
      </c>
      <c r="S22" s="9">
        <v>29519.24</v>
      </c>
      <c r="T22" s="9">
        <v>8962.0799999999981</v>
      </c>
      <c r="U22" s="9">
        <v>10218.36</v>
      </c>
      <c r="V22" s="9">
        <v>20474.38</v>
      </c>
      <c r="W22" s="9">
        <v>2723.02</v>
      </c>
      <c r="X22" s="10">
        <v>71897.08</v>
      </c>
    </row>
    <row r="23" spans="2:24" x14ac:dyDescent="0.25">
      <c r="B23" s="13"/>
      <c r="C23" s="4" t="s">
        <v>29</v>
      </c>
      <c r="D23" s="9">
        <v>65588.140000000014</v>
      </c>
      <c r="E23" s="9">
        <v>20571.879999999997</v>
      </c>
      <c r="F23" s="9">
        <v>18845.5</v>
      </c>
      <c r="G23" s="9">
        <v>16781.879999999997</v>
      </c>
      <c r="L23" s="10">
        <f t="shared" si="0"/>
        <v>121787.40000000002</v>
      </c>
      <c r="Q23" s="13"/>
      <c r="R23" s="4" t="s">
        <v>22</v>
      </c>
      <c r="S23" s="9">
        <v>-692252.53000000026</v>
      </c>
      <c r="T23" s="9">
        <v>-101196.9</v>
      </c>
      <c r="U23" s="9">
        <v>2703.0499999999993</v>
      </c>
      <c r="V23" s="9">
        <v>50043.630000000019</v>
      </c>
      <c r="W23" s="9">
        <v>60365.56</v>
      </c>
      <c r="X23" s="10">
        <v>-680337.19000000018</v>
      </c>
    </row>
    <row r="24" spans="2:24" x14ac:dyDescent="0.25">
      <c r="B24" s="13"/>
      <c r="C24" s="4" t="s">
        <v>43</v>
      </c>
      <c r="D24" s="9">
        <v>376.02</v>
      </c>
      <c r="E24" s="9">
        <v>501.07999999999993</v>
      </c>
      <c r="F24" s="9">
        <v>5010.2999999999993</v>
      </c>
      <c r="G24" s="9"/>
      <c r="L24" s="10">
        <f t="shared" si="0"/>
        <v>5887.4</v>
      </c>
      <c r="Q24" s="13"/>
      <c r="R24" s="4" t="s">
        <v>23</v>
      </c>
      <c r="S24" s="9">
        <v>140261.25</v>
      </c>
      <c r="T24" s="9">
        <v>-17800.580000000013</v>
      </c>
      <c r="U24" s="9">
        <v>16722.250000000004</v>
      </c>
      <c r="V24" s="9">
        <v>78334.939999999988</v>
      </c>
      <c r="W24" s="9">
        <v>60082.67000000002</v>
      </c>
      <c r="X24" s="10">
        <v>277600.53000000003</v>
      </c>
    </row>
    <row r="25" spans="2:24" x14ac:dyDescent="0.25">
      <c r="B25" s="13"/>
      <c r="C25" s="4" t="s">
        <v>30</v>
      </c>
      <c r="D25" s="9"/>
      <c r="E25" s="9">
        <v>1232.92</v>
      </c>
      <c r="F25" s="9">
        <v>421.88</v>
      </c>
      <c r="G25" s="9">
        <v>217.7</v>
      </c>
      <c r="L25" s="10">
        <f t="shared" si="0"/>
        <v>1872.5000000000002</v>
      </c>
      <c r="Q25" s="13"/>
      <c r="R25" s="4" t="s">
        <v>24</v>
      </c>
      <c r="S25" s="9">
        <v>137492.02000000005</v>
      </c>
      <c r="T25" s="9">
        <v>43990.970000000008</v>
      </c>
      <c r="U25" s="9">
        <v>24546.070000000003</v>
      </c>
      <c r="V25" s="9">
        <v>140194.05000000002</v>
      </c>
      <c r="W25" s="9">
        <v>56208.819999999992</v>
      </c>
      <c r="X25" s="10">
        <v>402431.93000000011</v>
      </c>
    </row>
    <row r="26" spans="2:24" x14ac:dyDescent="0.25">
      <c r="B26" s="3" t="s">
        <v>33</v>
      </c>
      <c r="C26" s="6"/>
      <c r="D26" s="11">
        <f t="shared" ref="D26:K26" si="1">SUM(D4:D25)</f>
        <v>272397.12000000005</v>
      </c>
      <c r="E26" s="11">
        <f t="shared" si="1"/>
        <v>80084.84</v>
      </c>
      <c r="F26" s="11">
        <f t="shared" si="1"/>
        <v>132781.65999999997</v>
      </c>
      <c r="G26" s="11">
        <f t="shared" si="1"/>
        <v>45874.25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531137.87000000011</v>
      </c>
      <c r="Q26" s="13"/>
      <c r="R26" s="4" t="s">
        <v>25</v>
      </c>
      <c r="S26" s="9">
        <v>163361.37999999995</v>
      </c>
      <c r="T26" s="9">
        <v>-4131.9499999999953</v>
      </c>
      <c r="U26" s="9">
        <v>8046.4399999999978</v>
      </c>
      <c r="V26" s="9">
        <v>8553.1299999999992</v>
      </c>
      <c r="W26" s="9">
        <v>1572.81</v>
      </c>
      <c r="X26" s="10">
        <v>177401.80999999997</v>
      </c>
    </row>
    <row r="27" spans="2:24" x14ac:dyDescent="0.25">
      <c r="B27" s="13"/>
      <c r="C27" s="4"/>
      <c r="D27" s="9"/>
      <c r="E27" s="9"/>
      <c r="F27" s="9"/>
      <c r="G27" s="9"/>
      <c r="L27" s="10"/>
      <c r="Q27" s="13"/>
      <c r="R27" s="4" t="s">
        <v>26</v>
      </c>
      <c r="S27" s="9"/>
      <c r="T27" s="9">
        <v>5063.63</v>
      </c>
      <c r="U27" s="9"/>
      <c r="V27" s="9"/>
      <c r="W27" s="9"/>
      <c r="X27" s="10">
        <v>5063.63</v>
      </c>
    </row>
    <row r="28" spans="2:24" x14ac:dyDescent="0.25">
      <c r="B28" s="8" t="s">
        <v>2</v>
      </c>
      <c r="C28" s="7" t="s">
        <v>3</v>
      </c>
      <c r="D28" s="8" t="s">
        <v>8</v>
      </c>
      <c r="E28" s="8" t="s">
        <v>7</v>
      </c>
      <c r="F28" s="8" t="s">
        <v>6</v>
      </c>
      <c r="G28" s="8" t="s">
        <v>5</v>
      </c>
      <c r="H28" s="7" t="s">
        <v>4</v>
      </c>
      <c r="I28" s="7" t="s">
        <v>34</v>
      </c>
      <c r="J28" s="7" t="s">
        <v>35</v>
      </c>
      <c r="K28" s="7" t="s">
        <v>36</v>
      </c>
      <c r="L28" s="7" t="s">
        <v>9</v>
      </c>
      <c r="Q28" s="13"/>
      <c r="R28" s="4" t="s">
        <v>27</v>
      </c>
      <c r="S28" s="9"/>
      <c r="T28" s="9">
        <v>4382.63</v>
      </c>
      <c r="U28" s="9">
        <v>111.78</v>
      </c>
      <c r="V28" s="9">
        <v>54.67</v>
      </c>
      <c r="W28" s="9"/>
      <c r="X28" s="10">
        <v>4549.08</v>
      </c>
    </row>
    <row r="29" spans="2:24" x14ac:dyDescent="0.25">
      <c r="B29" s="13"/>
      <c r="C29" s="7" t="s">
        <v>11</v>
      </c>
      <c r="D29" s="11">
        <v>113</v>
      </c>
      <c r="E29" s="11">
        <v>16</v>
      </c>
      <c r="F29" s="11">
        <v>19</v>
      </c>
      <c r="G29" s="11">
        <v>16</v>
      </c>
      <c r="L29" s="10">
        <f t="shared" si="0"/>
        <v>164</v>
      </c>
      <c r="Q29" s="13"/>
      <c r="R29" s="4" t="s">
        <v>28</v>
      </c>
      <c r="S29" s="9"/>
      <c r="T29" s="9">
        <v>161.16999999999999</v>
      </c>
      <c r="U29" s="9">
        <v>404.98</v>
      </c>
      <c r="V29" s="9">
        <v>11901.170000000002</v>
      </c>
      <c r="W29" s="9">
        <v>4649.2200000000012</v>
      </c>
      <c r="X29" s="10">
        <v>17116.54</v>
      </c>
    </row>
    <row r="30" spans="2:24" x14ac:dyDescent="0.25">
      <c r="B30" s="13"/>
      <c r="C30" s="4" t="s">
        <v>12</v>
      </c>
      <c r="D30" s="9">
        <v>5</v>
      </c>
      <c r="E30" s="9">
        <v>5</v>
      </c>
      <c r="F30" s="9">
        <v>4</v>
      </c>
      <c r="G30" s="9"/>
      <c r="L30" s="10">
        <f t="shared" si="0"/>
        <v>14</v>
      </c>
      <c r="Q30" s="13"/>
      <c r="R30" s="4" t="s">
        <v>29</v>
      </c>
      <c r="S30" s="9">
        <v>16152.789999999992</v>
      </c>
      <c r="T30" s="9">
        <v>-3640.1399999999994</v>
      </c>
      <c r="U30" s="9">
        <v>46011.070000000014</v>
      </c>
      <c r="V30" s="9">
        <v>194430.10000000041</v>
      </c>
      <c r="W30" s="9">
        <v>121787.40000000005</v>
      </c>
      <c r="X30" s="10">
        <v>374741.22000000044</v>
      </c>
    </row>
    <row r="31" spans="2:24" x14ac:dyDescent="0.25">
      <c r="B31" s="13"/>
      <c r="C31" s="4" t="s">
        <v>38</v>
      </c>
      <c r="D31" s="9">
        <v>1</v>
      </c>
      <c r="E31" s="9">
        <v>1</v>
      </c>
      <c r="F31" s="9"/>
      <c r="G31" s="9">
        <v>1</v>
      </c>
      <c r="L31" s="10">
        <f t="shared" si="0"/>
        <v>3</v>
      </c>
      <c r="Q31" s="13"/>
      <c r="R31" s="4" t="s">
        <v>43</v>
      </c>
      <c r="S31" s="9">
        <v>440.7</v>
      </c>
      <c r="T31" s="9">
        <v>177.78</v>
      </c>
      <c r="U31" s="9">
        <v>2277.6400000000003</v>
      </c>
      <c r="V31" s="9">
        <v>1812.68</v>
      </c>
      <c r="W31" s="9">
        <v>5887.4</v>
      </c>
      <c r="X31" s="10">
        <v>10596.2</v>
      </c>
    </row>
    <row r="32" spans="2:24" x14ac:dyDescent="0.25">
      <c r="B32" s="13"/>
      <c r="C32" s="4" t="s">
        <v>39</v>
      </c>
      <c r="D32" s="9"/>
      <c r="E32" s="9">
        <v>2</v>
      </c>
      <c r="F32" s="9">
        <v>3</v>
      </c>
      <c r="G32" s="9">
        <v>-1</v>
      </c>
      <c r="L32" s="10">
        <f t="shared" si="0"/>
        <v>4</v>
      </c>
      <c r="Q32" s="13"/>
      <c r="R32" s="4" t="s">
        <v>30</v>
      </c>
      <c r="S32" s="9">
        <v>-10553.400000000001</v>
      </c>
      <c r="T32" s="9">
        <v>46358.06</v>
      </c>
      <c r="U32" s="9">
        <v>741.47</v>
      </c>
      <c r="V32" s="9">
        <v>17301.029999999995</v>
      </c>
      <c r="W32" s="9">
        <v>1872.4999999999998</v>
      </c>
      <c r="X32" s="10">
        <v>55719.659999999989</v>
      </c>
    </row>
    <row r="33" spans="2:24" x14ac:dyDescent="0.25">
      <c r="B33" s="13"/>
      <c r="C33" s="4" t="s">
        <v>13</v>
      </c>
      <c r="D33" s="9">
        <v>2</v>
      </c>
      <c r="E33" s="9">
        <v>4</v>
      </c>
      <c r="F33" s="9"/>
      <c r="G33" s="9"/>
      <c r="L33" s="10">
        <f t="shared" si="0"/>
        <v>6</v>
      </c>
      <c r="Q33" s="13"/>
      <c r="R33" s="4" t="s">
        <v>31</v>
      </c>
      <c r="S33" s="9">
        <v>1828.8199999999997</v>
      </c>
      <c r="T33" s="9">
        <v>6062.7200000000012</v>
      </c>
      <c r="U33" s="9">
        <v>116.06</v>
      </c>
      <c r="V33" s="9">
        <v>159.12</v>
      </c>
      <c r="W33" s="9"/>
      <c r="X33" s="10">
        <v>8166.7200000000012</v>
      </c>
    </row>
    <row r="34" spans="2:24" x14ac:dyDescent="0.25">
      <c r="B34" s="13"/>
      <c r="C34" s="4" t="s">
        <v>41</v>
      </c>
      <c r="D34" s="9"/>
      <c r="E34" s="9">
        <v>4</v>
      </c>
      <c r="F34" s="9">
        <v>1</v>
      </c>
      <c r="G34" s="9"/>
      <c r="L34" s="10">
        <f t="shared" si="0"/>
        <v>5</v>
      </c>
      <c r="Q34" s="3" t="s">
        <v>44</v>
      </c>
      <c r="R34" s="6"/>
      <c r="S34" s="11">
        <v>7628787.9700000025</v>
      </c>
      <c r="T34" s="11">
        <v>228866.5</v>
      </c>
      <c r="U34" s="11">
        <v>249176.52000000005</v>
      </c>
      <c r="V34" s="11">
        <v>1013504.8600000007</v>
      </c>
      <c r="W34" s="11">
        <v>531137.87</v>
      </c>
      <c r="X34" s="20">
        <v>9651473.7200000025</v>
      </c>
    </row>
    <row r="35" spans="2:24" x14ac:dyDescent="0.25">
      <c r="B35" s="13"/>
      <c r="C35" s="4" t="s">
        <v>14</v>
      </c>
      <c r="D35" s="9">
        <v>20</v>
      </c>
      <c r="E35" s="9">
        <v>17</v>
      </c>
      <c r="F35" s="9">
        <v>15</v>
      </c>
      <c r="G35" s="9">
        <v>15</v>
      </c>
      <c r="L35" s="10">
        <f t="shared" si="0"/>
        <v>67</v>
      </c>
      <c r="Q35" s="13"/>
      <c r="R35" s="4" t="s">
        <v>12</v>
      </c>
      <c r="S35" s="9">
        <v>-274</v>
      </c>
      <c r="T35" s="9">
        <v>92</v>
      </c>
      <c r="U35" s="9">
        <v>8</v>
      </c>
      <c r="V35" s="9">
        <v>7</v>
      </c>
      <c r="W35" s="9">
        <v>14</v>
      </c>
      <c r="X35" s="10">
        <v>-153</v>
      </c>
    </row>
    <row r="36" spans="2:24" x14ac:dyDescent="0.25">
      <c r="B36" s="13"/>
      <c r="C36" s="4" t="s">
        <v>15</v>
      </c>
      <c r="D36" s="9">
        <v>1</v>
      </c>
      <c r="E36" s="9">
        <v>10</v>
      </c>
      <c r="F36" s="9">
        <v>73</v>
      </c>
      <c r="G36" s="9"/>
      <c r="L36" s="10">
        <f t="shared" si="0"/>
        <v>84</v>
      </c>
      <c r="Q36" s="13"/>
      <c r="R36" s="4" t="s">
        <v>38</v>
      </c>
      <c r="S36" s="9">
        <v>292</v>
      </c>
      <c r="T36" s="9">
        <v>5</v>
      </c>
      <c r="U36" s="9">
        <v>51</v>
      </c>
      <c r="V36" s="9">
        <v>26</v>
      </c>
      <c r="W36" s="9">
        <v>3</v>
      </c>
      <c r="X36" s="10">
        <v>377</v>
      </c>
    </row>
    <row r="37" spans="2:24" x14ac:dyDescent="0.25">
      <c r="B37" s="13"/>
      <c r="C37" s="4" t="s">
        <v>42</v>
      </c>
      <c r="D37" s="9">
        <v>23</v>
      </c>
      <c r="E37" s="9">
        <v>0</v>
      </c>
      <c r="F37" s="9">
        <v>2</v>
      </c>
      <c r="G37" s="9">
        <v>1</v>
      </c>
      <c r="L37" s="10">
        <f t="shared" si="0"/>
        <v>26</v>
      </c>
      <c r="Q37" s="13"/>
      <c r="R37" s="4" t="s">
        <v>50</v>
      </c>
      <c r="S37" s="9">
        <v>93</v>
      </c>
      <c r="T37" s="9">
        <v>-11</v>
      </c>
      <c r="U37" s="9">
        <v>-12</v>
      </c>
      <c r="V37" s="9"/>
      <c r="W37" s="9"/>
      <c r="X37" s="10">
        <v>70</v>
      </c>
    </row>
    <row r="38" spans="2:24" x14ac:dyDescent="0.25">
      <c r="B38" s="13"/>
      <c r="C38" s="4" t="s">
        <v>16</v>
      </c>
      <c r="D38" s="9"/>
      <c r="E38" s="9">
        <v>1</v>
      </c>
      <c r="F38" s="9">
        <v>1</v>
      </c>
      <c r="G38" s="9"/>
      <c r="L38" s="10">
        <f t="shared" si="0"/>
        <v>2</v>
      </c>
      <c r="Q38" s="13"/>
      <c r="R38" s="4" t="s">
        <v>39</v>
      </c>
      <c r="S38" s="9"/>
      <c r="T38" s="9"/>
      <c r="U38" s="9"/>
      <c r="V38" s="9"/>
      <c r="W38" s="9">
        <v>4</v>
      </c>
      <c r="X38" s="10">
        <v>4</v>
      </c>
    </row>
    <row r="39" spans="2:24" x14ac:dyDescent="0.25">
      <c r="B39" s="13"/>
      <c r="C39" s="4" t="s">
        <v>17</v>
      </c>
      <c r="D39" s="9">
        <v>9</v>
      </c>
      <c r="E39" s="9">
        <v>5</v>
      </c>
      <c r="F39" s="9">
        <v>24</v>
      </c>
      <c r="G39" s="9">
        <v>6</v>
      </c>
      <c r="L39" s="10">
        <f t="shared" si="0"/>
        <v>44</v>
      </c>
      <c r="Q39" s="13"/>
      <c r="R39" s="4" t="s">
        <v>13</v>
      </c>
      <c r="S39" s="9">
        <v>3565</v>
      </c>
      <c r="T39" s="9">
        <v>11.000000000000011</v>
      </c>
      <c r="U39" s="9">
        <v>11</v>
      </c>
      <c r="V39" s="9">
        <v>64</v>
      </c>
      <c r="W39" s="9">
        <v>6</v>
      </c>
      <c r="X39" s="10">
        <v>3657</v>
      </c>
    </row>
    <row r="40" spans="2:24" x14ac:dyDescent="0.25">
      <c r="B40" s="13"/>
      <c r="C40" s="4" t="s">
        <v>19</v>
      </c>
      <c r="D40" s="9">
        <v>5</v>
      </c>
      <c r="E40" s="9">
        <v>6</v>
      </c>
      <c r="F40" s="9">
        <v>26</v>
      </c>
      <c r="G40" s="9">
        <v>3</v>
      </c>
      <c r="L40" s="10">
        <f t="shared" si="0"/>
        <v>40</v>
      </c>
      <c r="Q40" s="13"/>
      <c r="R40" s="4" t="s">
        <v>41</v>
      </c>
      <c r="S40" s="9">
        <v>824</v>
      </c>
      <c r="T40" s="9">
        <v>0</v>
      </c>
      <c r="U40" s="9">
        <v>54</v>
      </c>
      <c r="V40" s="9">
        <v>37</v>
      </c>
      <c r="W40" s="9">
        <v>5</v>
      </c>
      <c r="X40" s="10">
        <v>920</v>
      </c>
    </row>
    <row r="41" spans="2:24" x14ac:dyDescent="0.25">
      <c r="B41" s="13"/>
      <c r="C41" s="4" t="s">
        <v>20</v>
      </c>
      <c r="D41" s="9">
        <v>36</v>
      </c>
      <c r="E41" s="9">
        <v>27</v>
      </c>
      <c r="F41" s="9">
        <v>51</v>
      </c>
      <c r="G41" s="9">
        <v>28</v>
      </c>
      <c r="L41" s="10">
        <f t="shared" si="0"/>
        <v>142</v>
      </c>
      <c r="Q41" s="13"/>
      <c r="R41" s="4" t="s">
        <v>14</v>
      </c>
      <c r="S41" s="9"/>
      <c r="T41" s="9"/>
      <c r="U41" s="9">
        <v>29</v>
      </c>
      <c r="V41" s="9">
        <v>134</v>
      </c>
      <c r="W41" s="9">
        <v>67</v>
      </c>
      <c r="X41" s="10">
        <v>230</v>
      </c>
    </row>
    <row r="42" spans="2:24" x14ac:dyDescent="0.25">
      <c r="B42" s="13"/>
      <c r="C42" s="4" t="s">
        <v>21</v>
      </c>
      <c r="D42" s="9">
        <v>1</v>
      </c>
      <c r="E42" s="9">
        <v>5</v>
      </c>
      <c r="F42" s="9">
        <v>1</v>
      </c>
      <c r="G42" s="9">
        <v>2</v>
      </c>
      <c r="L42" s="10">
        <f t="shared" si="0"/>
        <v>9</v>
      </c>
      <c r="Q42" s="13"/>
      <c r="R42" s="4" t="s">
        <v>56</v>
      </c>
      <c r="S42" s="9">
        <v>5873</v>
      </c>
      <c r="T42" s="9">
        <v>21</v>
      </c>
      <c r="U42" s="9">
        <v>-88</v>
      </c>
      <c r="V42" s="9"/>
      <c r="W42" s="9"/>
      <c r="X42" s="10">
        <v>5806</v>
      </c>
    </row>
    <row r="43" spans="2:24" x14ac:dyDescent="0.25">
      <c r="B43" s="13"/>
      <c r="C43" s="4" t="s">
        <v>22</v>
      </c>
      <c r="D43" s="9">
        <v>73</v>
      </c>
      <c r="E43" s="9">
        <v>10</v>
      </c>
      <c r="F43" s="9">
        <v>100</v>
      </c>
      <c r="G43" s="9"/>
      <c r="L43" s="10">
        <f t="shared" si="0"/>
        <v>183</v>
      </c>
      <c r="Q43" s="13"/>
      <c r="R43" s="4" t="s">
        <v>57</v>
      </c>
      <c r="S43" s="9"/>
      <c r="T43" s="9">
        <v>20</v>
      </c>
      <c r="U43" s="9"/>
      <c r="V43" s="9">
        <v>0</v>
      </c>
      <c r="W43" s="9"/>
      <c r="X43" s="10">
        <v>20</v>
      </c>
    </row>
    <row r="44" spans="2:24" x14ac:dyDescent="0.25">
      <c r="B44" s="13"/>
      <c r="C44" s="4" t="s">
        <v>23</v>
      </c>
      <c r="D44" s="9">
        <v>94</v>
      </c>
      <c r="E44" s="9">
        <v>16</v>
      </c>
      <c r="F44" s="9">
        <v>-1</v>
      </c>
      <c r="G44" s="9"/>
      <c r="L44" s="10">
        <f t="shared" si="0"/>
        <v>109</v>
      </c>
      <c r="Q44" s="13"/>
      <c r="R44" s="4" t="s">
        <v>15</v>
      </c>
      <c r="S44" s="9">
        <v>15324</v>
      </c>
      <c r="T44" s="9">
        <v>160</v>
      </c>
      <c r="U44" s="9">
        <v>-35</v>
      </c>
      <c r="V44" s="9">
        <v>50</v>
      </c>
      <c r="W44" s="9">
        <v>84</v>
      </c>
      <c r="X44" s="10">
        <v>15583</v>
      </c>
    </row>
    <row r="45" spans="2:24" x14ac:dyDescent="0.25">
      <c r="B45" s="13"/>
      <c r="C45" s="4" t="s">
        <v>24</v>
      </c>
      <c r="D45" s="9">
        <v>60</v>
      </c>
      <c r="E45" s="9">
        <v>41</v>
      </c>
      <c r="F45" s="9">
        <v>54</v>
      </c>
      <c r="G45" s="9">
        <v>15</v>
      </c>
      <c r="L45" s="10">
        <f t="shared" si="0"/>
        <v>170</v>
      </c>
      <c r="Q45" s="13"/>
      <c r="R45" s="4" t="s">
        <v>42</v>
      </c>
      <c r="S45" s="9"/>
      <c r="T45" s="9"/>
      <c r="U45" s="9"/>
      <c r="V45" s="9">
        <v>179</v>
      </c>
      <c r="W45" s="9">
        <v>26</v>
      </c>
      <c r="X45" s="10">
        <v>205</v>
      </c>
    </row>
    <row r="46" spans="2:24" x14ac:dyDescent="0.25">
      <c r="B46" s="13"/>
      <c r="C46" s="4" t="s">
        <v>25</v>
      </c>
      <c r="D46" s="9">
        <v>7</v>
      </c>
      <c r="E46" s="9">
        <v>1</v>
      </c>
      <c r="F46" s="9"/>
      <c r="G46" s="9"/>
      <c r="L46" s="10">
        <f t="shared" si="0"/>
        <v>8</v>
      </c>
      <c r="Q46" s="13"/>
      <c r="R46" s="4" t="s">
        <v>16</v>
      </c>
      <c r="S46" s="9">
        <v>17</v>
      </c>
      <c r="T46" s="9">
        <v>31</v>
      </c>
      <c r="U46" s="9">
        <v>1</v>
      </c>
      <c r="V46" s="9">
        <v>13</v>
      </c>
      <c r="W46" s="9">
        <v>2</v>
      </c>
      <c r="X46" s="10">
        <v>64</v>
      </c>
    </row>
    <row r="47" spans="2:24" x14ac:dyDescent="0.25">
      <c r="B47" s="13"/>
      <c r="C47" s="4" t="s">
        <v>28</v>
      </c>
      <c r="D47" s="9">
        <v>12</v>
      </c>
      <c r="E47" s="9">
        <v>8</v>
      </c>
      <c r="F47" s="9">
        <v>1</v>
      </c>
      <c r="G47" s="9"/>
      <c r="L47" s="10">
        <f t="shared" si="0"/>
        <v>21</v>
      </c>
      <c r="Q47" s="13"/>
      <c r="R47" s="4" t="s">
        <v>58</v>
      </c>
      <c r="S47" s="9">
        <v>-7</v>
      </c>
      <c r="T47" s="9">
        <v>-6</v>
      </c>
      <c r="U47" s="9">
        <v>1</v>
      </c>
      <c r="V47" s="9"/>
      <c r="W47" s="9"/>
      <c r="X47" s="10">
        <v>-12</v>
      </c>
    </row>
    <row r="48" spans="2:24" x14ac:dyDescent="0.25">
      <c r="B48" s="13"/>
      <c r="C48" s="4" t="s">
        <v>29</v>
      </c>
      <c r="D48" s="9">
        <v>309</v>
      </c>
      <c r="E48" s="9">
        <v>98</v>
      </c>
      <c r="F48" s="9">
        <v>76</v>
      </c>
      <c r="G48" s="9">
        <v>82</v>
      </c>
      <c r="L48" s="10">
        <f t="shared" si="0"/>
        <v>565</v>
      </c>
      <c r="Q48" s="13"/>
      <c r="R48" s="4" t="s">
        <v>17</v>
      </c>
      <c r="S48" s="9">
        <v>430</v>
      </c>
      <c r="T48" s="9">
        <v>559</v>
      </c>
      <c r="U48" s="9">
        <v>276</v>
      </c>
      <c r="V48" s="9">
        <v>147</v>
      </c>
      <c r="W48" s="9">
        <v>44</v>
      </c>
      <c r="X48" s="10">
        <v>1456</v>
      </c>
    </row>
    <row r="49" spans="2:24" x14ac:dyDescent="0.25">
      <c r="B49" s="13"/>
      <c r="C49" s="4" t="s">
        <v>43</v>
      </c>
      <c r="D49" s="9">
        <v>3</v>
      </c>
      <c r="E49" s="9">
        <v>4</v>
      </c>
      <c r="F49" s="9">
        <v>40</v>
      </c>
      <c r="G49" s="9"/>
      <c r="L49" s="10">
        <f t="shared" si="0"/>
        <v>47</v>
      </c>
      <c r="Q49" s="13"/>
      <c r="R49" s="4" t="s">
        <v>19</v>
      </c>
      <c r="S49" s="9">
        <v>551</v>
      </c>
      <c r="T49" s="9">
        <v>567</v>
      </c>
      <c r="U49" s="9">
        <v>196</v>
      </c>
      <c r="V49" s="9">
        <v>97</v>
      </c>
      <c r="W49" s="9">
        <v>40</v>
      </c>
      <c r="X49" s="10">
        <v>1451</v>
      </c>
    </row>
    <row r="50" spans="2:24" x14ac:dyDescent="0.25">
      <c r="B50" s="13"/>
      <c r="C50" s="4" t="s">
        <v>30</v>
      </c>
      <c r="D50" s="9"/>
      <c r="E50" s="9">
        <v>6</v>
      </c>
      <c r="F50" s="9">
        <v>2</v>
      </c>
      <c r="G50" s="9">
        <v>1</v>
      </c>
      <c r="L50" s="10">
        <f t="shared" si="0"/>
        <v>9</v>
      </c>
      <c r="Q50" s="13"/>
      <c r="R50" s="4" t="s">
        <v>20</v>
      </c>
      <c r="S50" s="9">
        <v>1765</v>
      </c>
      <c r="T50" s="9">
        <v>221</v>
      </c>
      <c r="U50" s="9">
        <v>223</v>
      </c>
      <c r="V50" s="9">
        <v>300</v>
      </c>
      <c r="W50" s="9">
        <v>142</v>
      </c>
      <c r="X50" s="10">
        <v>2651</v>
      </c>
    </row>
    <row r="51" spans="2:24" x14ac:dyDescent="0.25">
      <c r="B51" s="3" t="s">
        <v>33</v>
      </c>
      <c r="C51" s="6"/>
      <c r="D51" s="11">
        <f>SUM(D29:D50)</f>
        <v>774</v>
      </c>
      <c r="E51" s="11">
        <f>SUM(E29:E50)</f>
        <v>287</v>
      </c>
      <c r="F51" s="11">
        <f>SUM(F29:F50)</f>
        <v>492</v>
      </c>
      <c r="G51" s="11">
        <f>SUM(G29:G50)</f>
        <v>169</v>
      </c>
      <c r="H51" s="11">
        <f>SUM(H28:H50)</f>
        <v>0</v>
      </c>
      <c r="I51" s="11">
        <f>SUM(I28:I50)</f>
        <v>0</v>
      </c>
      <c r="J51" s="11">
        <f>SUM(J28:J50)</f>
        <v>0</v>
      </c>
      <c r="K51" s="11">
        <f>SUM(K28:K50)</f>
        <v>0</v>
      </c>
      <c r="L51" s="10">
        <f>SUM(D51:K51)</f>
        <v>1722</v>
      </c>
      <c r="Q51" s="13"/>
      <c r="R51" s="4" t="s">
        <v>21</v>
      </c>
      <c r="S51" s="9">
        <v>183</v>
      </c>
      <c r="T51" s="9">
        <v>35</v>
      </c>
      <c r="U51" s="9">
        <v>34</v>
      </c>
      <c r="V51" s="9">
        <v>76</v>
      </c>
      <c r="W51" s="9">
        <v>9</v>
      </c>
      <c r="X51" s="10">
        <v>337</v>
      </c>
    </row>
    <row r="52" spans="2:24" x14ac:dyDescent="0.25">
      <c r="Q52" s="13"/>
      <c r="R52" s="4" t="s">
        <v>22</v>
      </c>
      <c r="S52" s="9">
        <v>-3253</v>
      </c>
      <c r="T52" s="9">
        <v>-483</v>
      </c>
      <c r="U52" s="9">
        <v>4</v>
      </c>
      <c r="V52" s="9">
        <v>194</v>
      </c>
      <c r="W52" s="9">
        <v>183</v>
      </c>
      <c r="X52" s="10">
        <v>-3355</v>
      </c>
    </row>
    <row r="53" spans="2:24" x14ac:dyDescent="0.25">
      <c r="Q53" s="13"/>
      <c r="R53" s="4" t="s">
        <v>23</v>
      </c>
      <c r="S53" s="9">
        <v>491</v>
      </c>
      <c r="T53" s="9">
        <v>-53</v>
      </c>
      <c r="U53" s="9">
        <v>30</v>
      </c>
      <c r="V53" s="9">
        <v>188</v>
      </c>
      <c r="W53" s="9">
        <v>109</v>
      </c>
      <c r="X53" s="10">
        <v>765</v>
      </c>
    </row>
    <row r="54" spans="2:24" x14ac:dyDescent="0.25">
      <c r="Q54" s="13"/>
      <c r="R54" s="4" t="s">
        <v>24</v>
      </c>
      <c r="S54" s="9">
        <v>843</v>
      </c>
      <c r="T54" s="9">
        <v>160</v>
      </c>
      <c r="U54" s="9">
        <v>72</v>
      </c>
      <c r="V54" s="9">
        <v>442</v>
      </c>
      <c r="W54" s="9">
        <v>170</v>
      </c>
      <c r="X54" s="10">
        <v>1687</v>
      </c>
    </row>
    <row r="55" spans="2:24" x14ac:dyDescent="0.25">
      <c r="Q55" s="13"/>
      <c r="R55" s="4" t="s">
        <v>25</v>
      </c>
      <c r="S55" s="9">
        <v>1481</v>
      </c>
      <c r="T55" s="9">
        <v>-47</v>
      </c>
      <c r="U55" s="9">
        <v>39</v>
      </c>
      <c r="V55" s="9">
        <v>53</v>
      </c>
      <c r="W55" s="9">
        <v>8</v>
      </c>
      <c r="X55" s="10">
        <v>1534</v>
      </c>
    </row>
    <row r="56" spans="2:24" x14ac:dyDescent="0.25">
      <c r="Q56" s="13"/>
      <c r="R56" s="4" t="s">
        <v>26</v>
      </c>
      <c r="S56" s="9"/>
      <c r="T56" s="9">
        <v>168</v>
      </c>
      <c r="U56" s="9"/>
      <c r="V56" s="9"/>
      <c r="W56" s="9"/>
      <c r="X56" s="10">
        <v>168</v>
      </c>
    </row>
    <row r="57" spans="2:24" x14ac:dyDescent="0.25">
      <c r="Q57" s="13"/>
      <c r="R57" s="4" t="s">
        <v>27</v>
      </c>
      <c r="S57" s="9"/>
      <c r="T57" s="9">
        <v>105</v>
      </c>
      <c r="U57" s="9">
        <v>2</v>
      </c>
      <c r="V57" s="9">
        <v>1</v>
      </c>
      <c r="W57" s="9"/>
      <c r="X57" s="10">
        <v>108</v>
      </c>
    </row>
    <row r="58" spans="2:24" x14ac:dyDescent="0.25">
      <c r="Q58" s="13"/>
      <c r="R58" s="4" t="s">
        <v>28</v>
      </c>
      <c r="S58" s="9"/>
      <c r="T58" s="9">
        <v>1</v>
      </c>
      <c r="U58" s="9">
        <v>2</v>
      </c>
      <c r="V58" s="9">
        <v>58</v>
      </c>
      <c r="W58" s="9">
        <v>21</v>
      </c>
      <c r="X58" s="10">
        <v>82</v>
      </c>
    </row>
    <row r="59" spans="2:24" ht="26.25" x14ac:dyDescent="0.4">
      <c r="B59" s="15" t="s">
        <v>59</v>
      </c>
      <c r="Q59" s="13"/>
      <c r="R59" s="4" t="s">
        <v>29</v>
      </c>
      <c r="S59" s="9">
        <v>175</v>
      </c>
      <c r="T59" s="9">
        <v>-28</v>
      </c>
      <c r="U59" s="9">
        <v>223</v>
      </c>
      <c r="V59" s="9">
        <v>958</v>
      </c>
      <c r="W59" s="9">
        <v>565</v>
      </c>
      <c r="X59" s="10">
        <v>1893</v>
      </c>
    </row>
    <row r="60" spans="2:24" x14ac:dyDescent="0.25">
      <c r="C60" s="25"/>
      <c r="D60" s="25">
        <v>2024</v>
      </c>
      <c r="E60" s="25">
        <v>2025</v>
      </c>
      <c r="Q60" s="13"/>
      <c r="R60" s="4" t="s">
        <v>43</v>
      </c>
      <c r="S60" s="9">
        <v>6</v>
      </c>
      <c r="T60" s="9">
        <v>2</v>
      </c>
      <c r="U60" s="9">
        <v>20</v>
      </c>
      <c r="V60" s="9">
        <v>16</v>
      </c>
      <c r="W60" s="9">
        <v>47</v>
      </c>
      <c r="X60" s="10">
        <v>91</v>
      </c>
    </row>
    <row r="61" spans="2:24" ht="15" customHeight="1" x14ac:dyDescent="0.25">
      <c r="B61" s="3"/>
      <c r="C61" s="22"/>
      <c r="D61" s="24"/>
      <c r="E61" s="24"/>
      <c r="F61" s="11"/>
      <c r="G61" s="11"/>
      <c r="H61" s="11"/>
      <c r="Q61" s="13"/>
      <c r="R61" s="4" t="s">
        <v>30</v>
      </c>
      <c r="S61" s="9">
        <v>-104</v>
      </c>
      <c r="T61" s="9">
        <v>321</v>
      </c>
      <c r="U61" s="9">
        <v>4</v>
      </c>
      <c r="V61" s="9">
        <v>86</v>
      </c>
      <c r="W61" s="9">
        <v>9</v>
      </c>
      <c r="X61" s="10">
        <v>316</v>
      </c>
    </row>
    <row r="62" spans="2:24" x14ac:dyDescent="0.25">
      <c r="B62" s="13"/>
      <c r="C62" s="22" t="s">
        <v>12</v>
      </c>
      <c r="D62" s="24">
        <v>7</v>
      </c>
      <c r="E62" s="24">
        <v>14</v>
      </c>
      <c r="F62" s="9"/>
      <c r="Q62" s="13"/>
      <c r="R62" s="4" t="s">
        <v>31</v>
      </c>
      <c r="S62" s="9">
        <v>52</v>
      </c>
      <c r="T62" s="9">
        <v>134</v>
      </c>
      <c r="U62" s="9">
        <v>2</v>
      </c>
      <c r="V62" s="9">
        <v>9</v>
      </c>
      <c r="W62" s="9"/>
      <c r="X62" s="10">
        <v>197</v>
      </c>
    </row>
    <row r="63" spans="2:24" x14ac:dyDescent="0.25">
      <c r="B63" s="13"/>
      <c r="C63" s="22" t="s">
        <v>38</v>
      </c>
      <c r="D63" s="24">
        <v>26</v>
      </c>
      <c r="E63" s="24">
        <v>3</v>
      </c>
      <c r="F63" s="9"/>
      <c r="Q63" s="13"/>
      <c r="R63" s="7" t="s">
        <v>11</v>
      </c>
      <c r="S63" s="11">
        <v>211</v>
      </c>
      <c r="T63" s="11">
        <v>-21</v>
      </c>
      <c r="U63" s="11">
        <v>18</v>
      </c>
      <c r="V63" s="11">
        <v>366</v>
      </c>
      <c r="W63" s="11">
        <v>164</v>
      </c>
      <c r="X63" s="20">
        <v>738</v>
      </c>
    </row>
    <row r="64" spans="2:24" x14ac:dyDescent="0.25">
      <c r="B64" s="13"/>
      <c r="C64" s="22" t="s">
        <v>50</v>
      </c>
      <c r="D64" s="24"/>
      <c r="E64" s="24"/>
      <c r="F64" s="9"/>
      <c r="Q64" s="8" t="s">
        <v>45</v>
      </c>
      <c r="R64" s="23"/>
      <c r="S64" s="11">
        <v>28538</v>
      </c>
      <c r="T64" s="11">
        <v>1964</v>
      </c>
      <c r="U64" s="11">
        <v>1165</v>
      </c>
      <c r="V64" s="11">
        <v>3501</v>
      </c>
      <c r="W64" s="11">
        <v>1722</v>
      </c>
      <c r="X64" s="20">
        <v>36890</v>
      </c>
    </row>
    <row r="65" spans="2:6" x14ac:dyDescent="0.25">
      <c r="B65" s="13"/>
      <c r="C65" s="22" t="s">
        <v>39</v>
      </c>
      <c r="D65" s="24"/>
      <c r="E65" s="24">
        <v>4</v>
      </c>
      <c r="F65" s="9"/>
    </row>
    <row r="66" spans="2:6" x14ac:dyDescent="0.25">
      <c r="B66" s="13"/>
      <c r="C66" s="22" t="s">
        <v>13</v>
      </c>
      <c r="D66" s="24">
        <v>64</v>
      </c>
      <c r="E66" s="24">
        <v>6</v>
      </c>
      <c r="F66" s="9"/>
    </row>
    <row r="67" spans="2:6" x14ac:dyDescent="0.25">
      <c r="B67" s="13"/>
      <c r="C67" s="22" t="s">
        <v>41</v>
      </c>
      <c r="D67" s="24">
        <v>37</v>
      </c>
      <c r="E67" s="24">
        <v>5</v>
      </c>
      <c r="F67" s="9"/>
    </row>
    <row r="68" spans="2:6" x14ac:dyDescent="0.25">
      <c r="B68" s="13"/>
      <c r="C68" s="22" t="s">
        <v>14</v>
      </c>
      <c r="D68" s="24">
        <v>134</v>
      </c>
      <c r="E68" s="24">
        <v>67</v>
      </c>
      <c r="F68" s="9"/>
    </row>
    <row r="69" spans="2:6" x14ac:dyDescent="0.25">
      <c r="B69" s="13"/>
      <c r="C69" s="22" t="s">
        <v>56</v>
      </c>
      <c r="D69" s="24"/>
      <c r="E69" s="24"/>
      <c r="F69" s="9"/>
    </row>
    <row r="70" spans="2:6" x14ac:dyDescent="0.25">
      <c r="B70" s="13"/>
      <c r="C70" s="22" t="s">
        <v>57</v>
      </c>
      <c r="D70" s="24">
        <v>0</v>
      </c>
      <c r="E70" s="24"/>
      <c r="F70" s="9"/>
    </row>
    <row r="71" spans="2:6" x14ac:dyDescent="0.25">
      <c r="B71" s="13"/>
      <c r="C71" s="22" t="s">
        <v>15</v>
      </c>
      <c r="D71" s="24">
        <v>50</v>
      </c>
      <c r="E71" s="24">
        <v>84</v>
      </c>
      <c r="F71" s="9"/>
    </row>
    <row r="72" spans="2:6" x14ac:dyDescent="0.25">
      <c r="B72" s="13"/>
      <c r="C72" s="22" t="s">
        <v>42</v>
      </c>
      <c r="D72" s="24">
        <v>179</v>
      </c>
      <c r="E72" s="24">
        <v>26</v>
      </c>
      <c r="F72" s="9"/>
    </row>
    <row r="73" spans="2:6" x14ac:dyDescent="0.25">
      <c r="B73" s="13"/>
      <c r="C73" s="22" t="s">
        <v>16</v>
      </c>
      <c r="D73" s="24">
        <v>13</v>
      </c>
      <c r="E73" s="24">
        <v>2</v>
      </c>
      <c r="F73" s="9"/>
    </row>
    <row r="74" spans="2:6" x14ac:dyDescent="0.25">
      <c r="B74" s="13"/>
      <c r="C74" s="22" t="s">
        <v>58</v>
      </c>
      <c r="D74" s="24"/>
      <c r="E74" s="24"/>
      <c r="F74" s="9"/>
    </row>
    <row r="75" spans="2:6" x14ac:dyDescent="0.25">
      <c r="B75" s="13"/>
      <c r="C75" s="22" t="s">
        <v>17</v>
      </c>
      <c r="D75" s="24">
        <v>147</v>
      </c>
      <c r="E75" s="24">
        <v>44</v>
      </c>
      <c r="F75" s="9"/>
    </row>
    <row r="76" spans="2:6" x14ac:dyDescent="0.25">
      <c r="B76" s="13"/>
      <c r="C76" s="22" t="s">
        <v>19</v>
      </c>
      <c r="D76" s="24">
        <v>97</v>
      </c>
      <c r="E76" s="24">
        <v>40</v>
      </c>
      <c r="F76" s="9"/>
    </row>
    <row r="77" spans="2:6" x14ac:dyDescent="0.25">
      <c r="B77" s="13"/>
      <c r="C77" s="22" t="s">
        <v>20</v>
      </c>
      <c r="D77" s="24">
        <v>300</v>
      </c>
      <c r="E77" s="24">
        <v>142</v>
      </c>
      <c r="F77" s="9"/>
    </row>
    <row r="78" spans="2:6" x14ac:dyDescent="0.25">
      <c r="B78" s="13"/>
      <c r="C78" s="22" t="s">
        <v>21</v>
      </c>
      <c r="D78" s="24">
        <v>76</v>
      </c>
      <c r="E78" s="24">
        <v>9</v>
      </c>
      <c r="F78" s="9"/>
    </row>
    <row r="79" spans="2:6" x14ac:dyDescent="0.25">
      <c r="B79" s="13"/>
      <c r="C79" s="26" t="s">
        <v>22</v>
      </c>
      <c r="D79" s="24">
        <v>194</v>
      </c>
      <c r="E79" s="24">
        <v>183</v>
      </c>
      <c r="F79" s="9"/>
    </row>
    <row r="80" spans="2:6" x14ac:dyDescent="0.25">
      <c r="B80" s="13"/>
      <c r="C80" s="26" t="s">
        <v>23</v>
      </c>
      <c r="D80" s="24">
        <v>188</v>
      </c>
      <c r="E80" s="24">
        <v>109</v>
      </c>
      <c r="F80" s="9"/>
    </row>
    <row r="81" spans="2:6" x14ac:dyDescent="0.25">
      <c r="B81" s="13"/>
      <c r="C81" s="26" t="s">
        <v>24</v>
      </c>
      <c r="D81" s="24">
        <v>442</v>
      </c>
      <c r="E81" s="24">
        <v>170</v>
      </c>
      <c r="F81" s="9"/>
    </row>
    <row r="82" spans="2:6" x14ac:dyDescent="0.25">
      <c r="B82" s="13"/>
      <c r="C82" s="22" t="s">
        <v>25</v>
      </c>
      <c r="D82" s="24">
        <v>53</v>
      </c>
      <c r="E82" s="24">
        <v>8</v>
      </c>
      <c r="F82" s="9"/>
    </row>
    <row r="83" spans="2:6" x14ac:dyDescent="0.25">
      <c r="B83" s="13"/>
      <c r="C83" s="22" t="s">
        <v>26</v>
      </c>
      <c r="D83" s="24"/>
      <c r="E83" s="24"/>
      <c r="F83" s="9"/>
    </row>
    <row r="84" spans="2:6" x14ac:dyDescent="0.25">
      <c r="B84" s="13"/>
      <c r="C84" s="22" t="s">
        <v>27</v>
      </c>
      <c r="D84" s="24">
        <v>1</v>
      </c>
      <c r="E84" s="24"/>
      <c r="F84" s="9"/>
    </row>
    <row r="85" spans="2:6" x14ac:dyDescent="0.25">
      <c r="B85" s="13"/>
      <c r="C85" s="22" t="s">
        <v>28</v>
      </c>
      <c r="D85" s="24">
        <v>58</v>
      </c>
      <c r="E85" s="24">
        <v>21</v>
      </c>
      <c r="F85" s="9"/>
    </row>
    <row r="86" spans="2:6" x14ac:dyDescent="0.25">
      <c r="B86" s="13"/>
      <c r="C86" s="26" t="s">
        <v>29</v>
      </c>
      <c r="D86" s="24">
        <v>958</v>
      </c>
      <c r="E86" s="24">
        <v>565</v>
      </c>
      <c r="F86" s="9"/>
    </row>
    <row r="87" spans="2:6" x14ac:dyDescent="0.25">
      <c r="B87" s="13"/>
      <c r="C87" s="22" t="s">
        <v>43</v>
      </c>
      <c r="D87" s="24">
        <v>16</v>
      </c>
      <c r="E87" s="24">
        <v>47</v>
      </c>
      <c r="F87" s="9"/>
    </row>
    <row r="88" spans="2:6" x14ac:dyDescent="0.25">
      <c r="B88" s="13"/>
      <c r="C88" s="22" t="s">
        <v>30</v>
      </c>
      <c r="D88" s="24">
        <v>86</v>
      </c>
      <c r="E88" s="24">
        <v>9</v>
      </c>
      <c r="F88" s="9"/>
    </row>
    <row r="89" spans="2:6" x14ac:dyDescent="0.25">
      <c r="B89" s="13"/>
      <c r="C89" s="22" t="s">
        <v>31</v>
      </c>
      <c r="D89" s="24">
        <v>9</v>
      </c>
      <c r="E89" s="24"/>
      <c r="F89" s="9"/>
    </row>
    <row r="90" spans="2:6" x14ac:dyDescent="0.25">
      <c r="B90" s="13"/>
      <c r="C90" s="22" t="s">
        <v>11</v>
      </c>
      <c r="D90" s="24">
        <v>366</v>
      </c>
      <c r="E90" s="24">
        <v>164</v>
      </c>
      <c r="F90" s="11"/>
    </row>
    <row r="91" spans="2:6" x14ac:dyDescent="0.25">
      <c r="B91" s="8" t="s">
        <v>45</v>
      </c>
      <c r="C91" s="22"/>
      <c r="D91" s="24">
        <v>3501</v>
      </c>
      <c r="E91" s="24">
        <v>1722</v>
      </c>
      <c r="F91" s="11"/>
    </row>
  </sheetData>
  <conditionalFormatting sqref="B61:H6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F9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1:F9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K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4:W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5:W6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4:W6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3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53"/>
  <sheetViews>
    <sheetView topLeftCell="A24" workbookViewId="0">
      <selection activeCell="H47" sqref="H47"/>
    </sheetView>
  </sheetViews>
  <sheetFormatPr defaultRowHeight="15" x14ac:dyDescent="0.25"/>
  <cols>
    <col min="2" max="2" width="14.5703125" customWidth="1"/>
    <col min="3" max="3" width="16.85546875" customWidth="1"/>
    <col min="9" max="11" width="8.7109375"/>
    <col min="12" max="12" width="16.140625" customWidth="1"/>
  </cols>
  <sheetData>
    <row r="1" spans="2:16" x14ac:dyDescent="0.25">
      <c r="B1" s="32" t="s">
        <v>123</v>
      </c>
    </row>
    <row r="2" spans="2:16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6" x14ac:dyDescent="0.2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6" x14ac:dyDescent="0.25">
      <c r="B4" s="14" t="s">
        <v>10</v>
      </c>
      <c r="C4" s="7" t="s">
        <v>11</v>
      </c>
      <c r="D4" s="9">
        <v>45302.73</v>
      </c>
      <c r="E4" s="9">
        <v>37752.269999999997</v>
      </c>
      <c r="F4" s="9">
        <v>45174.81</v>
      </c>
      <c r="G4" s="9">
        <v>52124.78</v>
      </c>
      <c r="H4" s="9">
        <v>20849.919999999998</v>
      </c>
      <c r="I4" s="9"/>
      <c r="J4" s="9"/>
      <c r="K4" s="9"/>
      <c r="L4" s="10">
        <f>SUM(D4:K4)</f>
        <v>201204.51</v>
      </c>
      <c r="M4" s="1"/>
      <c r="O4" s="7"/>
      <c r="P4" s="9"/>
    </row>
    <row r="5" spans="2:16" x14ac:dyDescent="0.25">
      <c r="B5" s="13"/>
      <c r="C5" s="4" t="s">
        <v>12</v>
      </c>
      <c r="D5" s="9">
        <v>14164.31</v>
      </c>
      <c r="E5" s="9">
        <v>5591.18</v>
      </c>
      <c r="F5" s="9">
        <v>1975.01</v>
      </c>
      <c r="G5" s="9">
        <v>1975.01</v>
      </c>
      <c r="H5" s="9">
        <v>1975.01</v>
      </c>
      <c r="I5" s="9"/>
      <c r="J5" s="9"/>
      <c r="K5" s="9"/>
      <c r="L5" s="10">
        <f t="shared" ref="L5:L24" si="0">SUM(D5:K5)</f>
        <v>25680.519999999993</v>
      </c>
      <c r="M5" s="2"/>
      <c r="O5" s="4"/>
      <c r="P5" s="9"/>
    </row>
    <row r="6" spans="2:16" x14ac:dyDescent="0.25">
      <c r="B6" s="13"/>
      <c r="C6" s="4" t="s">
        <v>13</v>
      </c>
      <c r="D6" s="9">
        <v>8711.7800000000007</v>
      </c>
      <c r="E6" s="9">
        <v>5420.67</v>
      </c>
      <c r="F6" s="9">
        <v>7567.8</v>
      </c>
      <c r="G6" s="9">
        <v>6582.24</v>
      </c>
      <c r="H6" s="9"/>
      <c r="I6" s="9"/>
      <c r="J6" s="9"/>
      <c r="K6" s="9"/>
      <c r="L6" s="10">
        <f t="shared" si="0"/>
        <v>28282.489999999998</v>
      </c>
      <c r="M6" s="2"/>
      <c r="O6" s="4"/>
      <c r="P6" s="9"/>
    </row>
    <row r="7" spans="2:16" x14ac:dyDescent="0.25">
      <c r="B7" s="13"/>
      <c r="C7" s="4" t="s">
        <v>14</v>
      </c>
      <c r="D7" s="9"/>
      <c r="E7" s="9"/>
      <c r="F7" s="9">
        <v>489.99</v>
      </c>
      <c r="G7" s="9">
        <v>3674.96</v>
      </c>
      <c r="H7" s="9">
        <v>490</v>
      </c>
      <c r="I7" s="9"/>
      <c r="J7" s="9"/>
      <c r="K7" s="9"/>
      <c r="L7" s="10">
        <f t="shared" si="0"/>
        <v>4654.95</v>
      </c>
      <c r="O7" s="4"/>
      <c r="P7" s="9"/>
    </row>
    <row r="8" spans="2:16" x14ac:dyDescent="0.25">
      <c r="B8" s="13"/>
      <c r="C8" s="4" t="s">
        <v>15</v>
      </c>
      <c r="D8" s="9"/>
      <c r="E8" s="9"/>
      <c r="F8" s="9">
        <v>300805.25</v>
      </c>
      <c r="G8" s="9">
        <v>-35955.629999999997</v>
      </c>
      <c r="H8" s="9"/>
      <c r="I8" s="9"/>
      <c r="J8" s="9"/>
      <c r="K8" s="9"/>
      <c r="L8" s="10">
        <f t="shared" si="0"/>
        <v>264849.62</v>
      </c>
      <c r="O8" s="4"/>
      <c r="P8" s="9"/>
    </row>
    <row r="9" spans="2:16" x14ac:dyDescent="0.25">
      <c r="B9" s="13"/>
      <c r="C9" s="4" t="s">
        <v>16</v>
      </c>
      <c r="D9" s="9">
        <v>17399.47</v>
      </c>
      <c r="E9" s="9">
        <v>11599.66</v>
      </c>
      <c r="F9" s="9">
        <v>4890.12</v>
      </c>
      <c r="G9" s="9">
        <v>23635.550000000003</v>
      </c>
      <c r="H9" s="9">
        <v>13855.329999999998</v>
      </c>
      <c r="I9" s="9"/>
      <c r="J9" s="9"/>
      <c r="K9" s="9"/>
      <c r="L9" s="10">
        <f t="shared" si="0"/>
        <v>71380.13</v>
      </c>
      <c r="M9" s="2"/>
      <c r="O9" s="4"/>
      <c r="P9" s="9"/>
    </row>
    <row r="10" spans="2:16" x14ac:dyDescent="0.25">
      <c r="B10" s="13"/>
      <c r="C10" s="4" t="s">
        <v>17</v>
      </c>
      <c r="D10" s="9">
        <v>20619.98</v>
      </c>
      <c r="E10" s="9">
        <v>14433.96</v>
      </c>
      <c r="F10" s="9">
        <v>8418.869999999999</v>
      </c>
      <c r="G10" s="9">
        <v>8999.99</v>
      </c>
      <c r="H10" s="9">
        <v>1149.98</v>
      </c>
      <c r="I10" s="9"/>
      <c r="J10" s="9"/>
      <c r="K10" s="9"/>
      <c r="L10" s="10">
        <f t="shared" si="0"/>
        <v>53622.78</v>
      </c>
      <c r="M10" s="2"/>
      <c r="O10" s="4"/>
      <c r="P10" s="9"/>
    </row>
    <row r="11" spans="2:16" x14ac:dyDescent="0.25">
      <c r="B11" s="13"/>
      <c r="C11" s="4" t="s">
        <v>18</v>
      </c>
      <c r="D11" s="9">
        <v>8684.1200000000008</v>
      </c>
      <c r="E11" s="9"/>
      <c r="F11" s="9"/>
      <c r="G11" s="9">
        <v>4700.09</v>
      </c>
      <c r="H11" s="9"/>
      <c r="I11" s="9"/>
      <c r="J11" s="9"/>
      <c r="K11" s="9"/>
      <c r="L11" s="10">
        <f t="shared" si="0"/>
        <v>13384.210000000001</v>
      </c>
      <c r="O11" s="4"/>
      <c r="P11" s="9"/>
    </row>
    <row r="12" spans="2:16" x14ac:dyDescent="0.25">
      <c r="B12" s="13"/>
      <c r="C12" s="4" t="s">
        <v>19</v>
      </c>
      <c r="D12" s="9">
        <v>24743.949999999997</v>
      </c>
      <c r="E12" s="9">
        <v>24743.98</v>
      </c>
      <c r="F12" s="9">
        <v>-374.90999999999997</v>
      </c>
      <c r="G12" s="9">
        <v>12374.98</v>
      </c>
      <c r="H12" s="9">
        <v>2299.9699999999998</v>
      </c>
      <c r="I12" s="9"/>
      <c r="J12" s="9"/>
      <c r="K12" s="9"/>
      <c r="L12" s="10">
        <f t="shared" si="0"/>
        <v>63787.969999999987</v>
      </c>
      <c r="M12" s="2"/>
      <c r="O12" s="4"/>
      <c r="P12" s="9"/>
    </row>
    <row r="13" spans="2:16" x14ac:dyDescent="0.25">
      <c r="B13" s="13"/>
      <c r="C13" s="4" t="s">
        <v>20</v>
      </c>
      <c r="D13" s="9">
        <v>14433.97</v>
      </c>
      <c r="E13" s="9">
        <v>17526.989999999998</v>
      </c>
      <c r="F13" s="9">
        <v>12168.779999999999</v>
      </c>
      <c r="G13" s="9">
        <v>19124.96</v>
      </c>
      <c r="H13" s="9">
        <v>3909.9399999999996</v>
      </c>
      <c r="I13" s="9"/>
      <c r="J13" s="9"/>
      <c r="K13" s="9"/>
      <c r="L13" s="10">
        <f t="shared" si="0"/>
        <v>67164.639999999999</v>
      </c>
      <c r="M13" s="2"/>
      <c r="O13" s="4"/>
      <c r="P13" s="9"/>
    </row>
    <row r="14" spans="2:16" x14ac:dyDescent="0.25">
      <c r="B14" s="13"/>
      <c r="C14" s="4" t="s">
        <v>21</v>
      </c>
      <c r="D14" s="9">
        <v>23605</v>
      </c>
      <c r="E14" s="9">
        <v>20915.82</v>
      </c>
      <c r="F14" s="9">
        <v>9056.8900000000012</v>
      </c>
      <c r="G14" s="9">
        <v>16000.250000000002</v>
      </c>
      <c r="H14" s="9">
        <v>8000.13</v>
      </c>
      <c r="I14" s="9"/>
      <c r="J14" s="9"/>
      <c r="K14" s="9"/>
      <c r="L14" s="10">
        <f t="shared" si="0"/>
        <v>77578.090000000011</v>
      </c>
      <c r="M14" s="2"/>
      <c r="O14" s="4"/>
      <c r="P14" s="9"/>
    </row>
    <row r="15" spans="2:16" x14ac:dyDescent="0.25">
      <c r="B15" s="13"/>
      <c r="C15" s="4" t="s">
        <v>22</v>
      </c>
      <c r="D15" s="9">
        <v>489418.21000000008</v>
      </c>
      <c r="E15" s="9">
        <v>39599.839999999997</v>
      </c>
      <c r="F15" s="9">
        <v>27600</v>
      </c>
      <c r="G15" s="9"/>
      <c r="H15" s="9">
        <v>73249.51999999999</v>
      </c>
      <c r="I15" s="9"/>
      <c r="J15" s="9"/>
      <c r="K15" s="9"/>
      <c r="L15" s="10">
        <f t="shared" si="0"/>
        <v>629867.57000000007</v>
      </c>
      <c r="M15" s="2"/>
      <c r="O15" s="4"/>
      <c r="P15" s="9"/>
    </row>
    <row r="16" spans="2:16" x14ac:dyDescent="0.25">
      <c r="B16" s="13"/>
      <c r="C16" s="4" t="s">
        <v>23</v>
      </c>
      <c r="D16" s="9">
        <v>33080.979999999996</v>
      </c>
      <c r="E16" s="9">
        <v>27567.47</v>
      </c>
      <c r="F16" s="9">
        <v>26644.760000000002</v>
      </c>
      <c r="G16" s="9">
        <v>25874.850000000002</v>
      </c>
      <c r="H16" s="9">
        <v>22999.870000000003</v>
      </c>
      <c r="I16" s="9"/>
      <c r="J16" s="9"/>
      <c r="K16" s="9"/>
      <c r="L16" s="10">
        <f t="shared" si="0"/>
        <v>136167.93</v>
      </c>
      <c r="M16" s="2"/>
      <c r="O16" s="4"/>
      <c r="P16" s="9"/>
    </row>
    <row r="17" spans="2:21" x14ac:dyDescent="0.25">
      <c r="B17" s="13"/>
      <c r="C17" s="4" t="s">
        <v>24</v>
      </c>
      <c r="D17" s="9">
        <v>24757.129999999997</v>
      </c>
      <c r="E17" s="9">
        <v>21456.18</v>
      </c>
      <c r="F17" s="9">
        <v>9749.91</v>
      </c>
      <c r="G17" s="9">
        <v>1725</v>
      </c>
      <c r="H17" s="9">
        <v>7590</v>
      </c>
      <c r="I17" s="9"/>
      <c r="J17" s="9"/>
      <c r="K17" s="9"/>
      <c r="L17" s="10">
        <f t="shared" si="0"/>
        <v>65278.22</v>
      </c>
      <c r="M17" s="2"/>
      <c r="O17" s="4"/>
      <c r="P17" s="9"/>
    </row>
    <row r="18" spans="2:21" x14ac:dyDescent="0.25">
      <c r="B18" s="13"/>
      <c r="C18" s="4" t="s">
        <v>25</v>
      </c>
      <c r="D18" s="9">
        <v>71366.47</v>
      </c>
      <c r="E18" s="9">
        <v>84538.77</v>
      </c>
      <c r="F18" s="9">
        <v>-1108.2</v>
      </c>
      <c r="G18" s="9"/>
      <c r="H18" s="9">
        <v>8399.92</v>
      </c>
      <c r="I18" s="9"/>
      <c r="J18" s="9"/>
      <c r="K18" s="9"/>
      <c r="L18" s="10">
        <f t="shared" si="0"/>
        <v>163196.96</v>
      </c>
      <c r="M18" s="2"/>
      <c r="O18" s="4"/>
      <c r="P18" s="9"/>
    </row>
    <row r="19" spans="2:21" x14ac:dyDescent="0.25">
      <c r="B19" s="13"/>
      <c r="C19" s="4" t="s">
        <v>26</v>
      </c>
      <c r="D19" s="9">
        <v>9350.09</v>
      </c>
      <c r="E19" s="9">
        <v>15300.14</v>
      </c>
      <c r="F19" s="9">
        <v>4338.3100000000004</v>
      </c>
      <c r="G19" s="9">
        <v>6507.47</v>
      </c>
      <c r="H19" s="9">
        <v>5061.3600000000006</v>
      </c>
      <c r="I19" s="9"/>
      <c r="J19" s="9"/>
      <c r="K19" s="9"/>
      <c r="L19" s="10">
        <f t="shared" si="0"/>
        <v>40557.370000000003</v>
      </c>
      <c r="M19" s="2"/>
      <c r="O19" s="4"/>
      <c r="P19" s="9"/>
    </row>
    <row r="20" spans="2:21" x14ac:dyDescent="0.25">
      <c r="B20" s="13"/>
      <c r="C20" s="4" t="s">
        <v>27</v>
      </c>
      <c r="D20" s="9">
        <v>4462.7099999999991</v>
      </c>
      <c r="E20" s="9">
        <v>4462.7000000000007</v>
      </c>
      <c r="F20" s="9">
        <v>3900.16</v>
      </c>
      <c r="G20" s="9">
        <v>4225.16</v>
      </c>
      <c r="H20" s="9">
        <v>2600.1</v>
      </c>
      <c r="I20" s="9"/>
      <c r="J20" s="9"/>
      <c r="K20" s="9"/>
      <c r="L20" s="10">
        <f t="shared" si="0"/>
        <v>19650.829999999998</v>
      </c>
      <c r="O20" s="4"/>
      <c r="P20" s="9"/>
    </row>
    <row r="21" spans="2:21" x14ac:dyDescent="0.25">
      <c r="B21" s="13"/>
      <c r="C21" s="4" t="s">
        <v>28</v>
      </c>
      <c r="D21" s="9">
        <v>11064.849999999999</v>
      </c>
      <c r="E21" s="9">
        <v>11064.88</v>
      </c>
      <c r="F21" s="9">
        <v>2400.0100000000002</v>
      </c>
      <c r="G21" s="9">
        <v>6000.02</v>
      </c>
      <c r="H21" s="9">
        <v>6000.02</v>
      </c>
      <c r="I21" s="9"/>
      <c r="J21" s="9"/>
      <c r="K21" s="9"/>
      <c r="L21" s="10">
        <f t="shared" si="0"/>
        <v>36529.78</v>
      </c>
      <c r="M21" s="2"/>
      <c r="O21" s="4"/>
      <c r="P21" s="9"/>
    </row>
    <row r="22" spans="2:21" x14ac:dyDescent="0.25">
      <c r="B22" s="13"/>
      <c r="C22" s="4" t="s">
        <v>29</v>
      </c>
      <c r="D22" s="9">
        <v>98604.36</v>
      </c>
      <c r="E22" s="9">
        <v>141183.51</v>
      </c>
      <c r="F22" s="9"/>
      <c r="G22" s="9">
        <v>113747.64</v>
      </c>
      <c r="H22" s="9">
        <v>70799.75</v>
      </c>
      <c r="I22" s="9"/>
      <c r="J22" s="9"/>
      <c r="K22" s="9"/>
      <c r="L22" s="10">
        <f t="shared" si="0"/>
        <v>424335.26</v>
      </c>
      <c r="M22" s="2"/>
      <c r="O22" s="4"/>
      <c r="P22" s="9"/>
    </row>
    <row r="23" spans="2:21" x14ac:dyDescent="0.25">
      <c r="B23" s="13"/>
      <c r="C23" s="4" t="s">
        <v>30</v>
      </c>
      <c r="D23" s="9">
        <v>35070.32</v>
      </c>
      <c r="E23" s="9">
        <v>18566.64</v>
      </c>
      <c r="F23" s="9">
        <v>14474.97</v>
      </c>
      <c r="G23" s="9">
        <v>42749.919999999998</v>
      </c>
      <c r="H23" s="9">
        <v>22499.96</v>
      </c>
      <c r="I23" s="9"/>
      <c r="J23" s="9"/>
      <c r="K23" s="9"/>
      <c r="L23" s="10">
        <f t="shared" si="0"/>
        <v>133361.81</v>
      </c>
      <c r="M23" s="2"/>
      <c r="O23" s="4"/>
      <c r="P23" s="9"/>
    </row>
    <row r="24" spans="2:21" x14ac:dyDescent="0.25">
      <c r="B24" s="13"/>
      <c r="C24" s="4" t="s">
        <v>31</v>
      </c>
      <c r="D24" s="9">
        <v>34454.22</v>
      </c>
      <c r="E24" s="9">
        <v>40196.589999999997</v>
      </c>
      <c r="F24" s="9">
        <v>14699.869999999999</v>
      </c>
      <c r="G24" s="9">
        <v>33599.699999999997</v>
      </c>
      <c r="H24" s="9">
        <v>26599.769999999997</v>
      </c>
      <c r="I24" s="9"/>
      <c r="J24" s="9"/>
      <c r="K24" s="9"/>
      <c r="L24" s="10">
        <f t="shared" si="0"/>
        <v>149550.15</v>
      </c>
      <c r="O24" s="4"/>
      <c r="P24" s="9"/>
    </row>
    <row r="25" spans="2:21" x14ac:dyDescent="0.25">
      <c r="B25" s="13"/>
      <c r="C25" s="4" t="s">
        <v>32</v>
      </c>
      <c r="D25" s="9"/>
      <c r="E25" s="9"/>
      <c r="F25" s="9">
        <v>4161.5600000000004</v>
      </c>
      <c r="G25" s="9"/>
      <c r="H25" s="9"/>
      <c r="I25" s="9"/>
      <c r="J25" s="9"/>
      <c r="K25" s="9"/>
      <c r="L25" s="10">
        <f>SUM(D25:K25)</f>
        <v>4161.5600000000004</v>
      </c>
      <c r="O25" s="4"/>
      <c r="P25" s="9"/>
    </row>
    <row r="26" spans="2:21" x14ac:dyDescent="0.25">
      <c r="B26" s="3" t="s">
        <v>136</v>
      </c>
      <c r="C26" s="6"/>
      <c r="D26" s="11">
        <f>SUM(D4:D25)</f>
        <v>989294.64999999979</v>
      </c>
      <c r="E26" s="11">
        <f t="shared" ref="E26:K26" si="1">SUM(E4:E25)</f>
        <v>541921.25</v>
      </c>
      <c r="F26" s="11">
        <f t="shared" si="1"/>
        <v>497033.9599999999</v>
      </c>
      <c r="G26" s="11">
        <f t="shared" si="1"/>
        <v>347666.94</v>
      </c>
      <c r="H26" s="11">
        <f t="shared" si="1"/>
        <v>298330.55000000005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39">
        <f>SUM(D26:K26)</f>
        <v>2674247.3499999996</v>
      </c>
      <c r="O26" s="4"/>
      <c r="P26" s="9"/>
    </row>
    <row r="27" spans="2:21" x14ac:dyDescent="0.25">
      <c r="O27" s="7"/>
      <c r="P27" s="11"/>
    </row>
    <row r="28" spans="2:21" x14ac:dyDescent="0.25">
      <c r="B28" s="8" t="s">
        <v>2</v>
      </c>
      <c r="C28" s="7" t="s">
        <v>3</v>
      </c>
      <c r="D28" s="8" t="s">
        <v>8</v>
      </c>
      <c r="E28" s="8" t="s">
        <v>7</v>
      </c>
      <c r="F28" s="8" t="s">
        <v>6</v>
      </c>
      <c r="G28" s="8" t="s">
        <v>5</v>
      </c>
      <c r="H28" s="7" t="s">
        <v>4</v>
      </c>
      <c r="I28" s="7" t="s">
        <v>34</v>
      </c>
      <c r="J28" s="7" t="s">
        <v>35</v>
      </c>
      <c r="K28" s="7" t="s">
        <v>36</v>
      </c>
      <c r="L28" s="7" t="s">
        <v>9</v>
      </c>
      <c r="O28" s="4"/>
      <c r="P28" s="9"/>
    </row>
    <row r="29" spans="2:21" x14ac:dyDescent="0.25">
      <c r="C29" s="7" t="s">
        <v>11</v>
      </c>
      <c r="D29" s="11">
        <v>66</v>
      </c>
      <c r="E29" s="11">
        <v>55</v>
      </c>
      <c r="F29" s="11">
        <v>65</v>
      </c>
      <c r="G29" s="11">
        <v>75</v>
      </c>
      <c r="H29" s="11">
        <v>30</v>
      </c>
      <c r="L29" s="21">
        <f>SUM(D29:K29)</f>
        <v>291</v>
      </c>
      <c r="O29" s="4"/>
      <c r="P29" s="9"/>
    </row>
    <row r="30" spans="2:21" x14ac:dyDescent="0.25">
      <c r="C30" s="4" t="s">
        <v>12</v>
      </c>
      <c r="D30" s="9">
        <v>38</v>
      </c>
      <c r="E30" s="9">
        <v>15</v>
      </c>
      <c r="F30" s="9">
        <v>5</v>
      </c>
      <c r="G30" s="9">
        <v>5</v>
      </c>
      <c r="H30" s="9">
        <v>5</v>
      </c>
      <c r="L30" s="21">
        <f t="shared" ref="L30:L50" si="2">SUM(D30:K30)</f>
        <v>68</v>
      </c>
      <c r="O30" s="4"/>
      <c r="P30" s="9"/>
    </row>
    <row r="31" spans="2:21" x14ac:dyDescent="0.25">
      <c r="C31" s="4" t="s">
        <v>13</v>
      </c>
      <c r="D31" s="9">
        <v>45</v>
      </c>
      <c r="E31" s="9">
        <v>28</v>
      </c>
      <c r="F31" s="9">
        <v>39</v>
      </c>
      <c r="G31" s="9">
        <v>34</v>
      </c>
      <c r="H31" s="9"/>
      <c r="L31" s="21">
        <f t="shared" si="2"/>
        <v>146</v>
      </c>
      <c r="O31" s="4"/>
      <c r="P31" s="9"/>
      <c r="Q31" s="7"/>
      <c r="R31" s="8"/>
      <c r="S31" s="8"/>
      <c r="T31" s="8"/>
      <c r="U31" s="8"/>
    </row>
    <row r="32" spans="2:21" x14ac:dyDescent="0.25">
      <c r="C32" s="4" t="s">
        <v>14</v>
      </c>
      <c r="D32" s="9"/>
      <c r="E32" s="9"/>
      <c r="F32" s="9">
        <v>2</v>
      </c>
      <c r="G32" s="9">
        <v>15</v>
      </c>
      <c r="H32" s="9">
        <v>2</v>
      </c>
      <c r="L32" s="21">
        <f t="shared" si="2"/>
        <v>19</v>
      </c>
      <c r="M32" s="19"/>
      <c r="N32" s="7"/>
      <c r="O32" s="4"/>
      <c r="P32" s="9"/>
      <c r="Q32" s="11"/>
      <c r="R32" s="11"/>
      <c r="S32" s="11"/>
      <c r="T32" s="11"/>
      <c r="U32" s="20"/>
    </row>
    <row r="33" spans="3:21" x14ac:dyDescent="0.25">
      <c r="C33" s="4" t="s">
        <v>15</v>
      </c>
      <c r="D33" s="9"/>
      <c r="E33" s="9"/>
      <c r="F33" s="9">
        <v>1280</v>
      </c>
      <c r="G33" s="9">
        <v>-153</v>
      </c>
      <c r="H33" s="9"/>
      <c r="L33" s="21">
        <f t="shared" si="2"/>
        <v>1127</v>
      </c>
      <c r="M33" s="19"/>
      <c r="N33" s="19"/>
      <c r="O33" s="4"/>
      <c r="P33" s="9"/>
      <c r="Q33" s="9"/>
      <c r="R33" s="9"/>
      <c r="S33" s="9"/>
      <c r="T33" s="9"/>
      <c r="U33" s="10"/>
    </row>
    <row r="34" spans="3:21" x14ac:dyDescent="0.25">
      <c r="C34" s="4" t="s">
        <v>16</v>
      </c>
      <c r="D34" s="9">
        <v>120</v>
      </c>
      <c r="E34" s="9">
        <v>80</v>
      </c>
      <c r="F34" s="9">
        <v>30</v>
      </c>
      <c r="G34" s="9">
        <v>145</v>
      </c>
      <c r="H34" s="9">
        <v>85</v>
      </c>
      <c r="L34" s="21">
        <f t="shared" si="2"/>
        <v>460</v>
      </c>
      <c r="M34" s="19"/>
      <c r="N34" s="19"/>
      <c r="O34" s="4"/>
      <c r="P34" s="9"/>
      <c r="Q34" s="9"/>
      <c r="R34" s="9"/>
      <c r="S34" s="9"/>
      <c r="T34" s="9"/>
      <c r="U34" s="10"/>
    </row>
    <row r="35" spans="3:21" x14ac:dyDescent="0.25">
      <c r="C35" s="4" t="s">
        <v>17</v>
      </c>
      <c r="D35" s="9">
        <v>100</v>
      </c>
      <c r="E35" s="9">
        <v>70</v>
      </c>
      <c r="F35" s="9">
        <v>37</v>
      </c>
      <c r="G35" s="9">
        <v>40</v>
      </c>
      <c r="H35" s="9">
        <v>5</v>
      </c>
      <c r="L35" s="21">
        <f t="shared" si="2"/>
        <v>252</v>
      </c>
      <c r="M35" s="19"/>
      <c r="N35" s="19"/>
      <c r="O35" s="4"/>
      <c r="P35" s="9"/>
      <c r="Q35" s="9"/>
      <c r="R35" s="9"/>
      <c r="S35" s="9"/>
      <c r="T35" s="9"/>
      <c r="U35" s="10"/>
    </row>
    <row r="36" spans="3:21" x14ac:dyDescent="0.25">
      <c r="C36" s="4" t="s">
        <v>18</v>
      </c>
      <c r="D36" s="9">
        <v>40</v>
      </c>
      <c r="E36" s="9"/>
      <c r="F36" s="9"/>
      <c r="G36" s="9">
        <v>20</v>
      </c>
      <c r="H36" s="9"/>
      <c r="L36" s="21">
        <f t="shared" si="2"/>
        <v>60</v>
      </c>
      <c r="M36" s="19"/>
      <c r="N36" s="19"/>
      <c r="O36" s="4"/>
      <c r="P36" s="9"/>
      <c r="Q36" s="9"/>
      <c r="R36" s="9"/>
      <c r="S36" s="9"/>
      <c r="T36" s="9"/>
      <c r="U36" s="10"/>
    </row>
    <row r="37" spans="3:21" x14ac:dyDescent="0.25">
      <c r="C37" s="4" t="s">
        <v>19</v>
      </c>
      <c r="D37" s="9">
        <v>120</v>
      </c>
      <c r="E37" s="9">
        <v>120</v>
      </c>
      <c r="F37" s="9">
        <v>-2</v>
      </c>
      <c r="G37" s="9">
        <v>55</v>
      </c>
      <c r="H37" s="9">
        <v>10</v>
      </c>
      <c r="L37" s="21">
        <f t="shared" si="2"/>
        <v>303</v>
      </c>
      <c r="M37" s="19"/>
      <c r="N37" s="19"/>
      <c r="O37" s="4"/>
      <c r="P37" s="9"/>
      <c r="Q37" s="9"/>
      <c r="R37" s="9"/>
      <c r="S37" s="9"/>
      <c r="T37" s="9"/>
      <c r="U37" s="10"/>
    </row>
    <row r="38" spans="3:21" x14ac:dyDescent="0.25">
      <c r="C38" s="4" t="s">
        <v>20</v>
      </c>
      <c r="D38" s="9">
        <v>70</v>
      </c>
      <c r="E38" s="9">
        <v>85</v>
      </c>
      <c r="F38" s="9">
        <v>54</v>
      </c>
      <c r="G38" s="9">
        <v>85</v>
      </c>
      <c r="H38" s="9">
        <v>17</v>
      </c>
      <c r="L38" s="21">
        <f t="shared" si="2"/>
        <v>311</v>
      </c>
      <c r="M38" s="19"/>
      <c r="N38" s="19"/>
      <c r="O38" s="4"/>
      <c r="P38" s="9"/>
      <c r="Q38" s="9"/>
      <c r="R38" s="9"/>
      <c r="S38" s="9"/>
      <c r="T38" s="9"/>
      <c r="U38" s="10"/>
    </row>
    <row r="39" spans="3:21" x14ac:dyDescent="0.25">
      <c r="C39" s="4" t="s">
        <v>21</v>
      </c>
      <c r="D39" s="9">
        <v>79</v>
      </c>
      <c r="E39" s="9">
        <v>70</v>
      </c>
      <c r="F39" s="9">
        <v>28</v>
      </c>
      <c r="G39" s="9">
        <v>50</v>
      </c>
      <c r="H39" s="9">
        <v>25</v>
      </c>
      <c r="L39" s="21">
        <f t="shared" si="2"/>
        <v>252</v>
      </c>
      <c r="M39" s="19"/>
      <c r="N39" s="19"/>
      <c r="O39" s="4"/>
      <c r="P39" s="9"/>
      <c r="Q39" s="9"/>
      <c r="R39" s="9"/>
      <c r="S39" s="9"/>
      <c r="T39" s="9"/>
      <c r="U39" s="10"/>
    </row>
    <row r="40" spans="3:21" x14ac:dyDescent="0.25">
      <c r="C40" s="4" t="s">
        <v>22</v>
      </c>
      <c r="D40" s="9">
        <v>1489</v>
      </c>
      <c r="E40" s="9">
        <v>120</v>
      </c>
      <c r="F40" s="9">
        <v>80</v>
      </c>
      <c r="G40" s="9"/>
      <c r="H40" s="9">
        <v>210</v>
      </c>
      <c r="L40" s="21">
        <f t="shared" si="2"/>
        <v>1899</v>
      </c>
      <c r="M40" s="19"/>
      <c r="N40" s="19"/>
      <c r="O40" s="4"/>
      <c r="P40" s="9"/>
      <c r="Q40" s="9"/>
      <c r="R40" s="9"/>
      <c r="S40" s="9"/>
      <c r="T40" s="9"/>
      <c r="U40" s="10"/>
    </row>
    <row r="41" spans="3:21" x14ac:dyDescent="0.25">
      <c r="C41" s="4" t="s">
        <v>23</v>
      </c>
      <c r="D41" s="9">
        <v>60</v>
      </c>
      <c r="E41" s="9">
        <v>50</v>
      </c>
      <c r="F41" s="9">
        <v>46</v>
      </c>
      <c r="G41" s="9">
        <v>45</v>
      </c>
      <c r="H41" s="9">
        <v>40</v>
      </c>
      <c r="L41" s="21">
        <f t="shared" si="2"/>
        <v>241</v>
      </c>
      <c r="M41" s="19"/>
      <c r="N41" s="19"/>
      <c r="O41" s="4"/>
      <c r="P41" s="9"/>
      <c r="Q41" s="9"/>
      <c r="R41" s="9"/>
      <c r="S41" s="9"/>
      <c r="T41" s="9"/>
      <c r="U41" s="10"/>
    </row>
    <row r="42" spans="3:21" x14ac:dyDescent="0.25">
      <c r="C42" s="4" t="s">
        <v>24</v>
      </c>
      <c r="D42" s="9">
        <v>75</v>
      </c>
      <c r="E42" s="9">
        <v>65</v>
      </c>
      <c r="F42" s="9">
        <v>28</v>
      </c>
      <c r="G42" s="9">
        <v>5</v>
      </c>
      <c r="H42" s="9">
        <v>22</v>
      </c>
      <c r="L42" s="21">
        <f t="shared" si="2"/>
        <v>195</v>
      </c>
      <c r="M42" s="19"/>
      <c r="N42" s="19"/>
      <c r="O42" s="4"/>
      <c r="P42" s="9"/>
      <c r="Q42" s="9"/>
      <c r="R42" s="9"/>
      <c r="S42" s="9"/>
      <c r="T42" s="9"/>
      <c r="U42" s="10"/>
    </row>
    <row r="43" spans="3:21" x14ac:dyDescent="0.25">
      <c r="C43" s="4" t="s">
        <v>25</v>
      </c>
      <c r="D43" s="9">
        <v>363</v>
      </c>
      <c r="E43" s="9">
        <v>430</v>
      </c>
      <c r="F43" s="9">
        <v>-6</v>
      </c>
      <c r="G43" s="9"/>
      <c r="H43" s="9">
        <v>40</v>
      </c>
      <c r="L43" s="21">
        <f t="shared" si="2"/>
        <v>827</v>
      </c>
      <c r="M43" s="19"/>
      <c r="N43" s="19"/>
      <c r="O43" s="4"/>
      <c r="P43" s="9"/>
      <c r="Q43" s="9"/>
      <c r="R43" s="9"/>
      <c r="S43" s="9"/>
      <c r="T43" s="9"/>
      <c r="U43" s="10"/>
    </row>
    <row r="44" spans="3:21" x14ac:dyDescent="0.25">
      <c r="C44" s="4" t="s">
        <v>26</v>
      </c>
      <c r="D44" s="9">
        <v>220</v>
      </c>
      <c r="E44" s="9">
        <v>360</v>
      </c>
      <c r="F44" s="9">
        <v>90</v>
      </c>
      <c r="G44" s="9">
        <v>135</v>
      </c>
      <c r="H44" s="9">
        <v>105</v>
      </c>
      <c r="L44" s="21">
        <f t="shared" si="2"/>
        <v>910</v>
      </c>
      <c r="M44" s="19"/>
      <c r="N44" s="19"/>
      <c r="O44" s="4"/>
      <c r="P44" s="9"/>
      <c r="Q44" s="9"/>
      <c r="R44" s="9"/>
      <c r="S44" s="9"/>
      <c r="T44" s="9"/>
      <c r="U44" s="10"/>
    </row>
    <row r="45" spans="3:21" x14ac:dyDescent="0.25">
      <c r="C45" s="4" t="s">
        <v>27</v>
      </c>
      <c r="D45" s="9">
        <v>75</v>
      </c>
      <c r="E45" s="9">
        <v>75</v>
      </c>
      <c r="F45" s="9">
        <v>60</v>
      </c>
      <c r="G45" s="9">
        <v>65</v>
      </c>
      <c r="H45" s="9">
        <v>40</v>
      </c>
      <c r="L45" s="21">
        <f t="shared" si="2"/>
        <v>315</v>
      </c>
      <c r="M45" s="19"/>
      <c r="N45" s="19"/>
      <c r="O45" s="4"/>
      <c r="P45" s="9"/>
      <c r="Q45" s="9"/>
      <c r="R45" s="9"/>
      <c r="S45" s="9"/>
      <c r="T45" s="9"/>
      <c r="U45" s="10"/>
    </row>
    <row r="46" spans="3:21" x14ac:dyDescent="0.25">
      <c r="C46" s="4" t="s">
        <v>28</v>
      </c>
      <c r="D46" s="9">
        <v>50</v>
      </c>
      <c r="E46" s="9">
        <v>50</v>
      </c>
      <c r="F46" s="9">
        <v>10</v>
      </c>
      <c r="G46" s="9">
        <v>25</v>
      </c>
      <c r="H46" s="9">
        <v>25</v>
      </c>
      <c r="L46" s="21">
        <f t="shared" si="2"/>
        <v>160</v>
      </c>
      <c r="M46" s="19"/>
      <c r="N46" s="19"/>
      <c r="O46" s="4"/>
      <c r="P46" s="9"/>
      <c r="Q46" s="9"/>
      <c r="R46" s="9"/>
      <c r="S46" s="9"/>
      <c r="T46" s="9"/>
      <c r="U46" s="10"/>
    </row>
    <row r="47" spans="3:21" x14ac:dyDescent="0.25">
      <c r="C47" s="4" t="s">
        <v>29</v>
      </c>
      <c r="D47" s="9">
        <v>440</v>
      </c>
      <c r="E47" s="9">
        <v>630</v>
      </c>
      <c r="F47" s="9"/>
      <c r="G47" s="9">
        <v>455</v>
      </c>
      <c r="H47" s="9">
        <v>280</v>
      </c>
      <c r="L47" s="21">
        <f t="shared" si="2"/>
        <v>1805</v>
      </c>
      <c r="M47" s="19"/>
      <c r="N47" s="19"/>
      <c r="O47" s="4"/>
      <c r="P47" s="9"/>
      <c r="Q47" s="9"/>
      <c r="R47" s="9"/>
      <c r="S47" s="9"/>
      <c r="T47" s="9"/>
      <c r="U47" s="10"/>
    </row>
    <row r="48" spans="3:21" x14ac:dyDescent="0.25">
      <c r="C48" s="4" t="s">
        <v>30</v>
      </c>
      <c r="D48" s="9">
        <v>170</v>
      </c>
      <c r="E48" s="9">
        <v>90</v>
      </c>
      <c r="F48" s="9">
        <v>64</v>
      </c>
      <c r="G48" s="9">
        <v>190</v>
      </c>
      <c r="H48" s="9">
        <v>100</v>
      </c>
      <c r="L48" s="21">
        <f t="shared" si="2"/>
        <v>614</v>
      </c>
      <c r="M48" s="19"/>
      <c r="N48" s="19"/>
      <c r="O48" s="4"/>
      <c r="P48" s="9"/>
      <c r="Q48" s="9"/>
      <c r="R48" s="9"/>
      <c r="S48" s="9"/>
      <c r="T48" s="9"/>
      <c r="U48" s="10"/>
    </row>
    <row r="49" spans="2:21" x14ac:dyDescent="0.25">
      <c r="C49" s="4" t="s">
        <v>31</v>
      </c>
      <c r="D49" s="9">
        <v>540</v>
      </c>
      <c r="E49" s="9">
        <v>630</v>
      </c>
      <c r="F49" s="9">
        <v>210</v>
      </c>
      <c r="G49" s="9">
        <v>480</v>
      </c>
      <c r="H49" s="9">
        <v>380</v>
      </c>
      <c r="L49" s="21">
        <f t="shared" si="2"/>
        <v>2240</v>
      </c>
      <c r="M49" s="19"/>
      <c r="N49" s="19"/>
      <c r="O49" s="4"/>
      <c r="P49" s="9"/>
      <c r="Q49" s="9"/>
      <c r="R49" s="9"/>
      <c r="S49" s="9"/>
      <c r="T49" s="9"/>
      <c r="U49" s="10"/>
    </row>
    <row r="50" spans="2:21" x14ac:dyDescent="0.25">
      <c r="C50" s="4" t="s">
        <v>32</v>
      </c>
      <c r="D50" s="10">
        <v>59</v>
      </c>
      <c r="F50" s="9">
        <v>59</v>
      </c>
      <c r="G50" s="9">
        <v>59</v>
      </c>
      <c r="L50" s="21">
        <f t="shared" si="2"/>
        <v>177</v>
      </c>
      <c r="M50" s="19"/>
      <c r="N50" s="19"/>
      <c r="O50" s="6"/>
      <c r="P50" s="11"/>
      <c r="Q50" s="9"/>
      <c r="R50" s="9"/>
      <c r="S50" s="9"/>
      <c r="T50" s="9"/>
      <c r="U50" s="10"/>
    </row>
    <row r="51" spans="2:21" x14ac:dyDescent="0.25">
      <c r="B51" s="3" t="s">
        <v>138</v>
      </c>
      <c r="C51" s="6"/>
      <c r="D51" s="11">
        <f>SUM(D29:D50)</f>
        <v>4219</v>
      </c>
      <c r="E51" s="11">
        <f t="shared" ref="E51:K51" si="3">SUM(E29:E50)</f>
        <v>3023</v>
      </c>
      <c r="F51" s="11">
        <f t="shared" si="3"/>
        <v>2179</v>
      </c>
      <c r="G51" s="11">
        <f t="shared" si="3"/>
        <v>1830</v>
      </c>
      <c r="H51" s="11">
        <f t="shared" si="3"/>
        <v>1421</v>
      </c>
      <c r="I51" s="11">
        <f t="shared" si="3"/>
        <v>0</v>
      </c>
      <c r="J51" s="11">
        <f t="shared" si="3"/>
        <v>0</v>
      </c>
      <c r="K51" s="11">
        <f t="shared" si="3"/>
        <v>0</v>
      </c>
      <c r="L51" s="39">
        <f>SUM(D51:K51)</f>
        <v>12672</v>
      </c>
      <c r="O51" s="23"/>
      <c r="P51" s="11"/>
    </row>
    <row r="52" spans="2:21" x14ac:dyDescent="0.25">
      <c r="L52" s="13"/>
      <c r="M52" s="19"/>
      <c r="N52" s="19"/>
      <c r="O52" s="4"/>
      <c r="P52" s="9"/>
      <c r="Q52" s="9"/>
      <c r="R52" s="9"/>
      <c r="S52" s="9"/>
      <c r="T52" s="9"/>
      <c r="U52" s="10"/>
    </row>
    <row r="53" spans="2:21" x14ac:dyDescent="0.25">
      <c r="L53" s="13"/>
      <c r="M53" s="19"/>
      <c r="N53" s="19"/>
      <c r="O53" s="4"/>
      <c r="P53" s="9"/>
      <c r="Q53" s="9"/>
      <c r="R53" s="9"/>
      <c r="S53" s="9"/>
      <c r="T53" s="9"/>
      <c r="U53" s="10"/>
    </row>
  </sheetData>
  <conditionalFormatting sqref="D26:K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:K50 D29:G49 I29:K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:H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CE61-54A7-4A50-A6BA-4655FE920912}">
  <dimension ref="B2:M26"/>
  <sheetViews>
    <sheetView topLeftCell="A10" workbookViewId="0">
      <selection activeCell="F15" sqref="F15"/>
    </sheetView>
  </sheetViews>
  <sheetFormatPr defaultRowHeight="15" x14ac:dyDescent="0.25"/>
  <cols>
    <col min="2" max="2" width="17.28515625" customWidth="1"/>
    <col min="3" max="3" width="15.85546875" customWidth="1"/>
    <col min="4" max="4" width="11.42578125" customWidth="1"/>
    <col min="12" max="12" width="11.140625" bestFit="1" customWidth="1"/>
  </cols>
  <sheetData>
    <row r="2" spans="2:13" ht="18.75" x14ac:dyDescent="0.3">
      <c r="B2" s="5" t="s">
        <v>0</v>
      </c>
      <c r="C2" s="6"/>
      <c r="D2" s="3"/>
      <c r="E2" s="3"/>
      <c r="F2" s="4" t="s">
        <v>1</v>
      </c>
      <c r="G2" s="6"/>
      <c r="H2" s="6"/>
      <c r="L2" s="3"/>
      <c r="M2" s="6"/>
    </row>
    <row r="3" spans="2:13" x14ac:dyDescent="0.2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3" x14ac:dyDescent="0.25">
      <c r="B4" s="8" t="s">
        <v>46</v>
      </c>
      <c r="C4" s="7" t="s">
        <v>11</v>
      </c>
      <c r="D4" s="9">
        <v>2070.19</v>
      </c>
      <c r="E4" s="9">
        <v>2802.08</v>
      </c>
      <c r="F4" s="9">
        <v>1372.39</v>
      </c>
      <c r="G4" s="9">
        <v>1378.67</v>
      </c>
      <c r="H4" s="9"/>
      <c r="L4" s="10">
        <v>7623.33</v>
      </c>
    </row>
    <row r="5" spans="2:13" x14ac:dyDescent="0.25">
      <c r="B5" s="13"/>
      <c r="C5" s="4" t="s">
        <v>38</v>
      </c>
      <c r="D5" s="9">
        <v>211.39</v>
      </c>
      <c r="E5" s="9">
        <v>219.19</v>
      </c>
      <c r="F5" s="9">
        <v>650.51</v>
      </c>
      <c r="G5" s="9">
        <v>878.08</v>
      </c>
      <c r="H5" s="9"/>
      <c r="L5" s="10">
        <v>1959.17</v>
      </c>
    </row>
    <row r="6" spans="2:13" x14ac:dyDescent="0.25">
      <c r="B6" s="13"/>
      <c r="C6" s="4" t="s">
        <v>15</v>
      </c>
      <c r="D6" s="9"/>
      <c r="E6" s="9">
        <v>5746.02</v>
      </c>
      <c r="F6" s="9">
        <v>51590.689999999995</v>
      </c>
      <c r="G6" s="9">
        <v>462.72</v>
      </c>
      <c r="H6" s="9">
        <v>2444</v>
      </c>
      <c r="L6" s="10">
        <v>60243.429999999993</v>
      </c>
    </row>
    <row r="7" spans="2:13" x14ac:dyDescent="0.25">
      <c r="B7" s="13"/>
      <c r="C7" s="4" t="s">
        <v>16</v>
      </c>
      <c r="D7" s="9"/>
      <c r="E7" s="9">
        <v>2816.35</v>
      </c>
      <c r="F7" s="9">
        <v>3265.5699999999997</v>
      </c>
      <c r="G7" s="9">
        <v>1989.34</v>
      </c>
      <c r="H7" s="9"/>
      <c r="L7" s="10">
        <v>8071.26</v>
      </c>
    </row>
    <row r="8" spans="2:13" x14ac:dyDescent="0.25">
      <c r="B8" s="13"/>
      <c r="C8" s="4" t="s">
        <v>20</v>
      </c>
      <c r="D8" s="9">
        <v>1863.78</v>
      </c>
      <c r="E8" s="9">
        <v>1254.7600000000002</v>
      </c>
      <c r="F8" s="9">
        <v>618.54</v>
      </c>
      <c r="G8" s="9">
        <v>1120.51</v>
      </c>
      <c r="H8" s="9"/>
      <c r="L8" s="10">
        <v>4857.59</v>
      </c>
    </row>
    <row r="9" spans="2:13" x14ac:dyDescent="0.25">
      <c r="B9" s="13"/>
      <c r="C9" s="4" t="s">
        <v>23</v>
      </c>
      <c r="D9" s="9">
        <v>3866.1099999999997</v>
      </c>
      <c r="E9" s="9">
        <v>12242.45</v>
      </c>
      <c r="F9" s="9">
        <v>9920.7199999999993</v>
      </c>
      <c r="G9" s="9">
        <v>7883.92</v>
      </c>
      <c r="H9" s="9"/>
      <c r="L9" s="10">
        <v>33913.199999999997</v>
      </c>
    </row>
    <row r="10" spans="2:13" x14ac:dyDescent="0.25">
      <c r="B10" s="13"/>
      <c r="C10" s="4" t="s">
        <v>24</v>
      </c>
      <c r="D10" s="9">
        <v>647</v>
      </c>
      <c r="E10" s="9"/>
      <c r="F10" s="9"/>
      <c r="G10" s="9"/>
      <c r="H10" s="9"/>
      <c r="L10" s="10">
        <v>647</v>
      </c>
    </row>
    <row r="11" spans="2:13" x14ac:dyDescent="0.25">
      <c r="B11" s="13"/>
      <c r="C11" s="4" t="s">
        <v>29</v>
      </c>
      <c r="D11" s="9">
        <v>16739.690000000002</v>
      </c>
      <c r="E11" s="9">
        <v>13724.72</v>
      </c>
      <c r="F11" s="9">
        <v>10914.1</v>
      </c>
      <c r="G11" s="9">
        <v>16954.28</v>
      </c>
      <c r="H11" s="9"/>
      <c r="L11" s="10">
        <v>58332.79</v>
      </c>
    </row>
    <row r="12" spans="2:13" x14ac:dyDescent="0.25">
      <c r="B12" s="13"/>
      <c r="C12" s="4" t="s">
        <v>30</v>
      </c>
      <c r="D12" s="9">
        <v>3318.37</v>
      </c>
      <c r="E12" s="9">
        <v>4400.1900000000005</v>
      </c>
      <c r="F12" s="9">
        <v>3319.6899999999996</v>
      </c>
      <c r="G12" s="9">
        <v>2127.9</v>
      </c>
      <c r="H12" s="9"/>
      <c r="L12" s="10">
        <v>13166.150000000001</v>
      </c>
    </row>
    <row r="13" spans="2:13" x14ac:dyDescent="0.25">
      <c r="B13" s="3" t="s">
        <v>33</v>
      </c>
      <c r="C13" s="6"/>
      <c r="D13" s="11">
        <f t="shared" ref="D13:L13" si="0">SUM(D4:D12)</f>
        <v>28716.530000000002</v>
      </c>
      <c r="E13" s="11">
        <f t="shared" si="0"/>
        <v>43205.760000000002</v>
      </c>
      <c r="F13" s="11">
        <f t="shared" si="0"/>
        <v>81652.210000000006</v>
      </c>
      <c r="G13" s="11">
        <f t="shared" si="0"/>
        <v>32795.42</v>
      </c>
      <c r="H13" s="11">
        <f t="shared" si="0"/>
        <v>2444</v>
      </c>
      <c r="I13" s="11">
        <f t="shared" si="0"/>
        <v>0</v>
      </c>
      <c r="J13" s="11">
        <f t="shared" si="0"/>
        <v>0</v>
      </c>
      <c r="K13" s="10">
        <f t="shared" si="0"/>
        <v>0</v>
      </c>
      <c r="L13" s="21">
        <f t="shared" si="0"/>
        <v>188813.91999999998</v>
      </c>
    </row>
    <row r="14" spans="2:13" x14ac:dyDescent="0.25">
      <c r="B14" s="13"/>
      <c r="C14" s="4"/>
      <c r="D14" s="9"/>
      <c r="E14" s="9"/>
      <c r="F14" s="9"/>
      <c r="G14" s="9"/>
      <c r="H14" s="9"/>
      <c r="L14" s="10"/>
    </row>
    <row r="15" spans="2:13" x14ac:dyDescent="0.25">
      <c r="B15" s="13"/>
      <c r="C15" s="4"/>
      <c r="D15" s="9"/>
      <c r="E15" s="9"/>
      <c r="F15" s="9"/>
      <c r="G15" s="9"/>
      <c r="H15" s="9"/>
      <c r="L15" s="10"/>
    </row>
    <row r="16" spans="2:13" x14ac:dyDescent="0.25">
      <c r="B16" s="8" t="s">
        <v>2</v>
      </c>
      <c r="C16" s="7" t="s">
        <v>3</v>
      </c>
      <c r="D16" s="8" t="s">
        <v>8</v>
      </c>
      <c r="E16" s="8" t="s">
        <v>7</v>
      </c>
      <c r="F16" s="8" t="s">
        <v>6</v>
      </c>
      <c r="G16" s="8" t="s">
        <v>5</v>
      </c>
      <c r="H16" s="7" t="s">
        <v>4</v>
      </c>
      <c r="I16" s="7" t="s">
        <v>34</v>
      </c>
      <c r="J16" s="7" t="s">
        <v>35</v>
      </c>
      <c r="K16" s="7" t="s">
        <v>36</v>
      </c>
      <c r="L16" s="7" t="s">
        <v>9</v>
      </c>
    </row>
    <row r="17" spans="2:12" x14ac:dyDescent="0.25">
      <c r="B17" s="13"/>
      <c r="C17" s="7" t="s">
        <v>11</v>
      </c>
      <c r="D17" s="11">
        <v>3</v>
      </c>
      <c r="E17" s="11">
        <v>4</v>
      </c>
      <c r="F17" s="11">
        <v>2</v>
      </c>
      <c r="G17" s="11">
        <v>2</v>
      </c>
      <c r="H17" s="11"/>
      <c r="L17" s="20">
        <v>11</v>
      </c>
    </row>
    <row r="18" spans="2:12" x14ac:dyDescent="0.25">
      <c r="B18" s="13"/>
      <c r="C18" s="4" t="s">
        <v>38</v>
      </c>
      <c r="D18" s="9">
        <v>1</v>
      </c>
      <c r="E18" s="9">
        <v>1</v>
      </c>
      <c r="F18" s="9">
        <v>3</v>
      </c>
      <c r="G18" s="9">
        <v>4</v>
      </c>
      <c r="H18" s="9"/>
      <c r="L18" s="10">
        <v>9</v>
      </c>
    </row>
    <row r="19" spans="2:12" x14ac:dyDescent="0.25">
      <c r="B19" s="13"/>
      <c r="C19" s="4" t="s">
        <v>15</v>
      </c>
      <c r="D19" s="9"/>
      <c r="E19" s="9">
        <v>26</v>
      </c>
      <c r="F19" s="9">
        <v>225</v>
      </c>
      <c r="G19" s="9">
        <v>2</v>
      </c>
      <c r="H19" s="9">
        <v>13</v>
      </c>
      <c r="L19" s="10">
        <v>266</v>
      </c>
    </row>
    <row r="20" spans="2:12" x14ac:dyDescent="0.25">
      <c r="B20" s="13"/>
      <c r="C20" s="4" t="s">
        <v>16</v>
      </c>
      <c r="D20" s="9"/>
      <c r="E20" s="9">
        <v>32</v>
      </c>
      <c r="F20" s="9">
        <v>45</v>
      </c>
      <c r="G20" s="9">
        <v>26</v>
      </c>
      <c r="H20" s="9"/>
      <c r="L20" s="10">
        <v>103</v>
      </c>
    </row>
    <row r="21" spans="2:12" x14ac:dyDescent="0.25">
      <c r="B21" s="13"/>
      <c r="C21" s="4" t="s">
        <v>20</v>
      </c>
      <c r="D21" s="9">
        <v>9</v>
      </c>
      <c r="E21" s="9">
        <v>6</v>
      </c>
      <c r="F21" s="9">
        <v>3</v>
      </c>
      <c r="G21" s="9">
        <v>5</v>
      </c>
      <c r="H21" s="9"/>
      <c r="L21" s="10">
        <v>23</v>
      </c>
    </row>
    <row r="22" spans="2:12" x14ac:dyDescent="0.25">
      <c r="B22" s="13"/>
      <c r="C22" s="4" t="s">
        <v>23</v>
      </c>
      <c r="D22" s="9">
        <v>7</v>
      </c>
      <c r="E22" s="9">
        <v>22</v>
      </c>
      <c r="F22" s="9">
        <v>18</v>
      </c>
      <c r="G22" s="9">
        <v>14</v>
      </c>
      <c r="H22" s="9"/>
      <c r="L22" s="10">
        <v>61</v>
      </c>
    </row>
    <row r="23" spans="2:12" x14ac:dyDescent="0.25">
      <c r="B23" s="13"/>
      <c r="C23" s="4" t="s">
        <v>24</v>
      </c>
      <c r="D23" s="9">
        <v>2</v>
      </c>
      <c r="E23" s="9"/>
      <c r="F23" s="9"/>
      <c r="G23" s="9"/>
      <c r="H23" s="9"/>
      <c r="L23" s="10">
        <v>2</v>
      </c>
    </row>
    <row r="24" spans="2:12" x14ac:dyDescent="0.25">
      <c r="B24" s="13"/>
      <c r="C24" s="4" t="s">
        <v>29</v>
      </c>
      <c r="D24" s="9">
        <v>74</v>
      </c>
      <c r="E24" s="9">
        <v>61</v>
      </c>
      <c r="F24" s="9">
        <v>48</v>
      </c>
      <c r="G24" s="9">
        <v>75</v>
      </c>
      <c r="H24" s="9"/>
      <c r="L24" s="10">
        <v>258</v>
      </c>
    </row>
    <row r="25" spans="2:12" x14ac:dyDescent="0.25">
      <c r="B25" s="13"/>
      <c r="C25" s="4" t="s">
        <v>30</v>
      </c>
      <c r="D25" s="9">
        <v>16</v>
      </c>
      <c r="E25" s="9">
        <v>21</v>
      </c>
      <c r="F25" s="9">
        <v>16</v>
      </c>
      <c r="G25" s="9">
        <v>10</v>
      </c>
      <c r="H25" s="9"/>
      <c r="L25" s="10">
        <v>63</v>
      </c>
    </row>
    <row r="26" spans="2:12" x14ac:dyDescent="0.25">
      <c r="B26" s="3" t="s">
        <v>33</v>
      </c>
      <c r="C26" s="6"/>
      <c r="D26" s="11">
        <f>SUM(D17:D25)</f>
        <v>112</v>
      </c>
      <c r="E26" s="11">
        <f>SUM(E17:E25)</f>
        <v>173</v>
      </c>
      <c r="F26" s="11">
        <f>SUM(F17:F25)</f>
        <v>360</v>
      </c>
      <c r="G26" s="11">
        <f>SUM(G18:G25)</f>
        <v>136</v>
      </c>
      <c r="H26" s="11">
        <f>SUM(H17:H25)</f>
        <v>13</v>
      </c>
      <c r="I26" s="11">
        <f>SUM(I17:I25)</f>
        <v>0</v>
      </c>
      <c r="J26" s="11">
        <f>SUM(J17:J25)</f>
        <v>0</v>
      </c>
      <c r="K26" s="11">
        <f>SUM(K17:K25)</f>
        <v>0</v>
      </c>
      <c r="L26" s="10">
        <f>SUM(D26:K26)</f>
        <v>794</v>
      </c>
    </row>
  </sheetData>
  <conditionalFormatting sqref="D17:H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J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K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K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7E53-8981-471F-B65C-BA140B7E389F}">
  <dimension ref="B2:O55"/>
  <sheetViews>
    <sheetView topLeftCell="A38" workbookViewId="0">
      <selection activeCell="H51" sqref="H51"/>
    </sheetView>
  </sheetViews>
  <sheetFormatPr defaultRowHeight="15" x14ac:dyDescent="0.25"/>
  <cols>
    <col min="3" max="3" width="16.7109375" customWidth="1"/>
    <col min="12" max="12" width="11.140625" bestFit="1" customWidth="1"/>
  </cols>
  <sheetData>
    <row r="2" spans="2:15" ht="18.75" x14ac:dyDescent="0.3">
      <c r="B2" s="5" t="s">
        <v>0</v>
      </c>
      <c r="C2" s="12"/>
      <c r="D2" s="4" t="s">
        <v>1</v>
      </c>
      <c r="E2" s="6"/>
      <c r="F2" s="6"/>
      <c r="G2" s="6"/>
      <c r="H2" s="6"/>
      <c r="L2" s="3"/>
      <c r="M2" s="3"/>
      <c r="N2" s="3"/>
      <c r="O2" s="6"/>
    </row>
    <row r="3" spans="2:15" x14ac:dyDescent="0.2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5" x14ac:dyDescent="0.25">
      <c r="B4" s="8" t="s">
        <v>47</v>
      </c>
      <c r="C4" s="7" t="s">
        <v>11</v>
      </c>
      <c r="D4" s="9">
        <v>10378.310000000001</v>
      </c>
      <c r="E4" s="9">
        <v>10941.85</v>
      </c>
      <c r="F4" s="9">
        <v>4118.41</v>
      </c>
      <c r="G4" s="9">
        <v>7694.55</v>
      </c>
      <c r="H4" s="9"/>
      <c r="L4" s="10">
        <f>SUM(D4:K4)</f>
        <v>33133.120000000003</v>
      </c>
    </row>
    <row r="5" spans="2:15" x14ac:dyDescent="0.25">
      <c r="B5" s="13"/>
      <c r="C5" s="4" t="s">
        <v>12</v>
      </c>
      <c r="D5" s="9">
        <v>5812.77</v>
      </c>
      <c r="E5" s="9">
        <v>17324.690000000002</v>
      </c>
      <c r="F5" s="9">
        <v>623.20000000000005</v>
      </c>
      <c r="G5" s="9">
        <v>4699.07</v>
      </c>
      <c r="H5" s="9"/>
      <c r="L5" s="10">
        <f t="shared" ref="L5:L54" si="0">SUM(D5:K5)</f>
        <v>28459.730000000003</v>
      </c>
    </row>
    <row r="6" spans="2:15" x14ac:dyDescent="0.25">
      <c r="B6" s="13"/>
      <c r="C6" s="4" t="s">
        <v>38</v>
      </c>
      <c r="D6" s="9">
        <v>431.4</v>
      </c>
      <c r="E6" s="9"/>
      <c r="F6" s="9">
        <v>374.07</v>
      </c>
      <c r="G6" s="9"/>
      <c r="H6" s="9"/>
      <c r="L6" s="10">
        <f t="shared" si="0"/>
        <v>805.47</v>
      </c>
    </row>
    <row r="7" spans="2:15" x14ac:dyDescent="0.25">
      <c r="B7" s="13"/>
      <c r="C7" s="4" t="s">
        <v>39</v>
      </c>
      <c r="D7" s="9"/>
      <c r="E7" s="9">
        <v>90.72</v>
      </c>
      <c r="F7" s="9">
        <v>170.76</v>
      </c>
      <c r="G7" s="9">
        <v>330</v>
      </c>
      <c r="H7" s="9"/>
      <c r="L7" s="10">
        <f t="shared" si="0"/>
        <v>591.48</v>
      </c>
    </row>
    <row r="8" spans="2:15" x14ac:dyDescent="0.25">
      <c r="B8" s="13"/>
      <c r="C8" s="4" t="s">
        <v>40</v>
      </c>
      <c r="D8" s="9">
        <v>25</v>
      </c>
      <c r="E8" s="9">
        <v>318.01</v>
      </c>
      <c r="F8" s="9">
        <v>1288.9200000000003</v>
      </c>
      <c r="G8" s="9">
        <v>1650.26</v>
      </c>
      <c r="H8" s="9"/>
      <c r="L8" s="10">
        <f t="shared" si="0"/>
        <v>3282.1900000000005</v>
      </c>
    </row>
    <row r="9" spans="2:15" x14ac:dyDescent="0.25">
      <c r="B9" s="13"/>
      <c r="C9" s="4" t="s">
        <v>13</v>
      </c>
      <c r="D9" s="9">
        <v>5705.5899999999983</v>
      </c>
      <c r="E9" s="9">
        <v>18765.890000000007</v>
      </c>
      <c r="F9" s="9">
        <v>933.89</v>
      </c>
      <c r="G9" s="9">
        <v>774.26</v>
      </c>
      <c r="H9" s="9"/>
      <c r="L9" s="10">
        <f t="shared" si="0"/>
        <v>26179.63</v>
      </c>
    </row>
    <row r="10" spans="2:15" x14ac:dyDescent="0.25">
      <c r="B10" s="13"/>
      <c r="C10" s="4" t="s">
        <v>41</v>
      </c>
      <c r="D10" s="9">
        <v>77.099999999999994</v>
      </c>
      <c r="E10" s="9"/>
      <c r="F10" s="9"/>
      <c r="G10" s="9"/>
      <c r="H10" s="9">
        <v>76.760000000000005</v>
      </c>
      <c r="L10" s="10">
        <f t="shared" si="0"/>
        <v>153.86000000000001</v>
      </c>
    </row>
    <row r="11" spans="2:15" x14ac:dyDescent="0.25">
      <c r="B11" s="13"/>
      <c r="C11" s="4" t="s">
        <v>14</v>
      </c>
      <c r="D11" s="9">
        <v>2353.2700000000004</v>
      </c>
      <c r="E11" s="9">
        <v>2782.75</v>
      </c>
      <c r="F11" s="9">
        <v>1020.7700000000002</v>
      </c>
      <c r="G11" s="9">
        <v>2691.6800000000003</v>
      </c>
      <c r="H11" s="9"/>
      <c r="L11" s="10">
        <f t="shared" si="0"/>
        <v>8848.4700000000012</v>
      </c>
    </row>
    <row r="12" spans="2:15" x14ac:dyDescent="0.25">
      <c r="B12" s="13"/>
      <c r="C12" s="4" t="s">
        <v>15</v>
      </c>
      <c r="D12" s="9">
        <v>1150.0999999999999</v>
      </c>
      <c r="E12" s="9"/>
      <c r="F12" s="9">
        <v>65030.920000000013</v>
      </c>
      <c r="G12" s="9">
        <v>95411.01</v>
      </c>
      <c r="H12" s="9"/>
      <c r="L12" s="10">
        <f t="shared" si="0"/>
        <v>161592.03000000003</v>
      </c>
    </row>
    <row r="13" spans="2:15" x14ac:dyDescent="0.25">
      <c r="B13" s="13"/>
      <c r="C13" s="4" t="s">
        <v>42</v>
      </c>
      <c r="D13" s="9">
        <v>36487.269999999997</v>
      </c>
      <c r="E13" s="9">
        <v>484.01</v>
      </c>
      <c r="F13" s="9">
        <v>28566.18</v>
      </c>
      <c r="G13" s="9">
        <v>17312.98</v>
      </c>
      <c r="H13" s="9"/>
      <c r="L13" s="10">
        <f t="shared" si="0"/>
        <v>82850.439999999988</v>
      </c>
    </row>
    <row r="14" spans="2:15" x14ac:dyDescent="0.25">
      <c r="B14" s="13"/>
      <c r="C14" s="4" t="s">
        <v>16</v>
      </c>
      <c r="D14" s="9">
        <v>431.66</v>
      </c>
      <c r="E14" s="9">
        <v>144.77000000000001</v>
      </c>
      <c r="F14" s="9"/>
      <c r="G14" s="9"/>
      <c r="H14" s="9"/>
      <c r="L14" s="10">
        <f t="shared" si="0"/>
        <v>576.43000000000006</v>
      </c>
    </row>
    <row r="15" spans="2:15" x14ac:dyDescent="0.25">
      <c r="B15" s="13"/>
      <c r="C15" s="4" t="s">
        <v>17</v>
      </c>
      <c r="D15" s="9">
        <v>3602.1600000000003</v>
      </c>
      <c r="E15" s="9">
        <v>6355.7899999999991</v>
      </c>
      <c r="F15" s="9"/>
      <c r="G15" s="9">
        <v>1561.19</v>
      </c>
      <c r="H15" s="9"/>
      <c r="L15" s="10">
        <f t="shared" si="0"/>
        <v>11519.14</v>
      </c>
    </row>
    <row r="16" spans="2:15" x14ac:dyDescent="0.25">
      <c r="B16" s="13"/>
      <c r="C16" s="4" t="s">
        <v>19</v>
      </c>
      <c r="D16" s="9">
        <v>2881.3300000000004</v>
      </c>
      <c r="E16" s="9">
        <v>5138.0499999999993</v>
      </c>
      <c r="F16" s="9">
        <v>159.22999999999999</v>
      </c>
      <c r="G16" s="9">
        <v>859.57999999999993</v>
      </c>
      <c r="H16" s="9"/>
      <c r="L16" s="10">
        <f t="shared" si="0"/>
        <v>9038.1899999999987</v>
      </c>
    </row>
    <row r="17" spans="2:12" x14ac:dyDescent="0.25">
      <c r="B17" s="13"/>
      <c r="C17" s="4" t="s">
        <v>20</v>
      </c>
      <c r="D17" s="9">
        <v>617.90000000000009</v>
      </c>
      <c r="E17" s="9">
        <v>716.37</v>
      </c>
      <c r="F17" s="9">
        <v>2402.42</v>
      </c>
      <c r="G17" s="9">
        <v>1075.8</v>
      </c>
      <c r="H17" s="9"/>
      <c r="L17" s="10">
        <f t="shared" si="0"/>
        <v>4812.49</v>
      </c>
    </row>
    <row r="18" spans="2:12" x14ac:dyDescent="0.25">
      <c r="B18" s="13"/>
      <c r="C18" s="4" t="s">
        <v>21</v>
      </c>
      <c r="D18" s="9">
        <v>4785.6499999999996</v>
      </c>
      <c r="E18" s="9">
        <v>9147.51</v>
      </c>
      <c r="F18" s="9">
        <v>940.72</v>
      </c>
      <c r="G18" s="9">
        <v>5322.75</v>
      </c>
      <c r="H18" s="9">
        <v>4224.05</v>
      </c>
      <c r="L18" s="10">
        <f t="shared" si="0"/>
        <v>24420.679999999997</v>
      </c>
    </row>
    <row r="19" spans="2:12" x14ac:dyDescent="0.25">
      <c r="B19" s="13"/>
      <c r="C19" s="4" t="s">
        <v>22</v>
      </c>
      <c r="D19" s="9">
        <v>92961.409999999974</v>
      </c>
      <c r="E19" s="9"/>
      <c r="F19" s="9">
        <v>7284.21</v>
      </c>
      <c r="G19" s="9">
        <v>330</v>
      </c>
      <c r="H19" s="9">
        <v>20700.009999999998</v>
      </c>
      <c r="L19" s="10">
        <f t="shared" si="0"/>
        <v>121275.62999999998</v>
      </c>
    </row>
    <row r="20" spans="2:12" x14ac:dyDescent="0.25">
      <c r="B20" s="13"/>
      <c r="C20" s="4" t="s">
        <v>23</v>
      </c>
      <c r="D20" s="9">
        <v>7326.42</v>
      </c>
      <c r="E20" s="9">
        <v>17222.340000000004</v>
      </c>
      <c r="F20" s="9">
        <v>18021.7</v>
      </c>
      <c r="G20" s="9">
        <v>12596.39</v>
      </c>
      <c r="H20" s="9"/>
      <c r="L20" s="10">
        <f t="shared" si="0"/>
        <v>55166.850000000006</v>
      </c>
    </row>
    <row r="21" spans="2:12" x14ac:dyDescent="0.25">
      <c r="B21" s="13"/>
      <c r="C21" s="4" t="s">
        <v>24</v>
      </c>
      <c r="D21" s="9">
        <v>5974.5199999999986</v>
      </c>
      <c r="E21" s="9">
        <v>1683.5</v>
      </c>
      <c r="F21" s="9">
        <v>8008.04</v>
      </c>
      <c r="G21" s="9">
        <v>330.09</v>
      </c>
      <c r="H21" s="9"/>
      <c r="L21" s="10">
        <f t="shared" si="0"/>
        <v>15996.149999999998</v>
      </c>
    </row>
    <row r="22" spans="2:12" x14ac:dyDescent="0.25">
      <c r="B22" s="13"/>
      <c r="C22" s="4" t="s">
        <v>25</v>
      </c>
      <c r="D22" s="9">
        <v>983.03000000000009</v>
      </c>
      <c r="E22" s="9">
        <v>21961.54</v>
      </c>
      <c r="F22" s="9">
        <v>1221.8699999999999</v>
      </c>
      <c r="G22" s="9">
        <v>10341.189999999997</v>
      </c>
      <c r="H22" s="9">
        <v>2184</v>
      </c>
      <c r="L22" s="10">
        <f t="shared" si="0"/>
        <v>36691.629999999997</v>
      </c>
    </row>
    <row r="23" spans="2:12" x14ac:dyDescent="0.25">
      <c r="B23" s="13"/>
      <c r="C23" s="4" t="s">
        <v>28</v>
      </c>
      <c r="D23" s="9">
        <v>1783.71</v>
      </c>
      <c r="E23" s="9">
        <v>2447.1</v>
      </c>
      <c r="F23" s="9">
        <v>410.42999999999995</v>
      </c>
      <c r="G23" s="9">
        <v>700.97</v>
      </c>
      <c r="H23" s="9"/>
      <c r="L23" s="10">
        <f t="shared" si="0"/>
        <v>5342.21</v>
      </c>
    </row>
    <row r="24" spans="2:12" x14ac:dyDescent="0.25">
      <c r="B24" s="13"/>
      <c r="C24" s="4" t="s">
        <v>29</v>
      </c>
      <c r="D24" s="9">
        <v>25289.499999999989</v>
      </c>
      <c r="E24" s="9">
        <v>38287.64</v>
      </c>
      <c r="F24" s="9">
        <v>8320.3499999999985</v>
      </c>
      <c r="G24" s="9">
        <v>40492.749999999985</v>
      </c>
      <c r="H24" s="9"/>
      <c r="L24" s="10">
        <f t="shared" si="0"/>
        <v>112390.23999999998</v>
      </c>
    </row>
    <row r="25" spans="2:12" x14ac:dyDescent="0.25">
      <c r="B25" s="13"/>
      <c r="C25" s="4" t="s">
        <v>43</v>
      </c>
      <c r="D25" s="9">
        <v>250.3</v>
      </c>
      <c r="E25" s="9">
        <v>625.79999999999995</v>
      </c>
      <c r="F25" s="9">
        <v>197.52</v>
      </c>
      <c r="G25" s="9">
        <v>129.61000000000001</v>
      </c>
      <c r="H25" s="9"/>
      <c r="L25" s="10">
        <f t="shared" si="0"/>
        <v>1203.23</v>
      </c>
    </row>
    <row r="26" spans="2:12" x14ac:dyDescent="0.25">
      <c r="B26" s="13"/>
      <c r="C26" s="4" t="s">
        <v>30</v>
      </c>
      <c r="D26" s="9">
        <v>13779.570000000002</v>
      </c>
      <c r="E26" s="9">
        <v>14127.61</v>
      </c>
      <c r="F26" s="9">
        <v>1916.73</v>
      </c>
      <c r="G26" s="9">
        <v>2431.61</v>
      </c>
      <c r="H26" s="9"/>
      <c r="L26" s="10">
        <f t="shared" si="0"/>
        <v>32255.52</v>
      </c>
    </row>
    <row r="27" spans="2:12" x14ac:dyDescent="0.25">
      <c r="B27" s="13"/>
      <c r="C27" s="4" t="s">
        <v>31</v>
      </c>
      <c r="D27" s="9">
        <v>968.55</v>
      </c>
      <c r="E27" s="9">
        <v>1209.58</v>
      </c>
      <c r="F27" s="9"/>
      <c r="G27" s="9"/>
      <c r="H27" s="9"/>
      <c r="L27" s="10">
        <f t="shared" si="0"/>
        <v>2178.13</v>
      </c>
    </row>
    <row r="28" spans="2:12" x14ac:dyDescent="0.25">
      <c r="B28" s="3" t="s">
        <v>33</v>
      </c>
      <c r="C28" s="6"/>
      <c r="D28" s="11">
        <f t="shared" ref="D28:L28" si="1">SUM(D4:D27)</f>
        <v>224056.51999999996</v>
      </c>
      <c r="E28" s="11">
        <f t="shared" si="1"/>
        <v>169775.52</v>
      </c>
      <c r="F28" s="11">
        <f t="shared" si="1"/>
        <v>151010.34000000003</v>
      </c>
      <c r="G28" s="11">
        <f t="shared" si="1"/>
        <v>206735.73999999993</v>
      </c>
      <c r="H28" s="11">
        <f t="shared" si="1"/>
        <v>27184.82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 t="shared" si="1"/>
        <v>778762.94</v>
      </c>
    </row>
    <row r="29" spans="2:12" x14ac:dyDescent="0.25">
      <c r="B29" s="13"/>
      <c r="C29" s="4"/>
      <c r="D29" s="9"/>
      <c r="E29" s="9"/>
      <c r="F29" s="9"/>
      <c r="G29" s="9"/>
      <c r="H29" s="9"/>
      <c r="L29" s="10"/>
    </row>
    <row r="30" spans="2:12" x14ac:dyDescent="0.25">
      <c r="B30" s="8" t="s">
        <v>2</v>
      </c>
      <c r="C30" s="7" t="s">
        <v>3</v>
      </c>
      <c r="D30" s="8" t="s">
        <v>8</v>
      </c>
      <c r="E30" s="8" t="s">
        <v>7</v>
      </c>
      <c r="F30" s="8" t="s">
        <v>6</v>
      </c>
      <c r="G30" s="8" t="s">
        <v>5</v>
      </c>
      <c r="H30" s="7" t="s">
        <v>4</v>
      </c>
      <c r="I30" s="7" t="s">
        <v>34</v>
      </c>
      <c r="J30" s="7" t="s">
        <v>35</v>
      </c>
      <c r="K30" s="7" t="s">
        <v>36</v>
      </c>
      <c r="L30" s="7" t="s">
        <v>9</v>
      </c>
    </row>
    <row r="31" spans="2:12" x14ac:dyDescent="0.25">
      <c r="B31" s="13"/>
      <c r="C31" s="7" t="s">
        <v>11</v>
      </c>
      <c r="D31" s="11">
        <v>15</v>
      </c>
      <c r="E31" s="11">
        <v>17</v>
      </c>
      <c r="F31" s="11">
        <v>7</v>
      </c>
      <c r="G31" s="11">
        <v>11</v>
      </c>
      <c r="H31" s="11"/>
      <c r="L31" s="10">
        <f t="shared" si="0"/>
        <v>50</v>
      </c>
    </row>
    <row r="32" spans="2:12" x14ac:dyDescent="0.25">
      <c r="B32" s="13"/>
      <c r="C32" s="4" t="s">
        <v>12</v>
      </c>
      <c r="D32" s="9">
        <v>16</v>
      </c>
      <c r="E32" s="9">
        <v>54</v>
      </c>
      <c r="F32" s="9">
        <v>2</v>
      </c>
      <c r="G32" s="9">
        <v>12</v>
      </c>
      <c r="H32" s="9"/>
      <c r="L32" s="10">
        <f t="shared" si="0"/>
        <v>84</v>
      </c>
    </row>
    <row r="33" spans="2:12" x14ac:dyDescent="0.25">
      <c r="B33" s="13"/>
      <c r="C33" s="4" t="s">
        <v>38</v>
      </c>
      <c r="D33" s="9">
        <v>2</v>
      </c>
      <c r="E33" s="9"/>
      <c r="F33" s="9">
        <v>2</v>
      </c>
      <c r="G33" s="9"/>
      <c r="H33" s="9"/>
      <c r="L33" s="10">
        <f t="shared" si="0"/>
        <v>4</v>
      </c>
    </row>
    <row r="34" spans="2:12" x14ac:dyDescent="0.25">
      <c r="B34" s="13"/>
      <c r="C34" s="4" t="s">
        <v>39</v>
      </c>
      <c r="D34" s="9"/>
      <c r="E34" s="9">
        <v>1</v>
      </c>
      <c r="F34" s="9">
        <v>2</v>
      </c>
      <c r="G34" s="9">
        <v>3</v>
      </c>
      <c r="H34" s="9"/>
      <c r="L34" s="10">
        <f t="shared" si="0"/>
        <v>6</v>
      </c>
    </row>
    <row r="35" spans="2:12" x14ac:dyDescent="0.25">
      <c r="B35" s="13"/>
      <c r="C35" s="4" t="s">
        <v>40</v>
      </c>
      <c r="D35" s="9">
        <v>1</v>
      </c>
      <c r="E35" s="9">
        <v>15</v>
      </c>
      <c r="F35" s="9">
        <v>65</v>
      </c>
      <c r="G35" s="9">
        <v>66</v>
      </c>
      <c r="H35" s="9"/>
      <c r="L35" s="10">
        <f t="shared" si="0"/>
        <v>147</v>
      </c>
    </row>
    <row r="36" spans="2:12" x14ac:dyDescent="0.25">
      <c r="B36" s="13"/>
      <c r="C36" s="4" t="s">
        <v>13</v>
      </c>
      <c r="D36" s="9">
        <v>29</v>
      </c>
      <c r="E36" s="9">
        <v>116</v>
      </c>
      <c r="F36" s="9">
        <v>6</v>
      </c>
      <c r="G36" s="9">
        <v>4</v>
      </c>
      <c r="H36" s="9"/>
      <c r="L36" s="10">
        <f t="shared" si="0"/>
        <v>155</v>
      </c>
    </row>
    <row r="37" spans="2:12" x14ac:dyDescent="0.25">
      <c r="B37" s="13"/>
      <c r="C37" s="4" t="s">
        <v>41</v>
      </c>
      <c r="D37" s="9">
        <v>1</v>
      </c>
      <c r="E37" s="9"/>
      <c r="F37" s="9"/>
      <c r="G37" s="9"/>
      <c r="H37" s="9">
        <v>1</v>
      </c>
      <c r="L37" s="10">
        <f t="shared" si="0"/>
        <v>2</v>
      </c>
    </row>
    <row r="38" spans="2:12" x14ac:dyDescent="0.25">
      <c r="B38" s="13"/>
      <c r="C38" s="4" t="s">
        <v>14</v>
      </c>
      <c r="D38" s="9">
        <v>10</v>
      </c>
      <c r="E38" s="9">
        <v>12</v>
      </c>
      <c r="F38" s="9">
        <v>5</v>
      </c>
      <c r="G38" s="9">
        <v>11</v>
      </c>
      <c r="H38" s="9"/>
      <c r="L38" s="10">
        <f t="shared" si="0"/>
        <v>38</v>
      </c>
    </row>
    <row r="39" spans="2:12" x14ac:dyDescent="0.25">
      <c r="B39" s="13"/>
      <c r="C39" s="4" t="s">
        <v>15</v>
      </c>
      <c r="D39" s="9">
        <v>5</v>
      </c>
      <c r="E39" s="9"/>
      <c r="F39" s="9">
        <v>337</v>
      </c>
      <c r="G39" s="9">
        <v>406</v>
      </c>
      <c r="H39" s="9"/>
      <c r="L39" s="10">
        <f t="shared" si="0"/>
        <v>748</v>
      </c>
    </row>
    <row r="40" spans="2:12" x14ac:dyDescent="0.25">
      <c r="B40" s="13"/>
      <c r="C40" s="4" t="s">
        <v>42</v>
      </c>
      <c r="D40" s="9">
        <v>74</v>
      </c>
      <c r="E40" s="9">
        <v>1</v>
      </c>
      <c r="F40" s="9">
        <v>75</v>
      </c>
      <c r="G40" s="9">
        <v>35</v>
      </c>
      <c r="H40" s="9"/>
      <c r="L40" s="10">
        <f t="shared" si="0"/>
        <v>185</v>
      </c>
    </row>
    <row r="41" spans="2:12" x14ac:dyDescent="0.25">
      <c r="B41" s="13"/>
      <c r="C41" s="4" t="s">
        <v>16</v>
      </c>
      <c r="D41" s="9">
        <v>3</v>
      </c>
      <c r="E41" s="9">
        <v>1</v>
      </c>
      <c r="F41" s="9"/>
      <c r="G41" s="9"/>
      <c r="H41" s="9"/>
      <c r="L41" s="10">
        <f t="shared" si="0"/>
        <v>4</v>
      </c>
    </row>
    <row r="42" spans="2:12" x14ac:dyDescent="0.25">
      <c r="B42" s="13"/>
      <c r="C42" s="4" t="s">
        <v>17</v>
      </c>
      <c r="D42" s="9">
        <v>17</v>
      </c>
      <c r="E42" s="9">
        <v>36</v>
      </c>
      <c r="F42" s="9"/>
      <c r="G42" s="9">
        <v>7</v>
      </c>
      <c r="H42" s="9"/>
      <c r="L42" s="10">
        <f t="shared" si="0"/>
        <v>60</v>
      </c>
    </row>
    <row r="43" spans="2:12" x14ac:dyDescent="0.25">
      <c r="B43" s="13"/>
      <c r="C43" s="4" t="s">
        <v>19</v>
      </c>
      <c r="D43" s="9">
        <v>14</v>
      </c>
      <c r="E43" s="9">
        <v>30</v>
      </c>
      <c r="F43" s="9">
        <v>1</v>
      </c>
      <c r="G43" s="9">
        <v>4</v>
      </c>
      <c r="H43" s="9"/>
      <c r="L43" s="10">
        <f t="shared" si="0"/>
        <v>49</v>
      </c>
    </row>
    <row r="44" spans="2:12" x14ac:dyDescent="0.25">
      <c r="B44" s="13"/>
      <c r="C44" s="4" t="s">
        <v>20</v>
      </c>
      <c r="D44" s="9">
        <v>3</v>
      </c>
      <c r="E44" s="9">
        <v>4</v>
      </c>
      <c r="F44" s="9">
        <v>14</v>
      </c>
      <c r="G44" s="9">
        <v>5</v>
      </c>
      <c r="H44" s="9"/>
      <c r="L44" s="10">
        <f t="shared" si="0"/>
        <v>26</v>
      </c>
    </row>
    <row r="45" spans="2:12" x14ac:dyDescent="0.25">
      <c r="B45" s="13"/>
      <c r="C45" s="4" t="s">
        <v>21</v>
      </c>
      <c r="D45" s="9">
        <v>16</v>
      </c>
      <c r="E45" s="9">
        <v>36</v>
      </c>
      <c r="F45" s="9">
        <v>4</v>
      </c>
      <c r="G45" s="9">
        <v>17</v>
      </c>
      <c r="H45" s="9">
        <v>14</v>
      </c>
      <c r="L45" s="10">
        <f t="shared" si="0"/>
        <v>87</v>
      </c>
    </row>
    <row r="46" spans="2:12" x14ac:dyDescent="0.25">
      <c r="B46" s="13"/>
      <c r="C46" s="4" t="s">
        <v>22</v>
      </c>
      <c r="D46" s="9">
        <v>299</v>
      </c>
      <c r="E46" s="9"/>
      <c r="F46" s="9">
        <v>27</v>
      </c>
      <c r="G46" s="9">
        <v>1</v>
      </c>
      <c r="H46" s="9">
        <v>60</v>
      </c>
      <c r="L46" s="10">
        <f t="shared" si="0"/>
        <v>387</v>
      </c>
    </row>
    <row r="47" spans="2:12" x14ac:dyDescent="0.25">
      <c r="B47" s="13"/>
      <c r="C47" s="4" t="s">
        <v>23</v>
      </c>
      <c r="D47" s="9">
        <v>13</v>
      </c>
      <c r="E47" s="9">
        <v>32</v>
      </c>
      <c r="F47" s="9">
        <v>41</v>
      </c>
      <c r="G47" s="9">
        <v>22</v>
      </c>
      <c r="H47" s="9"/>
      <c r="L47" s="10">
        <f t="shared" si="0"/>
        <v>108</v>
      </c>
    </row>
    <row r="48" spans="2:12" x14ac:dyDescent="0.25">
      <c r="B48" s="13"/>
      <c r="C48" s="4" t="s">
        <v>24</v>
      </c>
      <c r="D48" s="9">
        <v>18</v>
      </c>
      <c r="E48" s="9">
        <v>5</v>
      </c>
      <c r="F48" s="9">
        <v>30</v>
      </c>
      <c r="G48" s="9">
        <v>1</v>
      </c>
      <c r="H48" s="9"/>
      <c r="L48" s="10">
        <f t="shared" si="0"/>
        <v>54</v>
      </c>
    </row>
    <row r="49" spans="2:12" x14ac:dyDescent="0.25">
      <c r="B49" s="13"/>
      <c r="C49" s="4" t="s">
        <v>25</v>
      </c>
      <c r="D49" s="9">
        <v>5</v>
      </c>
      <c r="E49" s="9">
        <v>133</v>
      </c>
      <c r="F49" s="9">
        <v>8</v>
      </c>
      <c r="G49" s="9">
        <v>50</v>
      </c>
      <c r="H49" s="9">
        <v>13</v>
      </c>
      <c r="L49" s="10">
        <f t="shared" si="0"/>
        <v>209</v>
      </c>
    </row>
    <row r="50" spans="2:12" x14ac:dyDescent="0.25">
      <c r="B50" s="13"/>
      <c r="C50" s="4" t="s">
        <v>28</v>
      </c>
      <c r="D50" s="9">
        <v>8</v>
      </c>
      <c r="E50" s="9">
        <v>12</v>
      </c>
      <c r="F50" s="9">
        <v>3</v>
      </c>
      <c r="G50" s="9">
        <v>3</v>
      </c>
      <c r="H50" s="9"/>
      <c r="L50" s="10">
        <f t="shared" si="0"/>
        <v>26</v>
      </c>
    </row>
    <row r="51" spans="2:12" x14ac:dyDescent="0.25">
      <c r="B51" s="13"/>
      <c r="C51" s="4" t="s">
        <v>29</v>
      </c>
      <c r="D51" s="9">
        <v>111</v>
      </c>
      <c r="E51" s="9">
        <v>193</v>
      </c>
      <c r="F51" s="9">
        <v>42</v>
      </c>
      <c r="G51" s="9">
        <v>171</v>
      </c>
      <c r="H51" s="9"/>
      <c r="L51" s="10">
        <f t="shared" si="0"/>
        <v>517</v>
      </c>
    </row>
    <row r="52" spans="2:12" x14ac:dyDescent="0.25">
      <c r="B52" s="13"/>
      <c r="C52" s="4" t="s">
        <v>43</v>
      </c>
      <c r="D52" s="9">
        <v>2</v>
      </c>
      <c r="E52" s="9">
        <v>5</v>
      </c>
      <c r="F52" s="9">
        <v>2</v>
      </c>
      <c r="G52" s="9">
        <v>1</v>
      </c>
      <c r="H52" s="9"/>
      <c r="L52" s="10">
        <f t="shared" si="0"/>
        <v>10</v>
      </c>
    </row>
    <row r="53" spans="2:12" x14ac:dyDescent="0.25">
      <c r="B53" s="13"/>
      <c r="C53" s="4" t="s">
        <v>30</v>
      </c>
      <c r="D53" s="9">
        <v>66</v>
      </c>
      <c r="E53" s="9">
        <v>80</v>
      </c>
      <c r="F53" s="9">
        <v>11</v>
      </c>
      <c r="G53" s="9">
        <v>11</v>
      </c>
      <c r="H53" s="9"/>
      <c r="L53" s="10">
        <f t="shared" si="0"/>
        <v>168</v>
      </c>
    </row>
    <row r="54" spans="2:12" x14ac:dyDescent="0.25">
      <c r="B54" s="13"/>
      <c r="C54" s="4" t="s">
        <v>31</v>
      </c>
      <c r="D54" s="9">
        <v>15</v>
      </c>
      <c r="E54" s="9">
        <v>20</v>
      </c>
      <c r="F54" s="9"/>
      <c r="G54" s="9"/>
      <c r="H54" s="9"/>
      <c r="L54" s="10">
        <f t="shared" si="0"/>
        <v>35</v>
      </c>
    </row>
    <row r="55" spans="2:12" x14ac:dyDescent="0.25">
      <c r="B55" s="3" t="s">
        <v>33</v>
      </c>
      <c r="C55" s="6"/>
      <c r="D55" s="11">
        <f t="shared" ref="D55:K55" si="2">SUM(D31:D54)</f>
        <v>743</v>
      </c>
      <c r="E55" s="11">
        <f t="shared" si="2"/>
        <v>803</v>
      </c>
      <c r="F55" s="11">
        <f t="shared" si="2"/>
        <v>684</v>
      </c>
      <c r="G55" s="11">
        <f t="shared" si="2"/>
        <v>841</v>
      </c>
      <c r="H55" s="11">
        <f t="shared" si="2"/>
        <v>88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0">
        <f>SUM(D55:K55)</f>
        <v>3159</v>
      </c>
    </row>
  </sheetData>
  <conditionalFormatting sqref="D31:H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020D-89D6-40CC-8C2B-221EBCC5D055}">
  <dimension ref="B2:L39"/>
  <sheetViews>
    <sheetView topLeftCell="A23" workbookViewId="0">
      <selection activeCell="A39" sqref="A39:XFD39"/>
    </sheetView>
  </sheetViews>
  <sheetFormatPr defaultRowHeight="15" x14ac:dyDescent="0.25"/>
  <cols>
    <col min="2" max="2" width="11.7109375" customWidth="1"/>
    <col min="3" max="3" width="14.28515625" customWidth="1"/>
    <col min="12" max="12" width="11.140625" bestFit="1" customWidth="1"/>
  </cols>
  <sheetData>
    <row r="2" spans="2:12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51</v>
      </c>
      <c r="C4" s="7" t="s">
        <v>39</v>
      </c>
      <c r="D4" s="9"/>
      <c r="E4" s="9">
        <v>1099.96</v>
      </c>
      <c r="F4" s="9"/>
      <c r="G4" s="9"/>
      <c r="L4" s="10">
        <f>SUM(D4:K4)</f>
        <v>1099.96</v>
      </c>
    </row>
    <row r="5" spans="2:12" x14ac:dyDescent="0.25">
      <c r="B5" s="13"/>
      <c r="C5" s="4" t="s">
        <v>40</v>
      </c>
      <c r="D5" s="9"/>
      <c r="E5" s="9">
        <v>249.95</v>
      </c>
      <c r="F5" s="9"/>
      <c r="G5" s="9">
        <v>249.95</v>
      </c>
      <c r="L5" s="10">
        <f t="shared" ref="L5:L19" si="0">SUM(D5:K5)</f>
        <v>499.9</v>
      </c>
    </row>
    <row r="6" spans="2:12" x14ac:dyDescent="0.25">
      <c r="B6" s="13"/>
      <c r="C6" s="4" t="s">
        <v>13</v>
      </c>
      <c r="D6" s="9">
        <v>780.51</v>
      </c>
      <c r="E6" s="9"/>
      <c r="F6" s="9"/>
      <c r="G6" s="9">
        <v>-387.19</v>
      </c>
      <c r="L6" s="10">
        <f t="shared" si="0"/>
        <v>393.32</v>
      </c>
    </row>
    <row r="7" spans="2:12" x14ac:dyDescent="0.25">
      <c r="B7" s="13"/>
      <c r="C7" s="4" t="s">
        <v>41</v>
      </c>
      <c r="D7" s="9">
        <v>-318.49</v>
      </c>
      <c r="E7" s="9"/>
      <c r="F7" s="9"/>
      <c r="G7" s="9"/>
      <c r="L7" s="10">
        <f t="shared" si="0"/>
        <v>-318.49</v>
      </c>
    </row>
    <row r="8" spans="2:12" x14ac:dyDescent="0.25">
      <c r="B8" s="13"/>
      <c r="C8" s="4" t="s">
        <v>15</v>
      </c>
      <c r="D8" s="9">
        <v>1100.01</v>
      </c>
      <c r="E8" s="9"/>
      <c r="F8" s="9">
        <v>4700.08</v>
      </c>
      <c r="G8" s="9">
        <v>1175.02</v>
      </c>
      <c r="L8" s="10">
        <f t="shared" si="0"/>
        <v>6975.1100000000006</v>
      </c>
    </row>
    <row r="9" spans="2:12" x14ac:dyDescent="0.25">
      <c r="B9" s="13"/>
      <c r="C9" s="4" t="s">
        <v>42</v>
      </c>
      <c r="D9" s="9">
        <v>12100.09</v>
      </c>
      <c r="E9" s="9"/>
      <c r="F9" s="9">
        <v>4950.03</v>
      </c>
      <c r="G9" s="9">
        <v>2475.02</v>
      </c>
      <c r="L9" s="10">
        <f t="shared" si="0"/>
        <v>19525.14</v>
      </c>
    </row>
    <row r="10" spans="2:12" x14ac:dyDescent="0.25">
      <c r="B10" s="13"/>
      <c r="C10" s="4" t="s">
        <v>16</v>
      </c>
      <c r="D10" s="9">
        <v>870.01</v>
      </c>
      <c r="E10" s="9">
        <v>1449.96</v>
      </c>
      <c r="F10" s="9">
        <v>1793.06</v>
      </c>
      <c r="G10" s="9">
        <v>1435.15</v>
      </c>
      <c r="L10" s="10">
        <f t="shared" si="0"/>
        <v>5548.18</v>
      </c>
    </row>
    <row r="11" spans="2:12" x14ac:dyDescent="0.25">
      <c r="B11" s="13"/>
      <c r="C11" s="4" t="s">
        <v>20</v>
      </c>
      <c r="D11" s="9"/>
      <c r="E11" s="9">
        <v>-187.45</v>
      </c>
      <c r="F11" s="9">
        <v>450</v>
      </c>
      <c r="G11" s="9"/>
      <c r="L11" s="10">
        <f t="shared" si="0"/>
        <v>262.55</v>
      </c>
    </row>
    <row r="12" spans="2:12" x14ac:dyDescent="0.25">
      <c r="B12" s="13"/>
      <c r="C12" s="4" t="s">
        <v>22</v>
      </c>
      <c r="D12" s="9">
        <v>21449.91</v>
      </c>
      <c r="E12" s="9"/>
      <c r="F12" s="9"/>
      <c r="G12" s="9"/>
      <c r="L12" s="10">
        <f t="shared" si="0"/>
        <v>21449.91</v>
      </c>
    </row>
    <row r="13" spans="2:12" x14ac:dyDescent="0.25">
      <c r="B13" s="13"/>
      <c r="C13" s="4" t="s">
        <v>25</v>
      </c>
      <c r="D13" s="9"/>
      <c r="E13" s="9">
        <v>-178.76</v>
      </c>
      <c r="F13" s="9"/>
      <c r="G13" s="9"/>
      <c r="L13" s="10">
        <f t="shared" si="0"/>
        <v>-178.76</v>
      </c>
    </row>
    <row r="14" spans="2:12" x14ac:dyDescent="0.25">
      <c r="B14" s="13"/>
      <c r="C14" s="4" t="s">
        <v>26</v>
      </c>
      <c r="D14" s="9">
        <v>637.53</v>
      </c>
      <c r="E14" s="9">
        <v>425</v>
      </c>
      <c r="F14" s="9">
        <v>2410.2000000000003</v>
      </c>
      <c r="G14" s="9">
        <v>1398.97</v>
      </c>
      <c r="L14" s="10">
        <f t="shared" si="0"/>
        <v>4871.7000000000007</v>
      </c>
    </row>
    <row r="15" spans="2:12" x14ac:dyDescent="0.25">
      <c r="B15" s="13"/>
      <c r="C15" s="4" t="s">
        <v>27</v>
      </c>
      <c r="D15" s="9">
        <v>892.57</v>
      </c>
      <c r="E15" s="9"/>
      <c r="F15" s="9">
        <v>1560.08</v>
      </c>
      <c r="G15" s="9">
        <v>1521.92</v>
      </c>
      <c r="L15" s="10">
        <f t="shared" si="0"/>
        <v>3974.57</v>
      </c>
    </row>
    <row r="16" spans="2:12" x14ac:dyDescent="0.25">
      <c r="B16" s="13"/>
      <c r="C16" s="4" t="s">
        <v>28</v>
      </c>
      <c r="D16" s="9">
        <v>-402.3</v>
      </c>
      <c r="E16" s="9">
        <v>-221.3</v>
      </c>
      <c r="F16" s="9">
        <v>432.01</v>
      </c>
      <c r="G16" s="9">
        <v>31.110000000000014</v>
      </c>
      <c r="L16" s="10">
        <f t="shared" si="0"/>
        <v>-160.48000000000002</v>
      </c>
    </row>
    <row r="17" spans="2:12" x14ac:dyDescent="0.25">
      <c r="B17" s="13"/>
      <c r="C17" s="4" t="s">
        <v>29</v>
      </c>
      <c r="D17" s="9">
        <v>4482.0200000000004</v>
      </c>
      <c r="E17" s="9">
        <v>1120.51</v>
      </c>
      <c r="F17" s="9">
        <v>4999.8999999999996</v>
      </c>
      <c r="G17" s="9">
        <v>1249.97</v>
      </c>
      <c r="L17" s="10">
        <f t="shared" si="0"/>
        <v>11852.4</v>
      </c>
    </row>
    <row r="18" spans="2:12" x14ac:dyDescent="0.25">
      <c r="B18" s="13"/>
      <c r="C18" s="4" t="s">
        <v>31</v>
      </c>
      <c r="D18" s="9">
        <v>1914.18</v>
      </c>
      <c r="E18" s="9"/>
      <c r="F18" s="9">
        <v>3150.02</v>
      </c>
      <c r="G18" s="9">
        <v>4131.53</v>
      </c>
      <c r="L18" s="10">
        <f t="shared" si="0"/>
        <v>9195.73</v>
      </c>
    </row>
    <row r="19" spans="2:12" x14ac:dyDescent="0.25">
      <c r="B19" s="13"/>
      <c r="C19" s="4" t="s">
        <v>32</v>
      </c>
      <c r="D19" s="9">
        <v>1072.8</v>
      </c>
      <c r="E19" s="9"/>
      <c r="F19" s="9"/>
      <c r="G19" s="9"/>
      <c r="L19" s="10">
        <f t="shared" si="0"/>
        <v>1072.8</v>
      </c>
    </row>
    <row r="20" spans="2:12" x14ac:dyDescent="0.25">
      <c r="B20" s="3" t="s">
        <v>33</v>
      </c>
      <c r="C20" s="6"/>
      <c r="D20" s="11">
        <f>SUM(D4:D19)</f>
        <v>44578.840000000004</v>
      </c>
      <c r="E20" s="11">
        <f>SUM(E4:E19)</f>
        <v>3757.87</v>
      </c>
      <c r="F20" s="11">
        <f t="shared" ref="F20:K20" si="1">SUM(F4:F19)</f>
        <v>24445.38</v>
      </c>
      <c r="G20" s="11">
        <f t="shared" si="1"/>
        <v>13281.45</v>
      </c>
      <c r="H20" s="11">
        <f t="shared" si="1"/>
        <v>0</v>
      </c>
      <c r="I20" s="11">
        <f t="shared" si="1"/>
        <v>0</v>
      </c>
      <c r="J20" s="11">
        <f t="shared" si="1"/>
        <v>0</v>
      </c>
      <c r="K20" s="11">
        <f t="shared" si="1"/>
        <v>0</v>
      </c>
      <c r="L20" s="10">
        <f>SUM(D20:K20)</f>
        <v>86063.540000000008</v>
      </c>
    </row>
    <row r="21" spans="2:12" x14ac:dyDescent="0.25">
      <c r="B21" s="13"/>
      <c r="C21" s="4"/>
      <c r="D21" s="9"/>
      <c r="E21" s="9"/>
      <c r="F21" s="9"/>
      <c r="G21" s="9"/>
      <c r="L21" s="10"/>
    </row>
    <row r="22" spans="2:12" x14ac:dyDescent="0.25">
      <c r="B22" s="8" t="s">
        <v>2</v>
      </c>
      <c r="C22" s="30" t="s">
        <v>3</v>
      </c>
      <c r="D22" s="31" t="s">
        <v>8</v>
      </c>
      <c r="E22" s="31" t="s">
        <v>7</v>
      </c>
      <c r="F22" s="31" t="s">
        <v>6</v>
      </c>
      <c r="G22" s="31" t="s">
        <v>5</v>
      </c>
      <c r="H22" s="30" t="s">
        <v>4</v>
      </c>
      <c r="I22" s="30" t="s">
        <v>34</v>
      </c>
      <c r="J22" s="30" t="s">
        <v>35</v>
      </c>
      <c r="K22" s="30" t="s">
        <v>36</v>
      </c>
      <c r="L22" s="30" t="s">
        <v>9</v>
      </c>
    </row>
    <row r="23" spans="2:12" x14ac:dyDescent="0.25">
      <c r="B23" s="13"/>
      <c r="C23" s="7" t="s">
        <v>39</v>
      </c>
      <c r="D23" s="11"/>
      <c r="E23" s="11">
        <v>10</v>
      </c>
      <c r="F23" s="11"/>
      <c r="G23" s="11"/>
      <c r="L23" s="20">
        <f>SUM(D23:K23)</f>
        <v>10</v>
      </c>
    </row>
    <row r="24" spans="2:12" x14ac:dyDescent="0.25">
      <c r="B24" s="13"/>
      <c r="C24" s="4" t="s">
        <v>40</v>
      </c>
      <c r="D24" s="9"/>
      <c r="E24" s="9">
        <v>10</v>
      </c>
      <c r="F24" s="9"/>
      <c r="G24" s="9">
        <v>10</v>
      </c>
      <c r="L24" s="20">
        <f t="shared" ref="L24:L38" si="2">SUM(D24:K24)</f>
        <v>20</v>
      </c>
    </row>
    <row r="25" spans="2:12" x14ac:dyDescent="0.25">
      <c r="B25" s="13"/>
      <c r="C25" s="4" t="s">
        <v>13</v>
      </c>
      <c r="D25" s="9">
        <v>4</v>
      </c>
      <c r="E25" s="9"/>
      <c r="F25" s="9"/>
      <c r="G25" s="9">
        <v>-2</v>
      </c>
      <c r="L25" s="20">
        <f t="shared" si="2"/>
        <v>2</v>
      </c>
    </row>
    <row r="26" spans="2:12" x14ac:dyDescent="0.25">
      <c r="B26" s="13"/>
      <c r="C26" s="4" t="s">
        <v>41</v>
      </c>
      <c r="D26" s="9">
        <v>-5</v>
      </c>
      <c r="E26" s="9"/>
      <c r="F26" s="9"/>
      <c r="G26" s="9"/>
      <c r="L26" s="20">
        <f t="shared" si="2"/>
        <v>-5</v>
      </c>
    </row>
    <row r="27" spans="2:12" x14ac:dyDescent="0.25">
      <c r="B27" s="13"/>
      <c r="C27" s="4" t="s">
        <v>15</v>
      </c>
      <c r="D27" s="9">
        <v>5</v>
      </c>
      <c r="E27" s="9"/>
      <c r="F27" s="9">
        <v>20</v>
      </c>
      <c r="G27" s="9">
        <v>5</v>
      </c>
      <c r="L27" s="20">
        <f t="shared" si="2"/>
        <v>30</v>
      </c>
    </row>
    <row r="28" spans="2:12" x14ac:dyDescent="0.25">
      <c r="B28" s="13"/>
      <c r="C28" s="4" t="s">
        <v>42</v>
      </c>
      <c r="D28" s="9">
        <v>25</v>
      </c>
      <c r="E28" s="9"/>
      <c r="F28" s="9">
        <v>10</v>
      </c>
      <c r="G28" s="9">
        <v>5</v>
      </c>
      <c r="L28" s="20">
        <f t="shared" si="2"/>
        <v>40</v>
      </c>
    </row>
    <row r="29" spans="2:12" x14ac:dyDescent="0.25">
      <c r="B29" s="13"/>
      <c r="C29" s="4" t="s">
        <v>16</v>
      </c>
      <c r="D29" s="9">
        <v>10</v>
      </c>
      <c r="E29" s="9">
        <v>10</v>
      </c>
      <c r="F29" s="9">
        <v>15</v>
      </c>
      <c r="G29" s="9">
        <v>15</v>
      </c>
      <c r="L29" s="20">
        <f t="shared" si="2"/>
        <v>50</v>
      </c>
    </row>
    <row r="30" spans="2:12" x14ac:dyDescent="0.25">
      <c r="B30" s="13"/>
      <c r="C30" s="4" t="s">
        <v>20</v>
      </c>
      <c r="D30" s="9"/>
      <c r="E30" s="9">
        <v>-1</v>
      </c>
      <c r="F30" s="9">
        <v>2</v>
      </c>
      <c r="G30" s="9"/>
      <c r="L30" s="20">
        <f t="shared" si="2"/>
        <v>1</v>
      </c>
    </row>
    <row r="31" spans="2:12" x14ac:dyDescent="0.25">
      <c r="B31" s="13"/>
      <c r="C31" s="4" t="s">
        <v>22</v>
      </c>
      <c r="D31" s="9">
        <v>65</v>
      </c>
      <c r="E31" s="9"/>
      <c r="F31" s="9"/>
      <c r="G31" s="9"/>
      <c r="L31" s="20">
        <f t="shared" si="2"/>
        <v>65</v>
      </c>
    </row>
    <row r="32" spans="2:12" x14ac:dyDescent="0.25">
      <c r="B32" s="13"/>
      <c r="C32" s="4" t="s">
        <v>25</v>
      </c>
      <c r="D32" s="9"/>
      <c r="E32" s="9">
        <v>-1</v>
      </c>
      <c r="F32" s="9"/>
      <c r="G32" s="9"/>
      <c r="L32" s="20">
        <f t="shared" si="2"/>
        <v>-1</v>
      </c>
    </row>
    <row r="33" spans="2:12" x14ac:dyDescent="0.25">
      <c r="B33" s="13"/>
      <c r="C33" s="4" t="s">
        <v>26</v>
      </c>
      <c r="D33" s="9">
        <v>25</v>
      </c>
      <c r="E33" s="9">
        <v>10</v>
      </c>
      <c r="F33" s="9">
        <v>70</v>
      </c>
      <c r="G33" s="9">
        <v>50</v>
      </c>
      <c r="L33" s="20">
        <f t="shared" si="2"/>
        <v>155</v>
      </c>
    </row>
    <row r="34" spans="2:12" x14ac:dyDescent="0.25">
      <c r="B34" s="13"/>
      <c r="C34" s="4" t="s">
        <v>27</v>
      </c>
      <c r="D34" s="9">
        <v>25</v>
      </c>
      <c r="E34" s="9"/>
      <c r="F34" s="9">
        <v>40</v>
      </c>
      <c r="G34" s="9">
        <v>40</v>
      </c>
      <c r="L34" s="20">
        <f t="shared" si="2"/>
        <v>105</v>
      </c>
    </row>
    <row r="35" spans="2:12" x14ac:dyDescent="0.25">
      <c r="B35" s="13"/>
      <c r="C35" s="4" t="s">
        <v>28</v>
      </c>
      <c r="D35" s="9">
        <v>-2</v>
      </c>
      <c r="E35" s="9">
        <v>-1</v>
      </c>
      <c r="F35" s="9">
        <v>3</v>
      </c>
      <c r="G35" s="9">
        <v>0</v>
      </c>
      <c r="L35" s="20">
        <f t="shared" si="2"/>
        <v>0</v>
      </c>
    </row>
    <row r="36" spans="2:12" x14ac:dyDescent="0.25">
      <c r="B36" s="13"/>
      <c r="C36" s="4" t="s">
        <v>29</v>
      </c>
      <c r="D36" s="9">
        <v>20</v>
      </c>
      <c r="E36" s="9">
        <v>5</v>
      </c>
      <c r="F36" s="9">
        <v>20</v>
      </c>
      <c r="G36" s="9">
        <v>5</v>
      </c>
      <c r="L36" s="20">
        <f t="shared" si="2"/>
        <v>50</v>
      </c>
    </row>
    <row r="37" spans="2:12" x14ac:dyDescent="0.25">
      <c r="B37" s="13"/>
      <c r="C37" s="4" t="s">
        <v>31</v>
      </c>
      <c r="D37" s="9">
        <v>50</v>
      </c>
      <c r="E37" s="9"/>
      <c r="F37" s="9">
        <v>75</v>
      </c>
      <c r="G37" s="9">
        <v>100</v>
      </c>
      <c r="L37" s="20">
        <f t="shared" si="2"/>
        <v>225</v>
      </c>
    </row>
    <row r="38" spans="2:12" x14ac:dyDescent="0.25">
      <c r="B38" s="13"/>
      <c r="C38" s="4" t="s">
        <v>32</v>
      </c>
      <c r="D38" s="9">
        <v>17</v>
      </c>
      <c r="E38" s="9"/>
      <c r="F38" s="9"/>
      <c r="G38" s="9"/>
      <c r="L38" s="20">
        <f t="shared" si="2"/>
        <v>17</v>
      </c>
    </row>
    <row r="39" spans="2:12" x14ac:dyDescent="0.25">
      <c r="B39" s="3" t="s">
        <v>33</v>
      </c>
      <c r="C39" s="6"/>
      <c r="D39" s="11">
        <f>SUM(D23:D38)</f>
        <v>239</v>
      </c>
      <c r="E39" s="11">
        <f t="shared" ref="E39:K39" si="3">SUM(E23:E38)</f>
        <v>42</v>
      </c>
      <c r="F39" s="11">
        <f t="shared" si="3"/>
        <v>255</v>
      </c>
      <c r="G39" s="11">
        <f t="shared" si="3"/>
        <v>228</v>
      </c>
      <c r="H39" s="11">
        <f t="shared" si="3"/>
        <v>0</v>
      </c>
      <c r="I39" s="11">
        <f t="shared" si="3"/>
        <v>0</v>
      </c>
      <c r="J39" s="11">
        <f t="shared" si="3"/>
        <v>0</v>
      </c>
      <c r="K39" s="11">
        <f t="shared" si="3"/>
        <v>0</v>
      </c>
      <c r="L39" s="10">
        <f>SUM(D39:K39)</f>
        <v>764</v>
      </c>
    </row>
  </sheetData>
  <conditionalFormatting sqref="D23:G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K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K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K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088D-2A2A-412C-BEEB-E0BB8BFC444B}">
  <dimension ref="B2:L55"/>
  <sheetViews>
    <sheetView topLeftCell="A31" workbookViewId="0">
      <selection activeCell="J40" sqref="J40"/>
    </sheetView>
  </sheetViews>
  <sheetFormatPr defaultRowHeight="15" x14ac:dyDescent="0.25"/>
  <cols>
    <col min="3" max="3" width="16.28515625" bestFit="1" customWidth="1"/>
    <col min="12" max="12" width="11.7109375" customWidth="1"/>
  </cols>
  <sheetData>
    <row r="2" spans="2:12" ht="18.75" x14ac:dyDescent="0.3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52</v>
      </c>
      <c r="C4" s="7" t="s">
        <v>11</v>
      </c>
      <c r="D4" s="9"/>
      <c r="E4" s="9">
        <v>1873.6899999999996</v>
      </c>
      <c r="F4" s="9"/>
      <c r="G4" s="9">
        <v>1876.72</v>
      </c>
      <c r="H4" s="9"/>
      <c r="L4" s="10">
        <f>SUM(D4:K4)</f>
        <v>3750.41</v>
      </c>
    </row>
    <row r="5" spans="2:12" x14ac:dyDescent="0.25">
      <c r="B5" s="13"/>
      <c r="C5" s="4" t="s">
        <v>38</v>
      </c>
      <c r="D5" s="9"/>
      <c r="E5" s="9"/>
      <c r="F5" s="9"/>
      <c r="G5" s="9">
        <v>212.6</v>
      </c>
      <c r="H5" s="9"/>
      <c r="L5" s="10">
        <f t="shared" ref="L5:L54" si="0">SUM(D5:K5)</f>
        <v>212.6</v>
      </c>
    </row>
    <row r="6" spans="2:12" x14ac:dyDescent="0.25">
      <c r="B6" s="13"/>
      <c r="C6" s="4" t="s">
        <v>39</v>
      </c>
      <c r="D6" s="9"/>
      <c r="E6" s="9">
        <v>1969.98</v>
      </c>
      <c r="F6" s="9"/>
      <c r="G6" s="9"/>
      <c r="H6" s="9"/>
      <c r="L6" s="10">
        <f t="shared" si="0"/>
        <v>1969.98</v>
      </c>
    </row>
    <row r="7" spans="2:12" x14ac:dyDescent="0.25">
      <c r="B7" s="13"/>
      <c r="C7" s="4" t="s">
        <v>40</v>
      </c>
      <c r="D7" s="9">
        <v>155.07</v>
      </c>
      <c r="E7" s="9">
        <v>510.90999999999997</v>
      </c>
      <c r="F7" s="9">
        <v>446.22</v>
      </c>
      <c r="G7" s="9">
        <v>1030.6399999999999</v>
      </c>
      <c r="H7" s="9"/>
      <c r="L7" s="10">
        <f t="shared" si="0"/>
        <v>2142.84</v>
      </c>
    </row>
    <row r="8" spans="2:12" x14ac:dyDescent="0.25">
      <c r="B8" s="13"/>
      <c r="C8" s="4" t="s">
        <v>13</v>
      </c>
      <c r="D8" s="9">
        <v>1377.85</v>
      </c>
      <c r="E8" s="9">
        <v>1554.1299999999999</v>
      </c>
      <c r="F8" s="9"/>
      <c r="G8" s="9"/>
      <c r="H8" s="9"/>
      <c r="L8" s="10">
        <f t="shared" si="0"/>
        <v>2931.9799999999996</v>
      </c>
    </row>
    <row r="9" spans="2:12" x14ac:dyDescent="0.25">
      <c r="B9" s="13"/>
      <c r="C9" s="4" t="s">
        <v>14</v>
      </c>
      <c r="D9" s="9"/>
      <c r="E9" s="9"/>
      <c r="F9" s="9">
        <v>-695.59</v>
      </c>
      <c r="G9" s="9">
        <v>-346.8</v>
      </c>
      <c r="H9" s="9"/>
      <c r="L9" s="10">
        <f t="shared" si="0"/>
        <v>-1042.3900000000001</v>
      </c>
    </row>
    <row r="10" spans="2:12" x14ac:dyDescent="0.25">
      <c r="B10" s="13"/>
      <c r="C10" s="4" t="s">
        <v>15</v>
      </c>
      <c r="D10" s="9"/>
      <c r="E10" s="9"/>
      <c r="F10" s="9">
        <v>52424.060000000005</v>
      </c>
      <c r="G10" s="9">
        <v>-13510.53</v>
      </c>
      <c r="H10" s="9"/>
      <c r="L10" s="10">
        <f t="shared" si="0"/>
        <v>38913.530000000006</v>
      </c>
    </row>
    <row r="11" spans="2:12" x14ac:dyDescent="0.25">
      <c r="B11" s="13"/>
      <c r="C11" s="4" t="s">
        <v>42</v>
      </c>
      <c r="D11" s="9">
        <v>42628.65</v>
      </c>
      <c r="E11" s="9">
        <v>21537.489999999998</v>
      </c>
      <c r="F11" s="9">
        <v>23330.02</v>
      </c>
      <c r="G11" s="9">
        <v>4446.57</v>
      </c>
      <c r="H11" s="9"/>
      <c r="L11" s="10">
        <f t="shared" si="0"/>
        <v>91942.73000000001</v>
      </c>
    </row>
    <row r="12" spans="2:12" x14ac:dyDescent="0.25">
      <c r="B12" s="13"/>
      <c r="C12" s="4" t="s">
        <v>16</v>
      </c>
      <c r="D12" s="9">
        <v>5193.07</v>
      </c>
      <c r="E12" s="9">
        <v>2953.8399999999997</v>
      </c>
      <c r="F12" s="9">
        <v>4141.2</v>
      </c>
      <c r="G12" s="9">
        <v>7709.82</v>
      </c>
      <c r="H12" s="9"/>
      <c r="L12" s="10">
        <f t="shared" si="0"/>
        <v>19997.93</v>
      </c>
    </row>
    <row r="13" spans="2:12" x14ac:dyDescent="0.25">
      <c r="B13" s="13"/>
      <c r="C13" s="4" t="s">
        <v>17</v>
      </c>
      <c r="D13" s="9">
        <v>365.51</v>
      </c>
      <c r="E13" s="9">
        <v>367.85</v>
      </c>
      <c r="F13" s="9"/>
      <c r="G13" s="9">
        <v>2612.23</v>
      </c>
      <c r="H13" s="9"/>
      <c r="L13" s="10">
        <f t="shared" si="0"/>
        <v>3345.59</v>
      </c>
    </row>
    <row r="14" spans="2:12" x14ac:dyDescent="0.25">
      <c r="B14" s="13"/>
      <c r="C14" s="4" t="s">
        <v>19</v>
      </c>
      <c r="D14" s="9">
        <v>365.51</v>
      </c>
      <c r="E14" s="9">
        <v>919.63000000000011</v>
      </c>
      <c r="F14" s="9"/>
      <c r="G14" s="9">
        <v>3217.76</v>
      </c>
      <c r="H14" s="9"/>
      <c r="L14" s="10">
        <f t="shared" si="0"/>
        <v>4502.9000000000005</v>
      </c>
    </row>
    <row r="15" spans="2:12" x14ac:dyDescent="0.25">
      <c r="B15" s="13"/>
      <c r="C15" s="4" t="s">
        <v>20</v>
      </c>
      <c r="D15" s="9"/>
      <c r="E15" s="9"/>
      <c r="F15" s="9"/>
      <c r="G15" s="9">
        <v>1415.63</v>
      </c>
      <c r="H15" s="9"/>
      <c r="L15" s="10">
        <f t="shared" si="0"/>
        <v>1415.63</v>
      </c>
    </row>
    <row r="16" spans="2:12" x14ac:dyDescent="0.25">
      <c r="B16" s="13"/>
      <c r="C16" s="4" t="s">
        <v>21</v>
      </c>
      <c r="D16" s="9"/>
      <c r="E16" s="9">
        <v>1332.61</v>
      </c>
      <c r="F16" s="9"/>
      <c r="G16" s="9">
        <v>1426.89</v>
      </c>
      <c r="H16" s="9"/>
      <c r="L16" s="10">
        <f t="shared" si="0"/>
        <v>2759.5</v>
      </c>
    </row>
    <row r="17" spans="2:12" x14ac:dyDescent="0.25">
      <c r="B17" s="13"/>
      <c r="C17" s="4" t="s">
        <v>22</v>
      </c>
      <c r="D17" s="9">
        <v>151304.46</v>
      </c>
      <c r="E17" s="9">
        <v>2972.39</v>
      </c>
      <c r="F17" s="9"/>
      <c r="G17" s="9">
        <v>3076.68</v>
      </c>
      <c r="H17" s="9">
        <v>5175</v>
      </c>
      <c r="L17" s="10">
        <f t="shared" si="0"/>
        <v>162528.53</v>
      </c>
    </row>
    <row r="18" spans="2:12" x14ac:dyDescent="0.25">
      <c r="B18" s="13"/>
      <c r="C18" s="4" t="s">
        <v>23</v>
      </c>
      <c r="D18" s="9">
        <v>8364.0600000000013</v>
      </c>
      <c r="E18" s="9">
        <v>4415.07</v>
      </c>
      <c r="F18" s="9"/>
      <c r="G18" s="9">
        <v>9794.5</v>
      </c>
      <c r="H18" s="9"/>
      <c r="L18" s="10">
        <f t="shared" si="0"/>
        <v>22573.63</v>
      </c>
    </row>
    <row r="19" spans="2:12" x14ac:dyDescent="0.25">
      <c r="B19" s="13"/>
      <c r="C19" s="4" t="s">
        <v>24</v>
      </c>
      <c r="D19" s="9">
        <v>3782.79</v>
      </c>
      <c r="E19" s="9">
        <v>891.97</v>
      </c>
      <c r="F19" s="9">
        <v>918.6</v>
      </c>
      <c r="G19" s="9">
        <v>923</v>
      </c>
      <c r="H19" s="9"/>
      <c r="L19" s="10">
        <f t="shared" si="0"/>
        <v>6516.3600000000006</v>
      </c>
    </row>
    <row r="20" spans="2:12" x14ac:dyDescent="0.25">
      <c r="B20" s="13"/>
      <c r="C20" s="4" t="s">
        <v>25</v>
      </c>
      <c r="D20" s="9">
        <v>2273.79</v>
      </c>
      <c r="E20" s="9">
        <v>1748.71</v>
      </c>
      <c r="F20" s="9"/>
      <c r="G20" s="9"/>
      <c r="H20" s="9"/>
      <c r="L20" s="10">
        <f t="shared" si="0"/>
        <v>4022.5</v>
      </c>
    </row>
    <row r="21" spans="2:12" x14ac:dyDescent="0.25">
      <c r="B21" s="13"/>
      <c r="C21" s="4" t="s">
        <v>53</v>
      </c>
      <c r="D21" s="9"/>
      <c r="E21" s="9">
        <v>932.94</v>
      </c>
      <c r="F21" s="9"/>
      <c r="G21" s="9"/>
      <c r="H21" s="9"/>
      <c r="L21" s="10">
        <f t="shared" si="0"/>
        <v>932.94</v>
      </c>
    </row>
    <row r="22" spans="2:12" x14ac:dyDescent="0.25">
      <c r="B22" s="13"/>
      <c r="C22" s="4" t="s">
        <v>26</v>
      </c>
      <c r="D22" s="9">
        <v>2476.3999999999996</v>
      </c>
      <c r="E22" s="9">
        <v>3444.8</v>
      </c>
      <c r="F22" s="9">
        <v>2342.5</v>
      </c>
      <c r="G22" s="9">
        <v>2299.5500000000002</v>
      </c>
      <c r="H22" s="9"/>
      <c r="L22" s="10">
        <f t="shared" si="0"/>
        <v>10563.25</v>
      </c>
    </row>
    <row r="23" spans="2:12" x14ac:dyDescent="0.25">
      <c r="B23" s="13"/>
      <c r="C23" s="4" t="s">
        <v>27</v>
      </c>
      <c r="D23" s="9">
        <v>1144.42</v>
      </c>
      <c r="E23" s="9">
        <v>1209.3400000000001</v>
      </c>
      <c r="F23" s="9">
        <v>1113.9099999999999</v>
      </c>
      <c r="G23" s="9">
        <v>1548</v>
      </c>
      <c r="H23" s="9"/>
      <c r="L23" s="10">
        <f t="shared" si="0"/>
        <v>5015.67</v>
      </c>
    </row>
    <row r="24" spans="2:12" x14ac:dyDescent="0.25">
      <c r="B24" s="13"/>
      <c r="C24" s="4" t="s">
        <v>28</v>
      </c>
      <c r="D24" s="9">
        <v>550.75</v>
      </c>
      <c r="E24" s="9">
        <v>2206.08</v>
      </c>
      <c r="F24" s="9">
        <v>2226.12</v>
      </c>
      <c r="G24" s="9">
        <v>2019.1100000000001</v>
      </c>
      <c r="H24" s="9"/>
      <c r="L24" s="10">
        <f t="shared" si="0"/>
        <v>7002.0599999999995</v>
      </c>
    </row>
    <row r="25" spans="2:12" x14ac:dyDescent="0.25">
      <c r="B25" s="13"/>
      <c r="C25" s="4" t="s">
        <v>29</v>
      </c>
      <c r="D25" s="9">
        <v>11904.92</v>
      </c>
      <c r="E25" s="9">
        <v>7962</v>
      </c>
      <c r="F25" s="9"/>
      <c r="G25" s="9">
        <v>10081.189999999999</v>
      </c>
      <c r="H25" s="9"/>
      <c r="L25" s="10">
        <f t="shared" si="0"/>
        <v>29948.109999999997</v>
      </c>
    </row>
    <row r="26" spans="2:12" x14ac:dyDescent="0.25">
      <c r="B26" s="13"/>
      <c r="C26" s="4" t="s">
        <v>31</v>
      </c>
      <c r="D26" s="9">
        <v>13663.74</v>
      </c>
      <c r="E26" s="9">
        <v>10429.970000000001</v>
      </c>
      <c r="F26" s="9">
        <v>15141.67</v>
      </c>
      <c r="G26" s="9">
        <v>10867.839999999998</v>
      </c>
      <c r="H26" s="9"/>
      <c r="L26" s="10">
        <f t="shared" si="0"/>
        <v>50103.219999999994</v>
      </c>
    </row>
    <row r="27" spans="2:12" x14ac:dyDescent="0.25">
      <c r="B27" s="13"/>
      <c r="C27" s="4" t="s">
        <v>32</v>
      </c>
      <c r="D27" s="9"/>
      <c r="E27" s="9">
        <v>1522.3999999999999</v>
      </c>
      <c r="F27" s="9">
        <v>777.76</v>
      </c>
      <c r="G27" s="9">
        <v>388.88</v>
      </c>
      <c r="H27" s="9"/>
      <c r="L27" s="10">
        <f t="shared" si="0"/>
        <v>2689.04</v>
      </c>
    </row>
    <row r="28" spans="2:12" x14ac:dyDescent="0.25">
      <c r="B28" s="3" t="s">
        <v>33</v>
      </c>
      <c r="C28" s="6"/>
      <c r="D28" s="11">
        <f t="shared" ref="D28:K28" si="1">SUM(D4:D27)</f>
        <v>245550.99000000002</v>
      </c>
      <c r="E28" s="11">
        <f t="shared" si="1"/>
        <v>70755.8</v>
      </c>
      <c r="F28" s="11">
        <f t="shared" si="1"/>
        <v>102166.47</v>
      </c>
      <c r="G28" s="11">
        <f t="shared" si="1"/>
        <v>51090.279999999992</v>
      </c>
      <c r="H28" s="11">
        <f t="shared" si="1"/>
        <v>5175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474738.54</v>
      </c>
    </row>
    <row r="29" spans="2:12" x14ac:dyDescent="0.25">
      <c r="B29" s="13"/>
      <c r="C29" s="4"/>
      <c r="D29" s="9"/>
      <c r="E29" s="9"/>
      <c r="F29" s="9"/>
      <c r="G29" s="9"/>
      <c r="L29" s="10"/>
    </row>
    <row r="30" spans="2:12" x14ac:dyDescent="0.25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25">
      <c r="B31" s="13"/>
      <c r="C31" s="7" t="s">
        <v>11</v>
      </c>
      <c r="D31" s="11"/>
      <c r="E31" s="11">
        <v>3</v>
      </c>
      <c r="F31" s="11"/>
      <c r="G31" s="11">
        <v>3</v>
      </c>
      <c r="H31" s="11"/>
      <c r="L31" s="10">
        <f t="shared" si="0"/>
        <v>6</v>
      </c>
    </row>
    <row r="32" spans="2:12" x14ac:dyDescent="0.25">
      <c r="B32" s="13"/>
      <c r="C32" s="4" t="s">
        <v>38</v>
      </c>
      <c r="D32" s="9"/>
      <c r="E32" s="9"/>
      <c r="F32" s="9"/>
      <c r="G32" s="9">
        <v>1</v>
      </c>
      <c r="H32" s="9"/>
      <c r="L32" s="10">
        <f t="shared" si="0"/>
        <v>1</v>
      </c>
    </row>
    <row r="33" spans="2:12" x14ac:dyDescent="0.25">
      <c r="B33" s="13"/>
      <c r="C33" s="4" t="s">
        <v>39</v>
      </c>
      <c r="D33" s="9"/>
      <c r="E33" s="9">
        <v>20</v>
      </c>
      <c r="F33" s="9"/>
      <c r="G33" s="9"/>
      <c r="H33" s="9"/>
      <c r="L33" s="10">
        <f t="shared" si="0"/>
        <v>20</v>
      </c>
    </row>
    <row r="34" spans="2:12" x14ac:dyDescent="0.25">
      <c r="B34" s="13"/>
      <c r="C34" s="4" t="s">
        <v>40</v>
      </c>
      <c r="D34" s="9">
        <v>7</v>
      </c>
      <c r="E34" s="9">
        <v>23</v>
      </c>
      <c r="F34" s="9">
        <v>20</v>
      </c>
      <c r="G34" s="9">
        <v>46</v>
      </c>
      <c r="H34" s="9"/>
      <c r="L34" s="10">
        <f t="shared" si="0"/>
        <v>96</v>
      </c>
    </row>
    <row r="35" spans="2:12" x14ac:dyDescent="0.25">
      <c r="B35" s="13"/>
      <c r="C35" s="4" t="s">
        <v>13</v>
      </c>
      <c r="D35" s="9">
        <v>8</v>
      </c>
      <c r="E35" s="9">
        <v>9</v>
      </c>
      <c r="F35" s="9"/>
      <c r="G35" s="9"/>
      <c r="H35" s="9"/>
      <c r="L35" s="10">
        <f t="shared" si="0"/>
        <v>17</v>
      </c>
    </row>
    <row r="36" spans="2:12" x14ac:dyDescent="0.25">
      <c r="B36" s="13"/>
      <c r="C36" s="4" t="s">
        <v>14</v>
      </c>
      <c r="D36" s="9"/>
      <c r="E36" s="9"/>
      <c r="F36" s="9">
        <v>-4</v>
      </c>
      <c r="G36" s="9">
        <v>-2</v>
      </c>
      <c r="H36" s="9"/>
      <c r="L36" s="10">
        <f t="shared" si="0"/>
        <v>-6</v>
      </c>
    </row>
    <row r="37" spans="2:12" x14ac:dyDescent="0.25">
      <c r="B37" s="13"/>
      <c r="C37" s="4" t="s">
        <v>15</v>
      </c>
      <c r="D37" s="9"/>
      <c r="E37" s="9"/>
      <c r="F37" s="9">
        <v>251</v>
      </c>
      <c r="G37" s="9">
        <v>-64</v>
      </c>
      <c r="H37" s="9"/>
      <c r="L37" s="10">
        <f t="shared" si="0"/>
        <v>187</v>
      </c>
    </row>
    <row r="38" spans="2:12" x14ac:dyDescent="0.25">
      <c r="B38" s="13"/>
      <c r="C38" s="4" t="s">
        <v>42</v>
      </c>
      <c r="D38" s="9">
        <v>100</v>
      </c>
      <c r="E38" s="9">
        <v>50</v>
      </c>
      <c r="F38" s="9">
        <v>53</v>
      </c>
      <c r="G38" s="9">
        <v>10</v>
      </c>
      <c r="H38" s="9"/>
      <c r="L38" s="10">
        <f t="shared" si="0"/>
        <v>213</v>
      </c>
    </row>
    <row r="39" spans="2:12" x14ac:dyDescent="0.25">
      <c r="B39" s="13"/>
      <c r="C39" s="4" t="s">
        <v>16</v>
      </c>
      <c r="D39" s="9">
        <v>75</v>
      </c>
      <c r="E39" s="9">
        <v>40</v>
      </c>
      <c r="F39" s="9">
        <v>50</v>
      </c>
      <c r="G39" s="9">
        <v>90</v>
      </c>
      <c r="H39" s="9"/>
      <c r="L39" s="10">
        <f t="shared" si="0"/>
        <v>255</v>
      </c>
    </row>
    <row r="40" spans="2:12" x14ac:dyDescent="0.25">
      <c r="B40" s="13"/>
      <c r="C40" s="4" t="s">
        <v>17</v>
      </c>
      <c r="D40" s="9">
        <v>2</v>
      </c>
      <c r="E40" s="9">
        <v>2</v>
      </c>
      <c r="F40" s="9"/>
      <c r="G40" s="9">
        <v>13</v>
      </c>
      <c r="H40" s="9"/>
      <c r="L40" s="10">
        <f t="shared" si="0"/>
        <v>17</v>
      </c>
    </row>
    <row r="41" spans="2:12" x14ac:dyDescent="0.25">
      <c r="B41" s="13"/>
      <c r="C41" s="4" t="s">
        <v>19</v>
      </c>
      <c r="D41" s="9">
        <v>2</v>
      </c>
      <c r="E41" s="9">
        <v>5</v>
      </c>
      <c r="F41" s="9"/>
      <c r="G41" s="9">
        <v>16</v>
      </c>
      <c r="H41" s="9"/>
      <c r="L41" s="10">
        <f t="shared" si="0"/>
        <v>23</v>
      </c>
    </row>
    <row r="42" spans="2:12" x14ac:dyDescent="0.25">
      <c r="B42" s="13"/>
      <c r="C42" s="4" t="s">
        <v>20</v>
      </c>
      <c r="D42" s="9"/>
      <c r="E42" s="9"/>
      <c r="F42" s="9"/>
      <c r="G42" s="9">
        <v>7</v>
      </c>
      <c r="H42" s="9"/>
      <c r="L42" s="10">
        <f t="shared" si="0"/>
        <v>7</v>
      </c>
    </row>
    <row r="43" spans="2:12" x14ac:dyDescent="0.25">
      <c r="B43" s="13"/>
      <c r="C43" s="4" t="s">
        <v>21</v>
      </c>
      <c r="D43" s="9"/>
      <c r="E43" s="9">
        <v>5</v>
      </c>
      <c r="F43" s="9"/>
      <c r="G43" s="9">
        <v>5</v>
      </c>
      <c r="H43" s="9"/>
      <c r="L43" s="10">
        <f t="shared" si="0"/>
        <v>10</v>
      </c>
    </row>
    <row r="44" spans="2:12" x14ac:dyDescent="0.25">
      <c r="B44" s="13"/>
      <c r="C44" s="4" t="s">
        <v>22</v>
      </c>
      <c r="D44" s="9">
        <v>520</v>
      </c>
      <c r="E44" s="9">
        <v>10</v>
      </c>
      <c r="F44" s="9"/>
      <c r="G44" s="9">
        <v>10</v>
      </c>
      <c r="H44" s="9">
        <v>15</v>
      </c>
      <c r="L44" s="10">
        <f t="shared" si="0"/>
        <v>555</v>
      </c>
    </row>
    <row r="45" spans="2:12" x14ac:dyDescent="0.25">
      <c r="B45" s="13"/>
      <c r="C45" s="4" t="s">
        <v>23</v>
      </c>
      <c r="D45" s="9">
        <v>17</v>
      </c>
      <c r="E45" s="9">
        <v>9</v>
      </c>
      <c r="F45" s="9"/>
      <c r="G45" s="9">
        <v>19</v>
      </c>
      <c r="H45" s="9"/>
      <c r="L45" s="10">
        <f t="shared" si="0"/>
        <v>45</v>
      </c>
    </row>
    <row r="46" spans="2:12" x14ac:dyDescent="0.25">
      <c r="B46" s="13"/>
      <c r="C46" s="4" t="s">
        <v>24</v>
      </c>
      <c r="D46" s="9">
        <v>13</v>
      </c>
      <c r="E46" s="9">
        <v>3</v>
      </c>
      <c r="F46" s="9">
        <v>3</v>
      </c>
      <c r="G46" s="9">
        <v>3</v>
      </c>
      <c r="H46" s="9"/>
      <c r="L46" s="10">
        <f t="shared" si="0"/>
        <v>22</v>
      </c>
    </row>
    <row r="47" spans="2:12" x14ac:dyDescent="0.25">
      <c r="B47" s="13"/>
      <c r="C47" s="4" t="s">
        <v>25</v>
      </c>
      <c r="D47" s="9">
        <v>13</v>
      </c>
      <c r="E47" s="9">
        <v>10</v>
      </c>
      <c r="F47" s="9"/>
      <c r="G47" s="9"/>
      <c r="H47" s="9"/>
      <c r="L47" s="10">
        <f t="shared" si="0"/>
        <v>23</v>
      </c>
    </row>
    <row r="48" spans="2:12" x14ac:dyDescent="0.25">
      <c r="B48" s="13"/>
      <c r="C48" s="4" t="s">
        <v>53</v>
      </c>
      <c r="D48" s="9"/>
      <c r="E48" s="9">
        <v>5</v>
      </c>
      <c r="F48" s="9"/>
      <c r="G48" s="9"/>
      <c r="H48" s="9"/>
      <c r="L48" s="10">
        <f t="shared" si="0"/>
        <v>5</v>
      </c>
    </row>
    <row r="49" spans="2:12" x14ac:dyDescent="0.25">
      <c r="B49" s="13"/>
      <c r="C49" s="4" t="s">
        <v>26</v>
      </c>
      <c r="D49" s="9">
        <v>120</v>
      </c>
      <c r="E49" s="9">
        <v>160</v>
      </c>
      <c r="F49" s="9">
        <v>95</v>
      </c>
      <c r="G49" s="9">
        <v>90</v>
      </c>
      <c r="H49" s="9"/>
      <c r="L49" s="10">
        <f t="shared" si="0"/>
        <v>465</v>
      </c>
    </row>
    <row r="50" spans="2:12" x14ac:dyDescent="0.25">
      <c r="B50" s="13"/>
      <c r="C50" s="4" t="s">
        <v>27</v>
      </c>
      <c r="D50" s="9">
        <v>40</v>
      </c>
      <c r="E50" s="9">
        <v>40</v>
      </c>
      <c r="F50" s="9">
        <v>35</v>
      </c>
      <c r="G50" s="9">
        <v>45</v>
      </c>
      <c r="H50" s="9"/>
      <c r="L50" s="10">
        <f t="shared" si="0"/>
        <v>160</v>
      </c>
    </row>
    <row r="51" spans="2:12" x14ac:dyDescent="0.25">
      <c r="B51" s="13"/>
      <c r="C51" s="4" t="s">
        <v>28</v>
      </c>
      <c r="D51" s="9">
        <v>5</v>
      </c>
      <c r="E51" s="9">
        <v>20</v>
      </c>
      <c r="F51" s="9">
        <v>18</v>
      </c>
      <c r="G51" s="9">
        <v>16</v>
      </c>
      <c r="H51" s="9"/>
      <c r="L51" s="10">
        <f t="shared" si="0"/>
        <v>59</v>
      </c>
    </row>
    <row r="52" spans="2:12" x14ac:dyDescent="0.25">
      <c r="B52" s="13"/>
      <c r="C52" s="4" t="s">
        <v>29</v>
      </c>
      <c r="D52" s="9">
        <v>60</v>
      </c>
      <c r="E52" s="9">
        <v>40</v>
      </c>
      <c r="F52" s="9"/>
      <c r="G52" s="9">
        <v>45</v>
      </c>
      <c r="H52" s="9"/>
      <c r="L52" s="10">
        <f t="shared" si="0"/>
        <v>145</v>
      </c>
    </row>
    <row r="53" spans="2:12" x14ac:dyDescent="0.25">
      <c r="B53" s="13"/>
      <c r="C53" s="4" t="s">
        <v>31</v>
      </c>
      <c r="D53" s="9">
        <v>450</v>
      </c>
      <c r="E53" s="9">
        <v>315</v>
      </c>
      <c r="F53" s="9">
        <v>430</v>
      </c>
      <c r="G53" s="9">
        <v>295</v>
      </c>
      <c r="H53" s="9"/>
      <c r="L53" s="10">
        <f t="shared" si="0"/>
        <v>1490</v>
      </c>
    </row>
    <row r="54" spans="2:12" x14ac:dyDescent="0.25">
      <c r="B54" s="13"/>
      <c r="C54" s="4" t="s">
        <v>32</v>
      </c>
      <c r="D54" s="9"/>
      <c r="E54" s="9">
        <v>25</v>
      </c>
      <c r="F54" s="9">
        <v>12</v>
      </c>
      <c r="G54" s="9">
        <v>6</v>
      </c>
      <c r="H54" s="9"/>
      <c r="L54" s="10">
        <f t="shared" si="0"/>
        <v>43</v>
      </c>
    </row>
    <row r="55" spans="2:12" x14ac:dyDescent="0.25">
      <c r="B55" s="3" t="s">
        <v>33</v>
      </c>
      <c r="C55" s="6"/>
      <c r="D55" s="11">
        <f t="shared" ref="D55:K55" si="2">SUM(D31:D54)</f>
        <v>1432</v>
      </c>
      <c r="E55" s="11">
        <f t="shared" si="2"/>
        <v>794</v>
      </c>
      <c r="F55" s="11">
        <f t="shared" si="2"/>
        <v>963</v>
      </c>
      <c r="G55" s="11">
        <f t="shared" si="2"/>
        <v>654</v>
      </c>
      <c r="H55" s="11">
        <f t="shared" si="2"/>
        <v>15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0">
        <f>SUM(D55:K55)</f>
        <v>3858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E763-3827-4011-A60C-6417BF96D9EB}">
  <dimension ref="B2:L51"/>
  <sheetViews>
    <sheetView topLeftCell="A21" workbookViewId="0">
      <selection activeCell="H42" sqref="H42"/>
    </sheetView>
  </sheetViews>
  <sheetFormatPr defaultRowHeight="15" x14ac:dyDescent="0.25"/>
  <cols>
    <col min="2" max="2" width="18.28515625" customWidth="1"/>
    <col min="3" max="3" width="16.570312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60</v>
      </c>
      <c r="C4" s="7" t="s">
        <v>11</v>
      </c>
      <c r="D4" s="9">
        <v>5884.78</v>
      </c>
      <c r="E4" s="9">
        <v>5314.67</v>
      </c>
      <c r="F4" s="9">
        <v>3492.71</v>
      </c>
      <c r="G4" s="9"/>
      <c r="H4" s="9"/>
      <c r="L4" s="10">
        <f>SUM(D4:K4)</f>
        <v>14692.16</v>
      </c>
    </row>
    <row r="5" spans="2:12" x14ac:dyDescent="0.25">
      <c r="B5" s="13"/>
      <c r="C5" s="4" t="s">
        <v>38</v>
      </c>
      <c r="D5" s="9">
        <v>816.79</v>
      </c>
      <c r="E5" s="9">
        <v>828.31999999999994</v>
      </c>
      <c r="F5" s="9">
        <v>221.26</v>
      </c>
      <c r="G5" s="9"/>
      <c r="H5" s="9"/>
      <c r="L5" s="10">
        <f t="shared" ref="L5:L50" si="0">SUM(D5:K5)</f>
        <v>1866.37</v>
      </c>
    </row>
    <row r="6" spans="2:12" x14ac:dyDescent="0.25">
      <c r="B6" s="13"/>
      <c r="C6" s="4" t="s">
        <v>39</v>
      </c>
      <c r="D6" s="9"/>
      <c r="E6" s="9"/>
      <c r="F6" s="9">
        <v>110</v>
      </c>
      <c r="G6" s="9"/>
      <c r="H6" s="9"/>
      <c r="L6" s="10">
        <f t="shared" si="0"/>
        <v>110</v>
      </c>
    </row>
    <row r="7" spans="2:12" x14ac:dyDescent="0.25">
      <c r="B7" s="13"/>
      <c r="C7" s="4" t="s">
        <v>40</v>
      </c>
      <c r="D7" s="9"/>
      <c r="E7" s="9"/>
      <c r="F7" s="9"/>
      <c r="G7" s="9">
        <v>127.5</v>
      </c>
      <c r="H7" s="9"/>
      <c r="L7" s="10">
        <f t="shared" si="0"/>
        <v>127.5</v>
      </c>
    </row>
    <row r="8" spans="2:12" x14ac:dyDescent="0.25">
      <c r="B8" s="13"/>
      <c r="C8" s="4" t="s">
        <v>13</v>
      </c>
      <c r="D8" s="9">
        <v>6381.2</v>
      </c>
      <c r="E8" s="9">
        <v>3354.27</v>
      </c>
      <c r="F8" s="9">
        <v>5902.9</v>
      </c>
      <c r="G8" s="9">
        <v>1354.76</v>
      </c>
      <c r="H8" s="9"/>
      <c r="L8" s="10">
        <f t="shared" si="0"/>
        <v>16993.129999999997</v>
      </c>
    </row>
    <row r="9" spans="2:12" x14ac:dyDescent="0.25">
      <c r="B9" s="13"/>
      <c r="C9" s="4" t="s">
        <v>14</v>
      </c>
      <c r="D9" s="9">
        <v>447.12</v>
      </c>
      <c r="E9" s="9">
        <v>223.69</v>
      </c>
      <c r="F9" s="9">
        <v>716.43999999999994</v>
      </c>
      <c r="G9" s="9">
        <v>0</v>
      </c>
      <c r="H9" s="9"/>
      <c r="L9" s="10">
        <f t="shared" si="0"/>
        <v>1387.25</v>
      </c>
    </row>
    <row r="10" spans="2:12" x14ac:dyDescent="0.25">
      <c r="B10" s="13"/>
      <c r="C10" s="4" t="s">
        <v>15</v>
      </c>
      <c r="D10" s="9">
        <v>32549.910000000003</v>
      </c>
      <c r="E10" s="9"/>
      <c r="F10" s="9">
        <v>14331.449999999999</v>
      </c>
      <c r="G10" s="9">
        <v>695.22</v>
      </c>
      <c r="H10" s="9"/>
      <c r="L10" s="10">
        <f t="shared" si="0"/>
        <v>47576.58</v>
      </c>
    </row>
    <row r="11" spans="2:12" x14ac:dyDescent="0.25">
      <c r="B11" s="13"/>
      <c r="C11" s="4" t="s">
        <v>42</v>
      </c>
      <c r="D11" s="9">
        <v>3167.05</v>
      </c>
      <c r="E11" s="9">
        <v>943.54</v>
      </c>
      <c r="F11" s="9">
        <v>2936.2200000000003</v>
      </c>
      <c r="G11" s="9"/>
      <c r="H11" s="9"/>
      <c r="L11" s="10">
        <f t="shared" si="0"/>
        <v>7046.81</v>
      </c>
    </row>
    <row r="12" spans="2:12" x14ac:dyDescent="0.25">
      <c r="B12" s="13"/>
      <c r="C12" s="4" t="s">
        <v>16</v>
      </c>
      <c r="D12" s="9">
        <v>0</v>
      </c>
      <c r="E12" s="9"/>
      <c r="F12" s="9">
        <v>144.94999999999999</v>
      </c>
      <c r="G12" s="9"/>
      <c r="H12" s="9"/>
      <c r="L12" s="10">
        <f t="shared" si="0"/>
        <v>144.94999999999999</v>
      </c>
    </row>
    <row r="13" spans="2:12" x14ac:dyDescent="0.25">
      <c r="B13" s="13"/>
      <c r="C13" s="4" t="s">
        <v>17</v>
      </c>
      <c r="D13" s="9">
        <v>589.90000000000009</v>
      </c>
      <c r="E13" s="9"/>
      <c r="F13" s="9">
        <v>420.66</v>
      </c>
      <c r="G13" s="9">
        <v>224.54</v>
      </c>
      <c r="H13" s="9"/>
      <c r="L13" s="10">
        <f t="shared" si="0"/>
        <v>1235.1000000000001</v>
      </c>
    </row>
    <row r="14" spans="2:12" x14ac:dyDescent="0.25">
      <c r="B14" s="13"/>
      <c r="C14" s="4" t="s">
        <v>19</v>
      </c>
      <c r="D14" s="9">
        <v>589.24</v>
      </c>
      <c r="E14" s="9">
        <v>193.59</v>
      </c>
      <c r="F14" s="9">
        <v>1481.6399999999999</v>
      </c>
      <c r="G14" s="9">
        <v>448.68</v>
      </c>
      <c r="H14" s="9"/>
      <c r="L14" s="10">
        <f t="shared" si="0"/>
        <v>2713.1499999999996</v>
      </c>
    </row>
    <row r="15" spans="2:12" x14ac:dyDescent="0.25">
      <c r="B15" s="13"/>
      <c r="C15" s="4" t="s">
        <v>20</v>
      </c>
      <c r="D15" s="9">
        <v>1776.78</v>
      </c>
      <c r="E15" s="9">
        <v>195.97</v>
      </c>
      <c r="F15" s="9">
        <v>2314.2899999999995</v>
      </c>
      <c r="G15" s="9">
        <v>1132.28</v>
      </c>
      <c r="H15" s="9"/>
      <c r="L15" s="10">
        <f t="shared" si="0"/>
        <v>5419.3199999999988</v>
      </c>
    </row>
    <row r="16" spans="2:12" x14ac:dyDescent="0.25">
      <c r="B16" s="13"/>
      <c r="C16" s="4" t="s">
        <v>21</v>
      </c>
      <c r="D16" s="9">
        <v>283.14999999999998</v>
      </c>
      <c r="E16" s="9">
        <v>856.63</v>
      </c>
      <c r="F16" s="9">
        <v>601.16</v>
      </c>
      <c r="G16" s="9">
        <v>601.16</v>
      </c>
      <c r="H16" s="9"/>
      <c r="L16" s="10">
        <f t="shared" si="0"/>
        <v>2342.1</v>
      </c>
    </row>
    <row r="17" spans="2:12" x14ac:dyDescent="0.25">
      <c r="B17" s="13"/>
      <c r="C17" s="4" t="s">
        <v>22</v>
      </c>
      <c r="D17" s="9">
        <v>124585.88</v>
      </c>
      <c r="E17" s="9">
        <v>36612.25</v>
      </c>
      <c r="F17" s="9">
        <v>4110</v>
      </c>
      <c r="G17" s="9">
        <v>7229.99</v>
      </c>
      <c r="H17" s="9">
        <v>15809.640000000001</v>
      </c>
      <c r="L17" s="10">
        <f t="shared" si="0"/>
        <v>188347.76</v>
      </c>
    </row>
    <row r="18" spans="2:12" x14ac:dyDescent="0.25">
      <c r="B18" s="13"/>
      <c r="C18" s="4" t="s">
        <v>23</v>
      </c>
      <c r="D18" s="9">
        <v>4418.1100000000006</v>
      </c>
      <c r="E18" s="9">
        <v>6356.8799999999992</v>
      </c>
      <c r="F18" s="9">
        <v>8998.4</v>
      </c>
      <c r="G18" s="9">
        <v>3394.74</v>
      </c>
      <c r="H18" s="9"/>
      <c r="L18" s="10">
        <f t="shared" si="0"/>
        <v>23168.129999999997</v>
      </c>
    </row>
    <row r="19" spans="2:12" x14ac:dyDescent="0.25">
      <c r="B19" s="13"/>
      <c r="C19" s="4" t="s">
        <v>24</v>
      </c>
      <c r="D19" s="9">
        <v>1621.9799999999998</v>
      </c>
      <c r="E19" s="9">
        <v>669.8</v>
      </c>
      <c r="F19" s="9">
        <v>2114.91</v>
      </c>
      <c r="G19" s="9">
        <v>1354.69</v>
      </c>
      <c r="H19" s="9"/>
      <c r="L19" s="10">
        <f t="shared" si="0"/>
        <v>5761.3799999999992</v>
      </c>
    </row>
    <row r="20" spans="2:12" x14ac:dyDescent="0.25">
      <c r="B20" s="13"/>
      <c r="C20" s="4" t="s">
        <v>25</v>
      </c>
      <c r="D20" s="9">
        <v>1488.65</v>
      </c>
      <c r="E20" s="9">
        <v>2736.87</v>
      </c>
      <c r="F20" s="9"/>
      <c r="G20" s="9"/>
      <c r="H20" s="9"/>
      <c r="L20" s="10">
        <f t="shared" si="0"/>
        <v>4225.5200000000004</v>
      </c>
    </row>
    <row r="21" spans="2:12" x14ac:dyDescent="0.25">
      <c r="B21" s="13"/>
      <c r="C21" s="4" t="s">
        <v>28</v>
      </c>
      <c r="D21" s="9">
        <v>1672.25</v>
      </c>
      <c r="E21" s="9">
        <v>2085.6799999999998</v>
      </c>
      <c r="F21" s="9"/>
      <c r="G21" s="9"/>
      <c r="H21" s="9"/>
      <c r="L21" s="10">
        <f t="shared" si="0"/>
        <v>3757.93</v>
      </c>
    </row>
    <row r="22" spans="2:12" x14ac:dyDescent="0.25">
      <c r="B22" s="13"/>
      <c r="C22" s="4" t="s">
        <v>29</v>
      </c>
      <c r="D22" s="9">
        <v>13365.359999999999</v>
      </c>
      <c r="E22" s="9">
        <v>10829.55</v>
      </c>
      <c r="F22" s="9">
        <v>9224.1</v>
      </c>
      <c r="G22" s="9">
        <v>1018.3</v>
      </c>
      <c r="H22" s="9"/>
      <c r="L22" s="10">
        <f t="shared" si="0"/>
        <v>34437.31</v>
      </c>
    </row>
    <row r="23" spans="2:12" x14ac:dyDescent="0.25">
      <c r="B23" s="13"/>
      <c r="C23" s="4" t="s">
        <v>43</v>
      </c>
      <c r="D23" s="9"/>
      <c r="E23" s="9">
        <v>476.11</v>
      </c>
      <c r="F23" s="9">
        <v>260.48</v>
      </c>
      <c r="G23" s="9">
        <v>261.5</v>
      </c>
      <c r="H23" s="9"/>
      <c r="L23" s="10">
        <f t="shared" si="0"/>
        <v>998.09</v>
      </c>
    </row>
    <row r="24" spans="2:12" x14ac:dyDescent="0.25">
      <c r="B24" s="13"/>
      <c r="C24" s="4" t="s">
        <v>30</v>
      </c>
      <c r="D24" s="9">
        <v>386.02</v>
      </c>
      <c r="E24" s="9"/>
      <c r="F24" s="9">
        <v>1072.45</v>
      </c>
      <c r="G24" s="9">
        <v>217.52</v>
      </c>
      <c r="H24" s="9"/>
      <c r="L24" s="10">
        <f t="shared" si="0"/>
        <v>1675.99</v>
      </c>
    </row>
    <row r="25" spans="2:12" x14ac:dyDescent="0.25">
      <c r="B25" s="13"/>
      <c r="C25" s="4" t="s">
        <v>61</v>
      </c>
      <c r="D25" s="9"/>
      <c r="E25" s="9"/>
      <c r="F25" s="9"/>
      <c r="G25" s="9">
        <v>-6900</v>
      </c>
      <c r="H25" s="9"/>
      <c r="L25" s="10">
        <f t="shared" si="0"/>
        <v>-6900</v>
      </c>
    </row>
    <row r="26" spans="2:12" x14ac:dyDescent="0.25">
      <c r="B26" s="3" t="s">
        <v>33</v>
      </c>
      <c r="C26" s="6"/>
      <c r="D26" s="11">
        <f t="shared" ref="D26:K26" si="1">SUM(D4:D25)</f>
        <v>200024.17</v>
      </c>
      <c r="E26" s="11">
        <f t="shared" si="1"/>
        <v>71677.820000000007</v>
      </c>
      <c r="F26" s="11">
        <f t="shared" si="1"/>
        <v>58454.020000000004</v>
      </c>
      <c r="G26" s="11">
        <f t="shared" si="1"/>
        <v>11160.879999999997</v>
      </c>
      <c r="H26" s="11">
        <f t="shared" si="1"/>
        <v>15809.640000000001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357126.53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11</v>
      </c>
      <c r="D29" s="11">
        <v>9</v>
      </c>
      <c r="E29" s="11">
        <v>8</v>
      </c>
      <c r="F29" s="11">
        <v>5</v>
      </c>
      <c r="G29" s="11"/>
      <c r="H29" s="11"/>
      <c r="L29" s="10">
        <f t="shared" si="0"/>
        <v>22</v>
      </c>
    </row>
    <row r="30" spans="2:12" x14ac:dyDescent="0.25">
      <c r="B30" s="13"/>
      <c r="C30" s="4" t="s">
        <v>38</v>
      </c>
      <c r="D30" s="9">
        <v>4</v>
      </c>
      <c r="E30" s="9">
        <v>4</v>
      </c>
      <c r="F30" s="9">
        <v>1</v>
      </c>
      <c r="G30" s="9"/>
      <c r="H30" s="9"/>
      <c r="L30" s="10">
        <f t="shared" si="0"/>
        <v>9</v>
      </c>
    </row>
    <row r="31" spans="2:12" x14ac:dyDescent="0.25">
      <c r="B31" s="13"/>
      <c r="C31" s="4" t="s">
        <v>39</v>
      </c>
      <c r="D31" s="9"/>
      <c r="E31" s="9"/>
      <c r="F31" s="9">
        <v>1</v>
      </c>
      <c r="G31" s="9"/>
      <c r="H31" s="9"/>
      <c r="L31" s="10">
        <f t="shared" si="0"/>
        <v>1</v>
      </c>
    </row>
    <row r="32" spans="2:12" x14ac:dyDescent="0.25">
      <c r="B32" s="13"/>
      <c r="C32" s="4" t="s">
        <v>40</v>
      </c>
      <c r="D32" s="9"/>
      <c r="E32" s="9"/>
      <c r="F32" s="9"/>
      <c r="G32" s="9">
        <v>5</v>
      </c>
      <c r="H32" s="9"/>
      <c r="L32" s="10">
        <f t="shared" si="0"/>
        <v>5</v>
      </c>
    </row>
    <row r="33" spans="2:12" x14ac:dyDescent="0.25">
      <c r="B33" s="13"/>
      <c r="C33" s="4" t="s">
        <v>13</v>
      </c>
      <c r="D33" s="9">
        <v>43</v>
      </c>
      <c r="E33" s="9">
        <v>22</v>
      </c>
      <c r="F33" s="9">
        <v>30</v>
      </c>
      <c r="G33" s="9">
        <v>7</v>
      </c>
      <c r="H33" s="9"/>
      <c r="L33" s="10">
        <f t="shared" si="0"/>
        <v>102</v>
      </c>
    </row>
    <row r="34" spans="2:12" x14ac:dyDescent="0.25">
      <c r="B34" s="13"/>
      <c r="C34" s="4" t="s">
        <v>14</v>
      </c>
      <c r="D34" s="9">
        <v>2</v>
      </c>
      <c r="E34" s="9">
        <v>1</v>
      </c>
      <c r="F34" s="9">
        <v>3</v>
      </c>
      <c r="G34" s="9">
        <v>0</v>
      </c>
      <c r="H34" s="9"/>
      <c r="L34" s="10">
        <f t="shared" si="0"/>
        <v>6</v>
      </c>
    </row>
    <row r="35" spans="2:12" x14ac:dyDescent="0.25">
      <c r="B35" s="13"/>
      <c r="C35" s="4" t="s">
        <v>15</v>
      </c>
      <c r="D35" s="9">
        <v>213</v>
      </c>
      <c r="E35" s="9"/>
      <c r="F35" s="9">
        <v>61</v>
      </c>
      <c r="G35" s="9">
        <v>3</v>
      </c>
      <c r="H35" s="9"/>
      <c r="L35" s="10">
        <f t="shared" si="0"/>
        <v>277</v>
      </c>
    </row>
    <row r="36" spans="2:12" x14ac:dyDescent="0.25">
      <c r="B36" s="13"/>
      <c r="C36" s="4" t="s">
        <v>42</v>
      </c>
      <c r="D36" s="9">
        <v>10</v>
      </c>
      <c r="E36" s="9">
        <v>3</v>
      </c>
      <c r="F36" s="9">
        <v>6</v>
      </c>
      <c r="G36" s="9"/>
      <c r="H36" s="9"/>
      <c r="L36" s="10">
        <f t="shared" si="0"/>
        <v>19</v>
      </c>
    </row>
    <row r="37" spans="2:12" x14ac:dyDescent="0.25">
      <c r="B37" s="13"/>
      <c r="C37" s="4" t="s">
        <v>16</v>
      </c>
      <c r="D37" s="9">
        <v>0</v>
      </c>
      <c r="E37" s="9"/>
      <c r="F37" s="9">
        <v>1</v>
      </c>
      <c r="G37" s="9"/>
      <c r="H37" s="9"/>
      <c r="L37" s="10">
        <f t="shared" si="0"/>
        <v>1</v>
      </c>
    </row>
    <row r="38" spans="2:12" x14ac:dyDescent="0.25">
      <c r="B38" s="13"/>
      <c r="C38" s="4" t="s">
        <v>17</v>
      </c>
      <c r="D38" s="9">
        <v>3</v>
      </c>
      <c r="E38" s="9"/>
      <c r="F38" s="9">
        <v>2</v>
      </c>
      <c r="G38" s="9">
        <v>1</v>
      </c>
      <c r="H38" s="9"/>
      <c r="L38" s="10">
        <f t="shared" si="0"/>
        <v>6</v>
      </c>
    </row>
    <row r="39" spans="2:12" x14ac:dyDescent="0.25">
      <c r="B39" s="13"/>
      <c r="C39" s="4" t="s">
        <v>19</v>
      </c>
      <c r="D39" s="9">
        <v>3</v>
      </c>
      <c r="E39" s="9">
        <v>1</v>
      </c>
      <c r="F39" s="9">
        <v>7</v>
      </c>
      <c r="G39" s="9">
        <v>2</v>
      </c>
      <c r="H39" s="9"/>
      <c r="L39" s="10">
        <f t="shared" si="0"/>
        <v>13</v>
      </c>
    </row>
    <row r="40" spans="2:12" x14ac:dyDescent="0.25">
      <c r="B40" s="13"/>
      <c r="C40" s="4" t="s">
        <v>20</v>
      </c>
      <c r="D40" s="9">
        <v>9</v>
      </c>
      <c r="E40" s="9">
        <v>1</v>
      </c>
      <c r="F40" s="9">
        <v>11</v>
      </c>
      <c r="G40" s="9">
        <v>5</v>
      </c>
      <c r="H40" s="9"/>
      <c r="L40" s="10">
        <f t="shared" si="0"/>
        <v>26</v>
      </c>
    </row>
    <row r="41" spans="2:12" x14ac:dyDescent="0.25">
      <c r="B41" s="13"/>
      <c r="C41" s="4" t="s">
        <v>21</v>
      </c>
      <c r="D41" s="9">
        <v>1</v>
      </c>
      <c r="E41" s="9">
        <v>3</v>
      </c>
      <c r="F41" s="9">
        <v>2</v>
      </c>
      <c r="G41" s="9">
        <v>2</v>
      </c>
      <c r="H41" s="9"/>
      <c r="L41" s="10">
        <f t="shared" si="0"/>
        <v>8</v>
      </c>
    </row>
    <row r="42" spans="2:12" x14ac:dyDescent="0.25">
      <c r="B42" s="13"/>
      <c r="C42" s="4" t="s">
        <v>22</v>
      </c>
      <c r="D42" s="9">
        <v>400</v>
      </c>
      <c r="E42" s="9">
        <v>117</v>
      </c>
      <c r="F42" s="9">
        <v>12</v>
      </c>
      <c r="G42" s="9">
        <v>21</v>
      </c>
      <c r="H42" s="9">
        <v>47</v>
      </c>
      <c r="L42" s="10">
        <f t="shared" si="0"/>
        <v>597</v>
      </c>
    </row>
    <row r="43" spans="2:12" x14ac:dyDescent="0.25">
      <c r="B43" s="13"/>
      <c r="C43" s="4" t="s">
        <v>23</v>
      </c>
      <c r="D43" s="9">
        <v>12</v>
      </c>
      <c r="E43" s="9">
        <v>17</v>
      </c>
      <c r="F43" s="9">
        <v>16</v>
      </c>
      <c r="G43" s="9">
        <v>6</v>
      </c>
      <c r="H43" s="9"/>
      <c r="L43" s="10">
        <f t="shared" si="0"/>
        <v>51</v>
      </c>
    </row>
    <row r="44" spans="2:12" x14ac:dyDescent="0.25">
      <c r="B44" s="13"/>
      <c r="C44" s="4" t="s">
        <v>24</v>
      </c>
      <c r="D44" s="9">
        <v>7</v>
      </c>
      <c r="E44" s="9">
        <v>3</v>
      </c>
      <c r="F44" s="9">
        <v>6</v>
      </c>
      <c r="G44" s="9">
        <v>4</v>
      </c>
      <c r="H44" s="9"/>
      <c r="L44" s="10">
        <f t="shared" si="0"/>
        <v>20</v>
      </c>
    </row>
    <row r="45" spans="2:12" x14ac:dyDescent="0.25">
      <c r="B45" s="13"/>
      <c r="C45" s="4" t="s">
        <v>25</v>
      </c>
      <c r="D45" s="9">
        <v>8</v>
      </c>
      <c r="E45" s="9">
        <v>15</v>
      </c>
      <c r="F45" s="9"/>
      <c r="G45" s="9"/>
      <c r="H45" s="9"/>
      <c r="L45" s="10">
        <f t="shared" si="0"/>
        <v>23</v>
      </c>
    </row>
    <row r="46" spans="2:12" x14ac:dyDescent="0.25">
      <c r="B46" s="13"/>
      <c r="C46" s="4" t="s">
        <v>28</v>
      </c>
      <c r="D46" s="9">
        <v>8</v>
      </c>
      <c r="E46" s="9">
        <v>10</v>
      </c>
      <c r="F46" s="9"/>
      <c r="G46" s="9"/>
      <c r="H46" s="9"/>
      <c r="L46" s="10">
        <f t="shared" si="0"/>
        <v>18</v>
      </c>
    </row>
    <row r="47" spans="2:12" x14ac:dyDescent="0.25">
      <c r="B47" s="13"/>
      <c r="C47" s="4" t="s">
        <v>29</v>
      </c>
      <c r="D47" s="9">
        <v>67</v>
      </c>
      <c r="E47" s="9">
        <v>56</v>
      </c>
      <c r="F47" s="9">
        <v>37</v>
      </c>
      <c r="G47" s="9">
        <v>5</v>
      </c>
      <c r="H47" s="9"/>
      <c r="L47" s="10">
        <f t="shared" si="0"/>
        <v>165</v>
      </c>
    </row>
    <row r="48" spans="2:12" x14ac:dyDescent="0.25">
      <c r="B48" s="13"/>
      <c r="C48" s="4" t="s">
        <v>43</v>
      </c>
      <c r="D48" s="9"/>
      <c r="E48" s="9">
        <v>4</v>
      </c>
      <c r="F48" s="9">
        <v>2</v>
      </c>
      <c r="G48" s="9">
        <v>2</v>
      </c>
      <c r="H48" s="9"/>
      <c r="L48" s="10">
        <f t="shared" si="0"/>
        <v>8</v>
      </c>
    </row>
    <row r="49" spans="2:12" x14ac:dyDescent="0.25">
      <c r="B49" s="13"/>
      <c r="C49" s="4" t="s">
        <v>30</v>
      </c>
      <c r="D49" s="9">
        <v>2</v>
      </c>
      <c r="E49" s="9"/>
      <c r="F49" s="9">
        <v>5</v>
      </c>
      <c r="G49" s="9">
        <v>1</v>
      </c>
      <c r="H49" s="9"/>
      <c r="L49" s="10">
        <f t="shared" si="0"/>
        <v>8</v>
      </c>
    </row>
    <row r="50" spans="2:12" x14ac:dyDescent="0.25">
      <c r="B50" s="13"/>
      <c r="C50" s="4" t="s">
        <v>61</v>
      </c>
      <c r="D50" s="9"/>
      <c r="E50" s="9"/>
      <c r="F50" s="9"/>
      <c r="G50" s="9">
        <v>0</v>
      </c>
      <c r="H50" s="9"/>
      <c r="L50" s="10">
        <f t="shared" si="0"/>
        <v>0</v>
      </c>
    </row>
    <row r="51" spans="2:12" x14ac:dyDescent="0.25">
      <c r="B51" s="3" t="s">
        <v>33</v>
      </c>
      <c r="C51" s="6"/>
      <c r="D51" s="11">
        <f t="shared" ref="D51:K51" si="2">SUM(D29:D50)</f>
        <v>801</v>
      </c>
      <c r="E51" s="11">
        <f t="shared" si="2"/>
        <v>265</v>
      </c>
      <c r="F51" s="11">
        <f t="shared" si="2"/>
        <v>208</v>
      </c>
      <c r="G51" s="11">
        <f t="shared" si="2"/>
        <v>64</v>
      </c>
      <c r="H51" s="11">
        <f t="shared" si="2"/>
        <v>47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0">
        <f>SUM(D51:K51)</f>
        <v>1385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93AF-CD66-43A9-8138-3B63332CE92B}">
  <dimension ref="B2:L41"/>
  <sheetViews>
    <sheetView topLeftCell="A21" workbookViewId="0">
      <selection activeCell="F33" sqref="F33"/>
    </sheetView>
  </sheetViews>
  <sheetFormatPr defaultRowHeight="15" x14ac:dyDescent="0.25"/>
  <cols>
    <col min="2" max="2" width="18.42578125" customWidth="1"/>
    <col min="3" max="3" width="16.7109375" customWidth="1"/>
    <col min="12" max="12" width="11.5703125" customWidth="1"/>
  </cols>
  <sheetData>
    <row r="2" spans="2:12" ht="18.75" x14ac:dyDescent="0.3">
      <c r="B2" s="5" t="s">
        <v>0</v>
      </c>
      <c r="C2" s="6"/>
      <c r="E2" s="4" t="s">
        <v>1</v>
      </c>
      <c r="F2" s="6"/>
      <c r="G2" s="6"/>
      <c r="H2" s="6"/>
    </row>
    <row r="3" spans="2:12" x14ac:dyDescent="0.25">
      <c r="B3" s="8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1" t="s">
        <v>5</v>
      </c>
      <c r="H3" s="30" t="s">
        <v>4</v>
      </c>
      <c r="I3" s="30" t="s">
        <v>34</v>
      </c>
      <c r="J3" s="30" t="s">
        <v>35</v>
      </c>
      <c r="K3" s="30" t="s">
        <v>36</v>
      </c>
      <c r="L3" s="30" t="s">
        <v>9</v>
      </c>
    </row>
    <row r="4" spans="2:12" ht="45" x14ac:dyDescent="0.25">
      <c r="B4" s="27" t="s">
        <v>62</v>
      </c>
      <c r="C4" s="7" t="s">
        <v>38</v>
      </c>
      <c r="D4" s="9">
        <v>5770.87</v>
      </c>
      <c r="E4" s="9">
        <v>-5361.8</v>
      </c>
      <c r="F4" s="9"/>
      <c r="G4" s="9"/>
      <c r="H4" s="9"/>
      <c r="L4" s="10">
        <f>SUM(D4:K4)</f>
        <v>409.06999999999971</v>
      </c>
    </row>
    <row r="5" spans="2:12" x14ac:dyDescent="0.25">
      <c r="B5" s="13"/>
      <c r="C5" s="4" t="s">
        <v>39</v>
      </c>
      <c r="D5" s="9"/>
      <c r="E5" s="9"/>
      <c r="F5" s="9">
        <v>102.31</v>
      </c>
      <c r="G5" s="9"/>
      <c r="H5" s="9"/>
      <c r="L5" s="10">
        <f t="shared" ref="L5:L20" si="0">SUM(D5:K5)</f>
        <v>102.31</v>
      </c>
    </row>
    <row r="6" spans="2:12" x14ac:dyDescent="0.25">
      <c r="B6" s="13"/>
      <c r="C6" s="4" t="s">
        <v>40</v>
      </c>
      <c r="D6" s="9"/>
      <c r="E6" s="9">
        <v>812.7</v>
      </c>
      <c r="F6" s="9">
        <v>255.66999999999996</v>
      </c>
      <c r="G6" s="9"/>
      <c r="H6" s="9"/>
      <c r="L6" s="10">
        <f t="shared" si="0"/>
        <v>1068.3699999999999</v>
      </c>
    </row>
    <row r="7" spans="2:12" x14ac:dyDescent="0.25">
      <c r="B7" s="13"/>
      <c r="C7" s="4" t="s">
        <v>13</v>
      </c>
      <c r="D7" s="9">
        <v>3424.95</v>
      </c>
      <c r="E7" s="9">
        <v>-3116.3500000000004</v>
      </c>
      <c r="F7" s="9"/>
      <c r="G7" s="9"/>
      <c r="H7" s="9"/>
      <c r="L7" s="10">
        <f t="shared" si="0"/>
        <v>308.59999999999945</v>
      </c>
    </row>
    <row r="8" spans="2:12" x14ac:dyDescent="0.25">
      <c r="B8" s="13"/>
      <c r="C8" s="4" t="s">
        <v>15</v>
      </c>
      <c r="D8" s="9">
        <v>1601.5300000000002</v>
      </c>
      <c r="E8" s="9">
        <v>204</v>
      </c>
      <c r="F8" s="9">
        <v>33647.699999999997</v>
      </c>
      <c r="G8" s="9">
        <v>2821.5499999999997</v>
      </c>
      <c r="H8" s="9">
        <v>2350.02</v>
      </c>
      <c r="L8" s="10">
        <f t="shared" si="0"/>
        <v>40624.799999999996</v>
      </c>
    </row>
    <row r="9" spans="2:12" x14ac:dyDescent="0.25">
      <c r="B9" s="13"/>
      <c r="C9" s="4" t="s">
        <v>42</v>
      </c>
      <c r="D9" s="9">
        <v>23194.929999999997</v>
      </c>
      <c r="E9" s="9">
        <v>12453.37</v>
      </c>
      <c r="F9" s="9">
        <v>28519.08</v>
      </c>
      <c r="G9" s="9">
        <v>11882.12</v>
      </c>
      <c r="H9" s="9"/>
      <c r="L9" s="10">
        <f t="shared" si="0"/>
        <v>76049.5</v>
      </c>
    </row>
    <row r="10" spans="2:12" x14ac:dyDescent="0.25">
      <c r="B10" s="13"/>
      <c r="C10" s="4" t="s">
        <v>16</v>
      </c>
      <c r="D10" s="9">
        <v>5482.329999999999</v>
      </c>
      <c r="E10" s="9">
        <v>5410.15</v>
      </c>
      <c r="F10" s="9">
        <v>7238.130000000001</v>
      </c>
      <c r="G10" s="9">
        <v>3226.7299999999996</v>
      </c>
      <c r="H10" s="9"/>
      <c r="L10" s="10">
        <f t="shared" si="0"/>
        <v>21357.34</v>
      </c>
    </row>
    <row r="11" spans="2:12" x14ac:dyDescent="0.25">
      <c r="B11" s="13"/>
      <c r="C11" s="4" t="s">
        <v>19</v>
      </c>
      <c r="D11" s="9">
        <v>4416.01</v>
      </c>
      <c r="E11" s="9">
        <v>-4652.6000000000004</v>
      </c>
      <c r="F11" s="9"/>
      <c r="G11" s="9"/>
      <c r="H11" s="9"/>
      <c r="L11" s="10">
        <f t="shared" si="0"/>
        <v>-236.59000000000015</v>
      </c>
    </row>
    <row r="12" spans="2:12" x14ac:dyDescent="0.25">
      <c r="B12" s="13"/>
      <c r="C12" s="4" t="s">
        <v>20</v>
      </c>
      <c r="D12" s="9">
        <v>3453.29</v>
      </c>
      <c r="E12" s="9">
        <v>-4240.2</v>
      </c>
      <c r="F12" s="9"/>
      <c r="G12" s="9"/>
      <c r="H12" s="9"/>
      <c r="L12" s="10">
        <f t="shared" si="0"/>
        <v>-786.90999999999985</v>
      </c>
    </row>
    <row r="13" spans="2:12" x14ac:dyDescent="0.25">
      <c r="B13" s="13"/>
      <c r="C13" s="4" t="s">
        <v>21</v>
      </c>
      <c r="D13" s="9"/>
      <c r="E13" s="9">
        <v>-896.4</v>
      </c>
      <c r="F13" s="9"/>
      <c r="G13" s="9"/>
      <c r="H13" s="9"/>
      <c r="L13" s="10">
        <f t="shared" si="0"/>
        <v>-896.4</v>
      </c>
    </row>
    <row r="14" spans="2:12" x14ac:dyDescent="0.25">
      <c r="B14" s="13"/>
      <c r="C14" s="4" t="s">
        <v>23</v>
      </c>
      <c r="D14" s="9">
        <v>13858.07</v>
      </c>
      <c r="E14" s="9">
        <v>-10595.95</v>
      </c>
      <c r="F14" s="9"/>
      <c r="G14" s="9"/>
      <c r="H14" s="9"/>
      <c r="L14" s="10">
        <f t="shared" si="0"/>
        <v>3262.119999999999</v>
      </c>
    </row>
    <row r="15" spans="2:12" x14ac:dyDescent="0.25">
      <c r="B15" s="13"/>
      <c r="C15" s="4" t="s">
        <v>24</v>
      </c>
      <c r="D15" s="9">
        <v>7069.51</v>
      </c>
      <c r="E15" s="9">
        <v>3445.3300000000004</v>
      </c>
      <c r="F15" s="9">
        <v>5454.61</v>
      </c>
      <c r="G15" s="9">
        <v>320.86</v>
      </c>
      <c r="H15" s="9"/>
      <c r="L15" s="10">
        <f t="shared" si="0"/>
        <v>16290.310000000001</v>
      </c>
    </row>
    <row r="16" spans="2:12" x14ac:dyDescent="0.25">
      <c r="B16" s="13"/>
      <c r="C16" s="4" t="s">
        <v>25</v>
      </c>
      <c r="D16" s="9">
        <v>4941.0199999999995</v>
      </c>
      <c r="E16" s="9">
        <v>3217.3100000000004</v>
      </c>
      <c r="F16" s="9">
        <v>1953.03</v>
      </c>
      <c r="G16" s="9">
        <v>195.24</v>
      </c>
      <c r="H16" s="9"/>
      <c r="L16" s="10">
        <f t="shared" si="0"/>
        <v>10306.6</v>
      </c>
    </row>
    <row r="17" spans="2:12" x14ac:dyDescent="0.25">
      <c r="B17" s="13"/>
      <c r="C17" s="4" t="s">
        <v>28</v>
      </c>
      <c r="D17" s="9">
        <v>5713.76</v>
      </c>
      <c r="E17" s="9">
        <v>3909.87</v>
      </c>
      <c r="F17" s="9">
        <v>5616.9400000000014</v>
      </c>
      <c r="G17" s="9">
        <v>2159.3799999999997</v>
      </c>
      <c r="H17" s="9"/>
      <c r="L17" s="10">
        <f t="shared" si="0"/>
        <v>17399.950000000004</v>
      </c>
    </row>
    <row r="18" spans="2:12" x14ac:dyDescent="0.25">
      <c r="B18" s="13"/>
      <c r="C18" s="4" t="s">
        <v>29</v>
      </c>
      <c r="D18" s="9">
        <v>10006.17</v>
      </c>
      <c r="E18" s="9">
        <v>5508.04</v>
      </c>
      <c r="F18" s="9">
        <v>5115.0999999999995</v>
      </c>
      <c r="G18" s="9">
        <v>7206.45</v>
      </c>
      <c r="H18" s="9"/>
      <c r="L18" s="10">
        <f t="shared" si="0"/>
        <v>27835.759999999998</v>
      </c>
    </row>
    <row r="19" spans="2:12" x14ac:dyDescent="0.25">
      <c r="B19" s="13"/>
      <c r="C19" s="4" t="s">
        <v>31</v>
      </c>
      <c r="D19" s="9">
        <v>5476.7900000000009</v>
      </c>
      <c r="E19" s="9">
        <v>13435.220000000001</v>
      </c>
      <c r="F19" s="9">
        <v>12250.4</v>
      </c>
      <c r="G19" s="9">
        <v>5290.76</v>
      </c>
      <c r="H19" s="9"/>
      <c r="L19" s="10">
        <f t="shared" si="0"/>
        <v>36453.170000000006</v>
      </c>
    </row>
    <row r="20" spans="2:12" x14ac:dyDescent="0.25">
      <c r="B20" s="13"/>
      <c r="C20" s="4" t="s">
        <v>61</v>
      </c>
      <c r="D20" s="9"/>
      <c r="E20" s="9"/>
      <c r="F20" s="9"/>
      <c r="G20" s="9">
        <v>-11022.493557591215</v>
      </c>
      <c r="H20" s="9"/>
      <c r="L20" s="10">
        <f t="shared" si="0"/>
        <v>-11022.493557591215</v>
      </c>
    </row>
    <row r="21" spans="2:12" x14ac:dyDescent="0.25">
      <c r="B21" s="3" t="s">
        <v>44</v>
      </c>
      <c r="C21" s="6"/>
      <c r="D21" s="11">
        <v>94409.23000000001</v>
      </c>
      <c r="E21" s="11">
        <v>19532.689999999999</v>
      </c>
      <c r="F21" s="11">
        <v>100152.97</v>
      </c>
      <c r="G21" s="11">
        <v>22080.596442408787</v>
      </c>
      <c r="H21" s="11">
        <v>2350.02</v>
      </c>
      <c r="L21" s="10">
        <f>SUM(D21:K21)</f>
        <v>238525.50644240881</v>
      </c>
    </row>
    <row r="22" spans="2:12" x14ac:dyDescent="0.25">
      <c r="B22" s="13"/>
      <c r="C22" s="4"/>
      <c r="D22" s="9"/>
      <c r="E22" s="9"/>
      <c r="F22" s="9"/>
      <c r="G22" s="9"/>
      <c r="H22" s="9"/>
      <c r="L22" s="10"/>
    </row>
    <row r="23" spans="2:12" x14ac:dyDescent="0.25">
      <c r="B23" s="8" t="s">
        <v>2</v>
      </c>
      <c r="C23" s="30" t="s">
        <v>3</v>
      </c>
      <c r="D23" s="31" t="s">
        <v>8</v>
      </c>
      <c r="E23" s="31" t="s">
        <v>7</v>
      </c>
      <c r="F23" s="31" t="s">
        <v>6</v>
      </c>
      <c r="G23" s="31" t="s">
        <v>5</v>
      </c>
      <c r="H23" s="30" t="s">
        <v>4</v>
      </c>
      <c r="I23" s="30" t="s">
        <v>34</v>
      </c>
      <c r="J23" s="30" t="s">
        <v>35</v>
      </c>
      <c r="K23" s="30" t="s">
        <v>36</v>
      </c>
      <c r="L23" s="30" t="s">
        <v>9</v>
      </c>
    </row>
    <row r="24" spans="2:12" x14ac:dyDescent="0.25">
      <c r="B24" s="13"/>
      <c r="C24" s="7" t="s">
        <v>38</v>
      </c>
      <c r="D24" s="11">
        <v>26</v>
      </c>
      <c r="E24" s="11">
        <v>-23</v>
      </c>
      <c r="F24" s="11"/>
      <c r="G24" s="11"/>
      <c r="H24" s="11"/>
      <c r="L24" s="20">
        <f>SUM(D24:K24)</f>
        <v>3</v>
      </c>
    </row>
    <row r="25" spans="2:12" x14ac:dyDescent="0.25">
      <c r="B25" s="13"/>
      <c r="C25" s="4" t="s">
        <v>39</v>
      </c>
      <c r="D25" s="9"/>
      <c r="E25" s="9"/>
      <c r="F25" s="9">
        <v>1</v>
      </c>
      <c r="G25" s="9"/>
      <c r="H25" s="9"/>
      <c r="L25" s="20">
        <f t="shared" ref="L25:L40" si="1">SUM(D25:K25)</f>
        <v>1</v>
      </c>
    </row>
    <row r="26" spans="2:12" x14ac:dyDescent="0.25">
      <c r="B26" s="13"/>
      <c r="C26" s="4" t="s">
        <v>40</v>
      </c>
      <c r="D26" s="9"/>
      <c r="E26" s="9">
        <v>33</v>
      </c>
      <c r="F26" s="9">
        <v>11</v>
      </c>
      <c r="G26" s="9"/>
      <c r="H26" s="9"/>
      <c r="L26" s="20">
        <f t="shared" si="1"/>
        <v>44</v>
      </c>
    </row>
    <row r="27" spans="2:12" x14ac:dyDescent="0.25">
      <c r="B27" s="13"/>
      <c r="C27" s="4" t="s">
        <v>13</v>
      </c>
      <c r="D27" s="9">
        <v>19</v>
      </c>
      <c r="E27" s="9">
        <v>-16</v>
      </c>
      <c r="F27" s="9"/>
      <c r="G27" s="9"/>
      <c r="H27" s="9"/>
      <c r="L27" s="20">
        <f t="shared" si="1"/>
        <v>3</v>
      </c>
    </row>
    <row r="28" spans="2:12" x14ac:dyDescent="0.25">
      <c r="B28" s="13"/>
      <c r="C28" s="4" t="s">
        <v>15</v>
      </c>
      <c r="D28" s="9">
        <v>9</v>
      </c>
      <c r="E28" s="9">
        <v>1</v>
      </c>
      <c r="F28" s="9">
        <v>179</v>
      </c>
      <c r="G28" s="9">
        <v>15</v>
      </c>
      <c r="H28" s="9">
        <v>10</v>
      </c>
      <c r="L28" s="20">
        <f t="shared" si="1"/>
        <v>214</v>
      </c>
    </row>
    <row r="29" spans="2:12" x14ac:dyDescent="0.25">
      <c r="B29" s="13"/>
      <c r="C29" s="4" t="s">
        <v>42</v>
      </c>
      <c r="D29" s="9">
        <v>60</v>
      </c>
      <c r="E29" s="9">
        <v>32</v>
      </c>
      <c r="F29" s="9">
        <v>72</v>
      </c>
      <c r="G29" s="9">
        <v>30</v>
      </c>
      <c r="H29" s="9"/>
      <c r="L29" s="20">
        <f t="shared" si="1"/>
        <v>194</v>
      </c>
    </row>
    <row r="30" spans="2:12" x14ac:dyDescent="0.25">
      <c r="B30" s="13"/>
      <c r="C30" s="4" t="s">
        <v>16</v>
      </c>
      <c r="D30" s="9">
        <v>63</v>
      </c>
      <c r="E30" s="9">
        <v>58</v>
      </c>
      <c r="F30" s="9">
        <v>74</v>
      </c>
      <c r="G30" s="9">
        <v>33</v>
      </c>
      <c r="H30" s="9"/>
      <c r="L30" s="20">
        <f t="shared" si="1"/>
        <v>228</v>
      </c>
    </row>
    <row r="31" spans="2:12" x14ac:dyDescent="0.25">
      <c r="B31" s="13"/>
      <c r="C31" s="4" t="s">
        <v>19</v>
      </c>
      <c r="D31" s="9">
        <v>23</v>
      </c>
      <c r="E31" s="9">
        <v>-23</v>
      </c>
      <c r="F31" s="9"/>
      <c r="G31" s="9"/>
      <c r="H31" s="9"/>
      <c r="L31" s="20">
        <f t="shared" si="1"/>
        <v>0</v>
      </c>
    </row>
    <row r="32" spans="2:12" x14ac:dyDescent="0.25">
      <c r="B32" s="13"/>
      <c r="C32" s="4" t="s">
        <v>20</v>
      </c>
      <c r="D32" s="9">
        <v>18</v>
      </c>
      <c r="E32" s="9">
        <v>-21</v>
      </c>
      <c r="F32" s="9"/>
      <c r="G32" s="9"/>
      <c r="H32" s="9"/>
      <c r="L32" s="20">
        <f t="shared" si="1"/>
        <v>-3</v>
      </c>
    </row>
    <row r="33" spans="2:12" x14ac:dyDescent="0.25">
      <c r="B33" s="13"/>
      <c r="C33" s="4" t="s">
        <v>21</v>
      </c>
      <c r="D33" s="9"/>
      <c r="E33" s="9">
        <v>-3</v>
      </c>
      <c r="F33" s="9"/>
      <c r="G33" s="9"/>
      <c r="H33" s="9"/>
      <c r="L33" s="20">
        <f t="shared" si="1"/>
        <v>-3</v>
      </c>
    </row>
    <row r="34" spans="2:12" x14ac:dyDescent="0.25">
      <c r="B34" s="13"/>
      <c r="C34" s="4" t="s">
        <v>23</v>
      </c>
      <c r="D34" s="9">
        <v>27</v>
      </c>
      <c r="E34" s="9">
        <v>-19</v>
      </c>
      <c r="F34" s="9"/>
      <c r="G34" s="9"/>
      <c r="H34" s="9"/>
      <c r="L34" s="20">
        <f t="shared" si="1"/>
        <v>8</v>
      </c>
    </row>
    <row r="35" spans="2:12" x14ac:dyDescent="0.25">
      <c r="B35" s="13"/>
      <c r="C35" s="4" t="s">
        <v>24</v>
      </c>
      <c r="D35" s="9">
        <v>23</v>
      </c>
      <c r="E35" s="9">
        <v>11</v>
      </c>
      <c r="F35" s="9">
        <v>17</v>
      </c>
      <c r="G35" s="9">
        <v>1</v>
      </c>
      <c r="H35" s="9"/>
      <c r="L35" s="20">
        <f t="shared" si="1"/>
        <v>52</v>
      </c>
    </row>
    <row r="36" spans="2:12" x14ac:dyDescent="0.25">
      <c r="B36" s="13"/>
      <c r="C36" s="4" t="s">
        <v>25</v>
      </c>
      <c r="D36" s="9">
        <v>27</v>
      </c>
      <c r="E36" s="9">
        <v>17</v>
      </c>
      <c r="F36" s="9">
        <v>10</v>
      </c>
      <c r="G36" s="9">
        <v>1</v>
      </c>
      <c r="H36" s="9"/>
      <c r="L36" s="20">
        <f t="shared" si="1"/>
        <v>55</v>
      </c>
    </row>
    <row r="37" spans="2:12" x14ac:dyDescent="0.25">
      <c r="B37" s="13"/>
      <c r="C37" s="4" t="s">
        <v>28</v>
      </c>
      <c r="D37" s="9">
        <v>43</v>
      </c>
      <c r="E37" s="9">
        <v>28</v>
      </c>
      <c r="F37" s="9">
        <v>39</v>
      </c>
      <c r="G37" s="9">
        <v>15</v>
      </c>
      <c r="H37" s="9"/>
      <c r="L37" s="20">
        <f t="shared" si="1"/>
        <v>125</v>
      </c>
    </row>
    <row r="38" spans="2:12" x14ac:dyDescent="0.25">
      <c r="B38" s="13"/>
      <c r="C38" s="4" t="s">
        <v>29</v>
      </c>
      <c r="D38" s="9">
        <v>48</v>
      </c>
      <c r="E38" s="9">
        <v>26</v>
      </c>
      <c r="F38" s="9">
        <v>22</v>
      </c>
      <c r="G38" s="9">
        <v>31</v>
      </c>
      <c r="H38" s="9"/>
      <c r="L38" s="20">
        <f t="shared" si="1"/>
        <v>127</v>
      </c>
    </row>
    <row r="39" spans="2:12" x14ac:dyDescent="0.25">
      <c r="B39" s="13"/>
      <c r="C39" s="4" t="s">
        <v>31</v>
      </c>
      <c r="D39" s="9">
        <v>143</v>
      </c>
      <c r="E39" s="9">
        <v>331</v>
      </c>
      <c r="F39" s="9">
        <v>292</v>
      </c>
      <c r="G39" s="9">
        <v>126</v>
      </c>
      <c r="H39" s="9"/>
      <c r="L39" s="20">
        <f t="shared" si="1"/>
        <v>892</v>
      </c>
    </row>
    <row r="40" spans="2:12" x14ac:dyDescent="0.25">
      <c r="B40" s="13"/>
      <c r="C40" s="4" t="s">
        <v>61</v>
      </c>
      <c r="D40" s="9"/>
      <c r="E40" s="9"/>
      <c r="F40" s="9"/>
      <c r="G40" s="9">
        <v>0</v>
      </c>
      <c r="H40" s="9"/>
      <c r="L40" s="20">
        <f t="shared" si="1"/>
        <v>0</v>
      </c>
    </row>
    <row r="41" spans="2:12" x14ac:dyDescent="0.25">
      <c r="B41" s="8" t="s">
        <v>45</v>
      </c>
      <c r="C41" s="23"/>
      <c r="D41" s="11">
        <v>529</v>
      </c>
      <c r="E41" s="11">
        <v>432</v>
      </c>
      <c r="F41" s="11">
        <v>717</v>
      </c>
      <c r="G41" s="11">
        <v>252</v>
      </c>
      <c r="H41" s="11">
        <v>10</v>
      </c>
      <c r="L41" s="20">
        <f>SUM(D41:K41)</f>
        <v>1940</v>
      </c>
    </row>
  </sheetData>
  <conditionalFormatting sqref="D21:K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K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K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260C-E964-4DC4-A818-8994EB4FD687}">
  <dimension ref="B2:L53"/>
  <sheetViews>
    <sheetView topLeftCell="A15" workbookViewId="0">
      <selection activeCell="L27" sqref="L27"/>
    </sheetView>
  </sheetViews>
  <sheetFormatPr defaultRowHeight="15" x14ac:dyDescent="0.25"/>
  <cols>
    <col min="3" max="3" width="16.7109375" customWidth="1"/>
    <col min="8" max="8" width="16.710937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63</v>
      </c>
      <c r="C4" s="7" t="s">
        <v>11</v>
      </c>
      <c r="D4" s="9">
        <v>14023.64</v>
      </c>
      <c r="E4" s="9">
        <v>15416.050000000001</v>
      </c>
      <c r="F4" s="9">
        <v>15403.960000000001</v>
      </c>
      <c r="G4" s="9">
        <v>10502.7</v>
      </c>
      <c r="H4" s="9"/>
      <c r="L4" s="10">
        <f>SUM(D4:K4)</f>
        <v>55346.350000000006</v>
      </c>
    </row>
    <row r="5" spans="2:12" x14ac:dyDescent="0.25">
      <c r="B5" s="13"/>
      <c r="C5" s="4" t="s">
        <v>12</v>
      </c>
      <c r="D5" s="9">
        <v>1104.8699999999999</v>
      </c>
      <c r="E5" s="9">
        <v>373.49</v>
      </c>
      <c r="F5" s="9"/>
      <c r="G5" s="9"/>
      <c r="H5" s="9"/>
      <c r="L5" s="10">
        <f t="shared" ref="L5:L26" si="0">SUM(D5:K5)</f>
        <v>1478.36</v>
      </c>
    </row>
    <row r="6" spans="2:12" x14ac:dyDescent="0.25">
      <c r="B6" s="13"/>
      <c r="C6" s="4" t="s">
        <v>38</v>
      </c>
      <c r="D6" s="9">
        <v>650.59999999999991</v>
      </c>
      <c r="E6" s="9"/>
      <c r="F6" s="9"/>
      <c r="G6" s="9">
        <v>1122.46</v>
      </c>
      <c r="H6" s="9"/>
      <c r="L6" s="10">
        <f t="shared" si="0"/>
        <v>1773.06</v>
      </c>
    </row>
    <row r="7" spans="2:12" x14ac:dyDescent="0.25">
      <c r="B7" s="13"/>
      <c r="C7" s="4" t="s">
        <v>64</v>
      </c>
      <c r="D7" s="9">
        <v>3853.2999999999997</v>
      </c>
      <c r="E7" s="9">
        <v>2697.31</v>
      </c>
      <c r="F7" s="9">
        <v>2311.96</v>
      </c>
      <c r="G7" s="9">
        <v>770.65</v>
      </c>
      <c r="H7" s="9"/>
      <c r="L7" s="10">
        <f t="shared" si="0"/>
        <v>9633.2199999999993</v>
      </c>
    </row>
    <row r="8" spans="2:12" x14ac:dyDescent="0.25">
      <c r="B8" s="13"/>
      <c r="C8" s="4" t="s">
        <v>13</v>
      </c>
      <c r="D8" s="9">
        <v>3646.119999999999</v>
      </c>
      <c r="E8" s="9">
        <v>2864.6</v>
      </c>
      <c r="F8" s="9">
        <v>1310.3699999999999</v>
      </c>
      <c r="G8" s="9"/>
      <c r="H8" s="9"/>
      <c r="L8" s="10">
        <f t="shared" si="0"/>
        <v>7821.0899999999992</v>
      </c>
    </row>
    <row r="9" spans="2:12" x14ac:dyDescent="0.25">
      <c r="B9" s="13"/>
      <c r="C9" s="4" t="s">
        <v>14</v>
      </c>
      <c r="D9" s="9">
        <v>4084.5999999999985</v>
      </c>
      <c r="E9" s="9">
        <v>2640.5199999999995</v>
      </c>
      <c r="F9" s="9">
        <v>3120.170000000001</v>
      </c>
      <c r="G9" s="9">
        <v>3840.26</v>
      </c>
      <c r="H9" s="9"/>
      <c r="L9" s="10">
        <f t="shared" si="0"/>
        <v>13685.55</v>
      </c>
    </row>
    <row r="10" spans="2:12" x14ac:dyDescent="0.25">
      <c r="B10" s="13"/>
      <c r="C10" s="4" t="s">
        <v>15</v>
      </c>
      <c r="D10" s="9">
        <v>11965.999999999998</v>
      </c>
      <c r="E10" s="9">
        <v>10868.6</v>
      </c>
      <c r="F10" s="9">
        <v>47903.049999999996</v>
      </c>
      <c r="G10" s="9">
        <v>5385.1399999999994</v>
      </c>
      <c r="H10" s="9">
        <v>376</v>
      </c>
      <c r="L10" s="10">
        <f t="shared" si="0"/>
        <v>76498.789999999994</v>
      </c>
    </row>
    <row r="11" spans="2:12" x14ac:dyDescent="0.25">
      <c r="B11" s="13"/>
      <c r="C11" s="4" t="s">
        <v>42</v>
      </c>
      <c r="D11" s="9">
        <v>1978.8</v>
      </c>
      <c r="E11" s="9"/>
      <c r="F11" s="9"/>
      <c r="G11" s="9"/>
      <c r="H11" s="9"/>
      <c r="L11" s="10">
        <f t="shared" si="0"/>
        <v>1978.8</v>
      </c>
    </row>
    <row r="12" spans="2:12" x14ac:dyDescent="0.25">
      <c r="B12" s="13"/>
      <c r="C12" s="4" t="s">
        <v>16</v>
      </c>
      <c r="D12" s="9">
        <v>11442.220000000005</v>
      </c>
      <c r="E12" s="9">
        <v>9716.6600000000017</v>
      </c>
      <c r="F12" s="9">
        <v>7913.0700000000015</v>
      </c>
      <c r="G12" s="9">
        <v>11070.939999999997</v>
      </c>
      <c r="H12" s="9"/>
      <c r="L12" s="10">
        <f t="shared" si="0"/>
        <v>40142.89</v>
      </c>
    </row>
    <row r="13" spans="2:12" x14ac:dyDescent="0.25">
      <c r="B13" s="13"/>
      <c r="C13" s="4" t="s">
        <v>17</v>
      </c>
      <c r="D13" s="9">
        <v>1696.44</v>
      </c>
      <c r="E13" s="9">
        <v>1472.4300000000003</v>
      </c>
      <c r="F13" s="9">
        <v>210.33</v>
      </c>
      <c r="G13" s="9">
        <v>1743.0699999999997</v>
      </c>
      <c r="H13" s="9"/>
      <c r="L13" s="10">
        <f t="shared" si="0"/>
        <v>5122.2700000000004</v>
      </c>
    </row>
    <row r="14" spans="2:12" x14ac:dyDescent="0.25">
      <c r="B14" s="13"/>
      <c r="C14" s="4" t="s">
        <v>19</v>
      </c>
      <c r="D14" s="9">
        <v>1469.21</v>
      </c>
      <c r="E14" s="9">
        <v>1684.4299999999998</v>
      </c>
      <c r="F14" s="9">
        <v>1683.5200000000002</v>
      </c>
      <c r="G14" s="9">
        <v>2189.35</v>
      </c>
      <c r="H14" s="9"/>
      <c r="L14" s="10">
        <f t="shared" si="0"/>
        <v>7026.51</v>
      </c>
    </row>
    <row r="15" spans="2:12" x14ac:dyDescent="0.25">
      <c r="B15" s="13"/>
      <c r="C15" s="4" t="s">
        <v>20</v>
      </c>
      <c r="D15" s="9">
        <v>3373.5099999999998</v>
      </c>
      <c r="E15" s="9">
        <v>2526.2599999999998</v>
      </c>
      <c r="F15" s="9">
        <v>3997.4099999999989</v>
      </c>
      <c r="G15" s="9">
        <v>2721.47</v>
      </c>
      <c r="H15" s="9"/>
      <c r="L15" s="10">
        <f t="shared" si="0"/>
        <v>12618.649999999998</v>
      </c>
    </row>
    <row r="16" spans="2:12" x14ac:dyDescent="0.25">
      <c r="B16" s="13"/>
      <c r="C16" s="4" t="s">
        <v>21</v>
      </c>
      <c r="D16" s="9">
        <v>305.27999999999997</v>
      </c>
      <c r="E16" s="9">
        <v>5487.0400000000009</v>
      </c>
      <c r="F16" s="9">
        <v>1828.62</v>
      </c>
      <c r="G16" s="9">
        <v>5824.0600000000013</v>
      </c>
      <c r="H16" s="9">
        <v>256</v>
      </c>
      <c r="L16" s="10">
        <f t="shared" si="0"/>
        <v>13701.000000000002</v>
      </c>
    </row>
    <row r="17" spans="2:12" x14ac:dyDescent="0.25">
      <c r="B17" s="13"/>
      <c r="C17" s="4" t="s">
        <v>22</v>
      </c>
      <c r="D17" s="9">
        <v>35160.619999999995</v>
      </c>
      <c r="E17" s="9">
        <v>3629.8899999999994</v>
      </c>
      <c r="F17" s="9">
        <v>990</v>
      </c>
      <c r="G17" s="9"/>
      <c r="H17" s="9">
        <v>1649.95</v>
      </c>
      <c r="L17" s="10">
        <f t="shared" si="0"/>
        <v>41430.459999999992</v>
      </c>
    </row>
    <row r="18" spans="2:12" x14ac:dyDescent="0.25">
      <c r="B18" s="13"/>
      <c r="C18" s="4" t="s">
        <v>23</v>
      </c>
      <c r="D18" s="9">
        <v>9580.0500000000011</v>
      </c>
      <c r="E18" s="9">
        <v>6187.5999999999995</v>
      </c>
      <c r="F18" s="9">
        <v>11765.84</v>
      </c>
      <c r="G18" s="9">
        <v>6842.3899999999994</v>
      </c>
      <c r="H18" s="9"/>
      <c r="L18" s="10">
        <f t="shared" si="0"/>
        <v>34375.880000000005</v>
      </c>
    </row>
    <row r="19" spans="2:12" x14ac:dyDescent="0.25">
      <c r="B19" s="13"/>
      <c r="C19" s="4" t="s">
        <v>24</v>
      </c>
      <c r="D19" s="9">
        <v>4714.5500000000011</v>
      </c>
      <c r="E19" s="9">
        <v>7070.6499999999987</v>
      </c>
      <c r="F19" s="9">
        <v>9127.32</v>
      </c>
      <c r="G19" s="9">
        <v>6232.630000000001</v>
      </c>
      <c r="H19" s="9"/>
      <c r="L19" s="10">
        <f t="shared" si="0"/>
        <v>27145.15</v>
      </c>
    </row>
    <row r="20" spans="2:12" x14ac:dyDescent="0.25">
      <c r="B20" s="13"/>
      <c r="C20" s="4" t="s">
        <v>26</v>
      </c>
      <c r="D20" s="9">
        <v>6094.48</v>
      </c>
      <c r="E20" s="9">
        <v>4756.3200000000006</v>
      </c>
      <c r="F20" s="9">
        <v>1745.96</v>
      </c>
      <c r="G20" s="9">
        <v>6086.47</v>
      </c>
      <c r="H20" s="9"/>
      <c r="L20" s="10">
        <f t="shared" si="0"/>
        <v>18683.23</v>
      </c>
    </row>
    <row r="21" spans="2:12" x14ac:dyDescent="0.25">
      <c r="B21" s="13"/>
      <c r="C21" s="4" t="s">
        <v>27</v>
      </c>
      <c r="D21" s="9">
        <v>8503.8199999999979</v>
      </c>
      <c r="E21" s="9">
        <v>7092.1699999999992</v>
      </c>
      <c r="F21" s="9">
        <v>5852.3899999999994</v>
      </c>
      <c r="G21" s="9">
        <v>5322.79</v>
      </c>
      <c r="H21" s="9"/>
      <c r="L21" s="10">
        <f t="shared" si="0"/>
        <v>26771.17</v>
      </c>
    </row>
    <row r="22" spans="2:12" x14ac:dyDescent="0.25">
      <c r="B22" s="13"/>
      <c r="C22" s="4" t="s">
        <v>28</v>
      </c>
      <c r="D22" s="9">
        <v>9579.8499999999985</v>
      </c>
      <c r="E22" s="9">
        <v>12515.339999999998</v>
      </c>
      <c r="F22" s="9">
        <v>8181.3800000000019</v>
      </c>
      <c r="G22" s="9">
        <v>4684.6099999999997</v>
      </c>
      <c r="H22" s="9"/>
      <c r="L22" s="10">
        <f t="shared" si="0"/>
        <v>34961.179999999993</v>
      </c>
    </row>
    <row r="23" spans="2:12" x14ac:dyDescent="0.25">
      <c r="B23" s="13"/>
      <c r="C23" s="4" t="s">
        <v>29</v>
      </c>
      <c r="D23" s="9">
        <v>3693.12</v>
      </c>
      <c r="E23" s="9">
        <v>230.82</v>
      </c>
      <c r="F23" s="9">
        <v>692.46</v>
      </c>
      <c r="G23" s="9">
        <v>923.28</v>
      </c>
      <c r="H23" s="9"/>
      <c r="L23" s="10">
        <f t="shared" si="0"/>
        <v>5539.6799999999994</v>
      </c>
    </row>
    <row r="24" spans="2:12" x14ac:dyDescent="0.25">
      <c r="B24" s="13"/>
      <c r="C24" s="4" t="s">
        <v>43</v>
      </c>
      <c r="D24" s="9">
        <v>869.25</v>
      </c>
      <c r="E24" s="9">
        <v>752.65</v>
      </c>
      <c r="F24" s="9"/>
      <c r="G24" s="9">
        <v>273.60000000000002</v>
      </c>
      <c r="H24" s="9"/>
      <c r="L24" s="10">
        <f t="shared" si="0"/>
        <v>1895.5</v>
      </c>
    </row>
    <row r="25" spans="2:12" x14ac:dyDescent="0.25">
      <c r="B25" s="13"/>
      <c r="C25" s="4" t="s">
        <v>30</v>
      </c>
      <c r="D25" s="9">
        <v>1478.5900000000001</v>
      </c>
      <c r="E25" s="9">
        <v>1052.6299999999999</v>
      </c>
      <c r="F25" s="9">
        <v>841.8</v>
      </c>
      <c r="G25" s="9">
        <v>223.01</v>
      </c>
      <c r="H25" s="9"/>
      <c r="L25" s="10">
        <f t="shared" si="0"/>
        <v>3596.0300000000007</v>
      </c>
    </row>
    <row r="26" spans="2:12" x14ac:dyDescent="0.25">
      <c r="B26" s="13"/>
      <c r="C26" s="4" t="s">
        <v>31</v>
      </c>
      <c r="D26" s="9">
        <v>20105.940000000002</v>
      </c>
      <c r="E26" s="9">
        <v>18992.810000000005</v>
      </c>
      <c r="F26" s="9">
        <v>16082.029999999995</v>
      </c>
      <c r="G26" s="9">
        <v>16284.450000000004</v>
      </c>
      <c r="H26" s="9"/>
      <c r="L26" s="10">
        <f t="shared" si="0"/>
        <v>71465.23000000001</v>
      </c>
    </row>
    <row r="27" spans="2:12" x14ac:dyDescent="0.25">
      <c r="B27" s="3" t="s">
        <v>33</v>
      </c>
      <c r="C27" s="6"/>
      <c r="D27" s="11">
        <f t="shared" ref="D27:K27" si="1">SUM(D4:D26)</f>
        <v>159374.85999999999</v>
      </c>
      <c r="E27" s="11">
        <f t="shared" si="1"/>
        <v>118028.27000000002</v>
      </c>
      <c r="F27" s="11">
        <f t="shared" si="1"/>
        <v>140961.64000000001</v>
      </c>
      <c r="G27" s="11">
        <f t="shared" si="1"/>
        <v>92043.329999999987</v>
      </c>
      <c r="H27" s="11">
        <f t="shared" si="1"/>
        <v>2281.9499999999998</v>
      </c>
      <c r="I27" s="11">
        <f t="shared" si="1"/>
        <v>0</v>
      </c>
      <c r="J27" s="11">
        <f t="shared" si="1"/>
        <v>0</v>
      </c>
      <c r="K27" s="11">
        <f t="shared" si="1"/>
        <v>0</v>
      </c>
      <c r="L27" s="10">
        <f>SUM(D27:K27)</f>
        <v>512690.05</v>
      </c>
    </row>
    <row r="28" spans="2:12" x14ac:dyDescent="0.25">
      <c r="B28" s="13"/>
      <c r="C28" s="4"/>
      <c r="D28" s="9"/>
      <c r="E28" s="9"/>
      <c r="F28" s="9"/>
      <c r="G28" s="9"/>
      <c r="L28" s="10"/>
    </row>
    <row r="29" spans="2:12" x14ac:dyDescent="0.25">
      <c r="B29" s="8" t="s">
        <v>2</v>
      </c>
      <c r="C29" s="30" t="s">
        <v>3</v>
      </c>
      <c r="D29" s="31" t="s">
        <v>8</v>
      </c>
      <c r="E29" s="31" t="s">
        <v>7</v>
      </c>
      <c r="F29" s="31" t="s">
        <v>6</v>
      </c>
      <c r="G29" s="31" t="s">
        <v>5</v>
      </c>
      <c r="H29" s="30" t="s">
        <v>4</v>
      </c>
      <c r="I29" s="30" t="s">
        <v>34</v>
      </c>
      <c r="J29" s="30" t="s">
        <v>35</v>
      </c>
      <c r="K29" s="30" t="s">
        <v>36</v>
      </c>
      <c r="L29" s="30" t="s">
        <v>9</v>
      </c>
    </row>
    <row r="30" spans="2:12" x14ac:dyDescent="0.25">
      <c r="B30" s="13"/>
      <c r="C30" s="7" t="s">
        <v>11</v>
      </c>
      <c r="D30" s="11">
        <v>20</v>
      </c>
      <c r="E30" s="11">
        <v>22</v>
      </c>
      <c r="F30" s="11">
        <v>22</v>
      </c>
      <c r="G30" s="11">
        <v>15</v>
      </c>
      <c r="H30" s="11"/>
      <c r="L30" s="20">
        <f>SUM(D30:K30)</f>
        <v>79</v>
      </c>
    </row>
    <row r="31" spans="2:12" x14ac:dyDescent="0.25">
      <c r="B31" s="13"/>
      <c r="C31" s="4" t="s">
        <v>12</v>
      </c>
      <c r="D31" s="9">
        <v>3</v>
      </c>
      <c r="E31" s="9">
        <v>1</v>
      </c>
      <c r="F31" s="9"/>
      <c r="G31" s="9"/>
      <c r="H31" s="9"/>
      <c r="L31" s="20">
        <f t="shared" ref="L31:L52" si="2">SUM(D31:K31)</f>
        <v>4</v>
      </c>
    </row>
    <row r="32" spans="2:12" x14ac:dyDescent="0.25">
      <c r="B32" s="13"/>
      <c r="C32" s="4" t="s">
        <v>38</v>
      </c>
      <c r="D32" s="9">
        <v>3</v>
      </c>
      <c r="E32" s="9"/>
      <c r="F32" s="9"/>
      <c r="G32" s="9">
        <v>5</v>
      </c>
      <c r="H32" s="9"/>
      <c r="L32" s="20">
        <f t="shared" si="2"/>
        <v>8</v>
      </c>
    </row>
    <row r="33" spans="2:12" x14ac:dyDescent="0.25">
      <c r="B33" s="13"/>
      <c r="C33" s="4" t="s">
        <v>64</v>
      </c>
      <c r="D33" s="9">
        <v>10</v>
      </c>
      <c r="E33" s="9">
        <v>7</v>
      </c>
      <c r="F33" s="9">
        <v>6</v>
      </c>
      <c r="G33" s="9">
        <v>2</v>
      </c>
      <c r="H33" s="9"/>
      <c r="L33" s="20">
        <f t="shared" si="2"/>
        <v>25</v>
      </c>
    </row>
    <row r="34" spans="2:12" x14ac:dyDescent="0.25">
      <c r="B34" s="13"/>
      <c r="C34" s="4" t="s">
        <v>13</v>
      </c>
      <c r="D34" s="9">
        <v>19</v>
      </c>
      <c r="E34" s="9">
        <v>15</v>
      </c>
      <c r="F34" s="9">
        <v>7</v>
      </c>
      <c r="G34" s="9"/>
      <c r="H34" s="9"/>
      <c r="L34" s="20">
        <f t="shared" si="2"/>
        <v>41</v>
      </c>
    </row>
    <row r="35" spans="2:12" x14ac:dyDescent="0.25">
      <c r="B35" s="13"/>
      <c r="C35" s="4" t="s">
        <v>14</v>
      </c>
      <c r="D35" s="9">
        <v>17</v>
      </c>
      <c r="E35" s="9">
        <v>11</v>
      </c>
      <c r="F35" s="9">
        <v>13</v>
      </c>
      <c r="G35" s="9">
        <v>16</v>
      </c>
      <c r="H35" s="9"/>
      <c r="L35" s="20">
        <f t="shared" si="2"/>
        <v>57</v>
      </c>
    </row>
    <row r="36" spans="2:12" x14ac:dyDescent="0.25">
      <c r="B36" s="13"/>
      <c r="C36" s="4" t="s">
        <v>15</v>
      </c>
      <c r="D36" s="9">
        <v>54</v>
      </c>
      <c r="E36" s="9">
        <v>49</v>
      </c>
      <c r="F36" s="9">
        <v>203</v>
      </c>
      <c r="G36" s="9">
        <v>23</v>
      </c>
      <c r="H36" s="9">
        <v>2</v>
      </c>
      <c r="L36" s="20">
        <f t="shared" si="2"/>
        <v>331</v>
      </c>
    </row>
    <row r="37" spans="2:12" x14ac:dyDescent="0.25">
      <c r="B37" s="13"/>
      <c r="C37" s="4" t="s">
        <v>42</v>
      </c>
      <c r="D37" s="9">
        <v>4</v>
      </c>
      <c r="E37" s="9"/>
      <c r="F37" s="9"/>
      <c r="G37" s="9"/>
      <c r="H37" s="9"/>
      <c r="L37" s="20">
        <f t="shared" si="2"/>
        <v>4</v>
      </c>
    </row>
    <row r="38" spans="2:12" x14ac:dyDescent="0.25">
      <c r="B38" s="13"/>
      <c r="C38" s="4" t="s">
        <v>16</v>
      </c>
      <c r="D38" s="9">
        <v>116</v>
      </c>
      <c r="E38" s="9">
        <v>108</v>
      </c>
      <c r="F38" s="9">
        <v>82</v>
      </c>
      <c r="G38" s="9">
        <v>115</v>
      </c>
      <c r="H38" s="9"/>
      <c r="L38" s="20">
        <f t="shared" si="2"/>
        <v>421</v>
      </c>
    </row>
    <row r="39" spans="2:12" x14ac:dyDescent="0.25">
      <c r="B39" s="13"/>
      <c r="C39" s="4" t="s">
        <v>17</v>
      </c>
      <c r="D39" s="9">
        <v>8</v>
      </c>
      <c r="E39" s="9">
        <v>7</v>
      </c>
      <c r="F39" s="9">
        <v>1</v>
      </c>
      <c r="G39" s="9">
        <v>8</v>
      </c>
      <c r="H39" s="9"/>
      <c r="L39" s="20">
        <f t="shared" si="2"/>
        <v>24</v>
      </c>
    </row>
    <row r="40" spans="2:12" x14ac:dyDescent="0.25">
      <c r="B40" s="13"/>
      <c r="C40" s="4" t="s">
        <v>19</v>
      </c>
      <c r="D40" s="9">
        <v>7</v>
      </c>
      <c r="E40" s="9">
        <v>8</v>
      </c>
      <c r="F40" s="9">
        <v>8</v>
      </c>
      <c r="G40" s="9">
        <v>10</v>
      </c>
      <c r="H40" s="9"/>
      <c r="L40" s="20">
        <f t="shared" si="2"/>
        <v>33</v>
      </c>
    </row>
    <row r="41" spans="2:12" x14ac:dyDescent="0.25">
      <c r="B41" s="13"/>
      <c r="C41" s="4" t="s">
        <v>20</v>
      </c>
      <c r="D41" s="9">
        <v>16</v>
      </c>
      <c r="E41" s="9">
        <v>12</v>
      </c>
      <c r="F41" s="9">
        <v>19</v>
      </c>
      <c r="G41" s="9">
        <v>12</v>
      </c>
      <c r="H41" s="9"/>
      <c r="L41" s="20">
        <f t="shared" si="2"/>
        <v>59</v>
      </c>
    </row>
    <row r="42" spans="2:12" x14ac:dyDescent="0.25">
      <c r="B42" s="13"/>
      <c r="C42" s="4" t="s">
        <v>21</v>
      </c>
      <c r="D42" s="9">
        <v>1</v>
      </c>
      <c r="E42" s="9">
        <v>18</v>
      </c>
      <c r="F42" s="9">
        <v>6</v>
      </c>
      <c r="G42" s="9">
        <v>19</v>
      </c>
      <c r="H42" s="9">
        <v>1</v>
      </c>
      <c r="L42" s="20">
        <f t="shared" si="2"/>
        <v>45</v>
      </c>
    </row>
    <row r="43" spans="2:12" x14ac:dyDescent="0.25">
      <c r="B43" s="13"/>
      <c r="C43" s="4" t="s">
        <v>22</v>
      </c>
      <c r="D43" s="9">
        <v>124</v>
      </c>
      <c r="E43" s="9">
        <v>11</v>
      </c>
      <c r="F43" s="9">
        <v>3</v>
      </c>
      <c r="G43" s="9"/>
      <c r="H43" s="9">
        <v>5</v>
      </c>
      <c r="L43" s="20">
        <f t="shared" si="2"/>
        <v>143</v>
      </c>
    </row>
    <row r="44" spans="2:12" x14ac:dyDescent="0.25">
      <c r="B44" s="13"/>
      <c r="C44" s="4" t="s">
        <v>23</v>
      </c>
      <c r="D44" s="9">
        <v>17</v>
      </c>
      <c r="E44" s="9">
        <v>11</v>
      </c>
      <c r="F44" s="9">
        <v>21</v>
      </c>
      <c r="G44" s="9">
        <v>12</v>
      </c>
      <c r="H44" s="9"/>
      <c r="L44" s="20">
        <f t="shared" si="2"/>
        <v>61</v>
      </c>
    </row>
    <row r="45" spans="2:12" x14ac:dyDescent="0.25">
      <c r="B45" s="13"/>
      <c r="C45" s="4" t="s">
        <v>24</v>
      </c>
      <c r="D45" s="9">
        <v>14</v>
      </c>
      <c r="E45" s="9">
        <v>21</v>
      </c>
      <c r="F45" s="9">
        <v>26</v>
      </c>
      <c r="G45" s="9">
        <v>18</v>
      </c>
      <c r="H45" s="9"/>
      <c r="L45" s="20">
        <f t="shared" si="2"/>
        <v>79</v>
      </c>
    </row>
    <row r="46" spans="2:12" x14ac:dyDescent="0.25">
      <c r="B46" s="13"/>
      <c r="C46" s="4" t="s">
        <v>26</v>
      </c>
      <c r="D46" s="9">
        <v>209</v>
      </c>
      <c r="E46" s="9">
        <v>185</v>
      </c>
      <c r="F46" s="9">
        <v>72</v>
      </c>
      <c r="G46" s="9">
        <v>196</v>
      </c>
      <c r="H46" s="9"/>
      <c r="L46" s="20">
        <f t="shared" si="2"/>
        <v>662</v>
      </c>
    </row>
    <row r="47" spans="2:12" x14ac:dyDescent="0.25">
      <c r="B47" s="13"/>
      <c r="C47" s="4" t="s">
        <v>27</v>
      </c>
      <c r="D47" s="9">
        <v>207</v>
      </c>
      <c r="E47" s="9">
        <v>195</v>
      </c>
      <c r="F47" s="9">
        <v>155</v>
      </c>
      <c r="G47" s="9">
        <v>123</v>
      </c>
      <c r="H47" s="9"/>
      <c r="L47" s="20">
        <f t="shared" si="2"/>
        <v>680</v>
      </c>
    </row>
    <row r="48" spans="2:12" x14ac:dyDescent="0.25">
      <c r="B48" s="13"/>
      <c r="C48" s="4" t="s">
        <v>28</v>
      </c>
      <c r="D48" s="9">
        <v>63</v>
      </c>
      <c r="E48" s="9">
        <v>91</v>
      </c>
      <c r="F48" s="9">
        <v>61</v>
      </c>
      <c r="G48" s="9">
        <v>33</v>
      </c>
      <c r="H48" s="9"/>
      <c r="L48" s="20">
        <f t="shared" si="2"/>
        <v>248</v>
      </c>
    </row>
    <row r="49" spans="2:12" x14ac:dyDescent="0.25">
      <c r="B49" s="13"/>
      <c r="C49" s="4" t="s">
        <v>29</v>
      </c>
      <c r="D49" s="9">
        <v>16</v>
      </c>
      <c r="E49" s="9">
        <v>1</v>
      </c>
      <c r="F49" s="9">
        <v>3</v>
      </c>
      <c r="G49" s="9">
        <v>4</v>
      </c>
      <c r="H49" s="9"/>
      <c r="L49" s="20">
        <f t="shared" si="2"/>
        <v>24</v>
      </c>
    </row>
    <row r="50" spans="2:12" x14ac:dyDescent="0.25">
      <c r="B50" s="13"/>
      <c r="C50" s="4" t="s">
        <v>43</v>
      </c>
      <c r="D50" s="9">
        <v>7</v>
      </c>
      <c r="E50" s="9">
        <v>6</v>
      </c>
      <c r="F50" s="9"/>
      <c r="G50" s="9">
        <v>2</v>
      </c>
      <c r="H50" s="9"/>
      <c r="L50" s="20">
        <f t="shared" si="2"/>
        <v>15</v>
      </c>
    </row>
    <row r="51" spans="2:12" x14ac:dyDescent="0.25">
      <c r="B51" s="13"/>
      <c r="C51" s="4" t="s">
        <v>30</v>
      </c>
      <c r="D51" s="9">
        <v>7</v>
      </c>
      <c r="E51" s="9">
        <v>5</v>
      </c>
      <c r="F51" s="9">
        <v>4</v>
      </c>
      <c r="G51" s="9">
        <v>1</v>
      </c>
      <c r="H51" s="9"/>
      <c r="L51" s="20">
        <f t="shared" si="2"/>
        <v>17</v>
      </c>
    </row>
    <row r="52" spans="2:12" x14ac:dyDescent="0.25">
      <c r="B52" s="13"/>
      <c r="C52" s="4" t="s">
        <v>31</v>
      </c>
      <c r="D52" s="9">
        <v>465</v>
      </c>
      <c r="E52" s="9">
        <v>475</v>
      </c>
      <c r="F52" s="9">
        <v>403</v>
      </c>
      <c r="G52" s="9">
        <v>363</v>
      </c>
      <c r="H52" s="9"/>
      <c r="L52" s="20">
        <f t="shared" si="2"/>
        <v>1706</v>
      </c>
    </row>
    <row r="53" spans="2:12" x14ac:dyDescent="0.25">
      <c r="B53" s="8" t="s">
        <v>45</v>
      </c>
      <c r="C53" s="23"/>
      <c r="D53" s="11">
        <f>SUM(D30:D52)</f>
        <v>1407</v>
      </c>
      <c r="E53" s="11">
        <f>SUM(E30:E52)</f>
        <v>1259</v>
      </c>
      <c r="F53" s="11">
        <f>SUM(F30:F52)</f>
        <v>1115</v>
      </c>
      <c r="G53" s="11">
        <f>SUM(G30:G52)</f>
        <v>977</v>
      </c>
      <c r="H53" s="11">
        <f>SUM(H29:H52)</f>
        <v>8</v>
      </c>
      <c r="I53" s="11">
        <f t="shared" ref="I53:K53" si="3">SUM(I29:I52)</f>
        <v>0</v>
      </c>
      <c r="J53" s="11">
        <f t="shared" si="3"/>
        <v>0</v>
      </c>
      <c r="K53" s="11">
        <f t="shared" si="3"/>
        <v>0</v>
      </c>
      <c r="L53" s="11">
        <f>SUM(D53:K53)</f>
        <v>4766</v>
      </c>
    </row>
  </sheetData>
  <conditionalFormatting sqref="D27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K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L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D7EF-CA54-4435-BCD3-D8B3CD17E5A9}">
  <dimension ref="B2:L31"/>
  <sheetViews>
    <sheetView topLeftCell="A11" workbookViewId="0">
      <selection activeCell="A31" sqref="A31:XFD31"/>
    </sheetView>
  </sheetViews>
  <sheetFormatPr defaultRowHeight="15" x14ac:dyDescent="0.25"/>
  <cols>
    <col min="3" max="3" width="14.42578125" bestFit="1" customWidth="1"/>
    <col min="7" max="7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65</v>
      </c>
      <c r="C4" s="7" t="s">
        <v>13</v>
      </c>
      <c r="D4" s="9">
        <v>1441.85</v>
      </c>
      <c r="E4" s="9"/>
      <c r="F4" s="9">
        <v>899.95</v>
      </c>
      <c r="G4" s="9"/>
      <c r="L4" s="10">
        <f>SUM(D4:K4)</f>
        <v>2341.8000000000002</v>
      </c>
    </row>
    <row r="5" spans="2:12" x14ac:dyDescent="0.25">
      <c r="B5" s="13"/>
      <c r="C5" s="4" t="s">
        <v>14</v>
      </c>
      <c r="D5" s="9">
        <v>10284.42</v>
      </c>
      <c r="E5" s="9">
        <v>4470.6100000000006</v>
      </c>
      <c r="F5" s="9">
        <v>7942.38</v>
      </c>
      <c r="G5" s="9">
        <v>4899.96</v>
      </c>
      <c r="L5" s="10">
        <f t="shared" ref="L5:L15" si="0">SUM(D5:K5)</f>
        <v>27597.37</v>
      </c>
    </row>
    <row r="6" spans="2:12" x14ac:dyDescent="0.25">
      <c r="B6" s="13"/>
      <c r="C6" s="4" t="s">
        <v>17</v>
      </c>
      <c r="D6" s="9">
        <v>391.75</v>
      </c>
      <c r="E6" s="9">
        <v>391.75</v>
      </c>
      <c r="F6" s="9"/>
      <c r="G6" s="9"/>
      <c r="L6" s="10">
        <f t="shared" si="0"/>
        <v>783.5</v>
      </c>
    </row>
    <row r="7" spans="2:12" x14ac:dyDescent="0.25">
      <c r="B7" s="13"/>
      <c r="C7" s="4" t="s">
        <v>19</v>
      </c>
      <c r="D7" s="9"/>
      <c r="E7" s="9">
        <v>1175.3</v>
      </c>
      <c r="F7" s="9">
        <v>427.49</v>
      </c>
      <c r="G7" s="9"/>
      <c r="L7" s="10">
        <f t="shared" si="0"/>
        <v>1602.79</v>
      </c>
    </row>
    <row r="8" spans="2:12" x14ac:dyDescent="0.25">
      <c r="B8" s="13"/>
      <c r="C8" s="4" t="s">
        <v>20</v>
      </c>
      <c r="D8" s="9">
        <v>1958.74</v>
      </c>
      <c r="E8" s="9">
        <v>979.36</v>
      </c>
      <c r="F8" s="9">
        <v>427.49</v>
      </c>
      <c r="G8" s="9">
        <v>450</v>
      </c>
      <c r="L8" s="10">
        <f t="shared" si="0"/>
        <v>3815.59</v>
      </c>
    </row>
    <row r="9" spans="2:12" x14ac:dyDescent="0.25">
      <c r="B9" s="13"/>
      <c r="C9" s="4" t="s">
        <v>21</v>
      </c>
      <c r="D9" s="9">
        <v>2516.79</v>
      </c>
      <c r="E9" s="9">
        <v>1419.23</v>
      </c>
      <c r="F9" s="9">
        <v>608</v>
      </c>
      <c r="G9" s="9"/>
      <c r="L9" s="10">
        <f t="shared" si="0"/>
        <v>4544.0200000000004</v>
      </c>
    </row>
    <row r="10" spans="2:12" x14ac:dyDescent="0.25">
      <c r="B10" s="13"/>
      <c r="C10" s="4" t="s">
        <v>23</v>
      </c>
      <c r="D10" s="9"/>
      <c r="E10" s="9">
        <v>1025.5999999999999</v>
      </c>
      <c r="F10" s="9">
        <v>1069.6500000000001</v>
      </c>
      <c r="G10" s="9"/>
      <c r="L10" s="10">
        <f t="shared" si="0"/>
        <v>2095.25</v>
      </c>
    </row>
    <row r="11" spans="2:12" x14ac:dyDescent="0.25">
      <c r="B11" s="13"/>
      <c r="C11" s="4" t="s">
        <v>24</v>
      </c>
      <c r="D11" s="9">
        <v>756.72</v>
      </c>
      <c r="E11" s="9">
        <v>1535.08</v>
      </c>
      <c r="F11" s="9">
        <v>641.79999999999995</v>
      </c>
      <c r="G11" s="9">
        <v>1725</v>
      </c>
      <c r="L11" s="10">
        <f t="shared" si="0"/>
        <v>4658.6000000000004</v>
      </c>
    </row>
    <row r="12" spans="2:12" x14ac:dyDescent="0.25">
      <c r="B12" s="13"/>
      <c r="C12" s="4" t="s">
        <v>25</v>
      </c>
      <c r="D12" s="9">
        <v>0</v>
      </c>
      <c r="E12" s="9"/>
      <c r="F12" s="9"/>
      <c r="G12" s="9"/>
      <c r="L12" s="10">
        <f t="shared" si="0"/>
        <v>0</v>
      </c>
    </row>
    <row r="13" spans="2:12" x14ac:dyDescent="0.25">
      <c r="B13" s="13"/>
      <c r="C13" s="4" t="s">
        <v>29</v>
      </c>
      <c r="D13" s="9">
        <v>6103.32</v>
      </c>
      <c r="E13" s="9">
        <v>1703.0900000000001</v>
      </c>
      <c r="F13" s="9"/>
      <c r="G13" s="9"/>
      <c r="L13" s="10">
        <f t="shared" si="0"/>
        <v>7806.41</v>
      </c>
    </row>
    <row r="14" spans="2:12" x14ac:dyDescent="0.25">
      <c r="B14" s="13"/>
      <c r="C14" s="4" t="s">
        <v>43</v>
      </c>
      <c r="D14" s="9">
        <v>595.12</v>
      </c>
      <c r="E14" s="9">
        <v>595.1</v>
      </c>
      <c r="F14" s="9">
        <v>660.26</v>
      </c>
      <c r="G14" s="9"/>
      <c r="L14" s="10">
        <f t="shared" si="0"/>
        <v>1850.48</v>
      </c>
    </row>
    <row r="15" spans="2:12" x14ac:dyDescent="0.25">
      <c r="B15" s="13"/>
      <c r="C15" s="4" t="s">
        <v>30</v>
      </c>
      <c r="D15" s="9">
        <v>169.9</v>
      </c>
      <c r="E15" s="9"/>
      <c r="F15" s="9"/>
      <c r="G15" s="9"/>
      <c r="L15" s="10">
        <f t="shared" si="0"/>
        <v>169.9</v>
      </c>
    </row>
    <row r="16" spans="2:12" x14ac:dyDescent="0.25">
      <c r="B16" s="3" t="s">
        <v>33</v>
      </c>
      <c r="C16" s="6"/>
      <c r="D16" s="11">
        <f>SUM(D4:D15)</f>
        <v>24218.61</v>
      </c>
      <c r="E16" s="11">
        <f>SUM(E4:E15)</f>
        <v>13295.12</v>
      </c>
      <c r="F16" s="11">
        <f>SUM(F4:F15)</f>
        <v>12677.019999999999</v>
      </c>
      <c r="G16" s="11">
        <f>SUM(G4:G15)</f>
        <v>7074.96</v>
      </c>
      <c r="H16" s="11">
        <f>SUM(H4:H15)</f>
        <v>0</v>
      </c>
      <c r="I16" s="11">
        <f t="shared" ref="I16:K16" si="1">SUM(I4:I15)</f>
        <v>0</v>
      </c>
      <c r="J16" s="11">
        <f t="shared" si="1"/>
        <v>0</v>
      </c>
      <c r="K16" s="11">
        <f t="shared" si="1"/>
        <v>0</v>
      </c>
      <c r="L16" s="10">
        <f>SUM(D16:K16)</f>
        <v>57265.71</v>
      </c>
    </row>
    <row r="17" spans="2:12" x14ac:dyDescent="0.25">
      <c r="B17" s="13"/>
      <c r="C17" s="4"/>
      <c r="D17" s="9"/>
      <c r="E17" s="9"/>
      <c r="F17" s="9"/>
      <c r="G17" s="9"/>
      <c r="L17" s="10"/>
    </row>
    <row r="18" spans="2:12" x14ac:dyDescent="0.25">
      <c r="B18" s="8" t="s">
        <v>2</v>
      </c>
      <c r="C18" s="30" t="s">
        <v>3</v>
      </c>
      <c r="D18" s="31" t="s">
        <v>8</v>
      </c>
      <c r="E18" s="31" t="s">
        <v>7</v>
      </c>
      <c r="F18" s="31" t="s">
        <v>6</v>
      </c>
      <c r="G18" s="31" t="s">
        <v>5</v>
      </c>
      <c r="H18" s="30" t="s">
        <v>4</v>
      </c>
      <c r="I18" s="30" t="s">
        <v>34</v>
      </c>
      <c r="J18" s="30" t="s">
        <v>35</v>
      </c>
      <c r="K18" s="30" t="s">
        <v>36</v>
      </c>
      <c r="L18" s="30" t="s">
        <v>9</v>
      </c>
    </row>
    <row r="19" spans="2:12" x14ac:dyDescent="0.25">
      <c r="B19" s="13"/>
      <c r="C19" s="7" t="s">
        <v>13</v>
      </c>
      <c r="D19" s="11">
        <v>8</v>
      </c>
      <c r="E19" s="11"/>
      <c r="F19" s="11">
        <v>5</v>
      </c>
      <c r="G19" s="11"/>
      <c r="L19" s="20">
        <f>SUM(D19:K19)</f>
        <v>13</v>
      </c>
    </row>
    <row r="20" spans="2:12" x14ac:dyDescent="0.25">
      <c r="B20" s="13"/>
      <c r="C20" s="4" t="s">
        <v>14</v>
      </c>
      <c r="D20" s="9">
        <v>50</v>
      </c>
      <c r="E20" s="9">
        <v>20</v>
      </c>
      <c r="F20" s="9">
        <v>34</v>
      </c>
      <c r="G20" s="9">
        <v>20</v>
      </c>
      <c r="L20" s="20">
        <f t="shared" ref="L20:L30" si="2">SUM(D20:K20)</f>
        <v>124</v>
      </c>
    </row>
    <row r="21" spans="2:12" x14ac:dyDescent="0.25">
      <c r="B21" s="13"/>
      <c r="C21" s="4" t="s">
        <v>17</v>
      </c>
      <c r="D21" s="9">
        <v>2</v>
      </c>
      <c r="E21" s="9">
        <v>2</v>
      </c>
      <c r="F21" s="9"/>
      <c r="G21" s="9"/>
      <c r="L21" s="20">
        <f t="shared" si="2"/>
        <v>4</v>
      </c>
    </row>
    <row r="22" spans="2:12" x14ac:dyDescent="0.25">
      <c r="B22" s="13"/>
      <c r="C22" s="4" t="s">
        <v>19</v>
      </c>
      <c r="D22" s="9"/>
      <c r="E22" s="9">
        <v>6</v>
      </c>
      <c r="F22" s="9">
        <v>2</v>
      </c>
      <c r="G22" s="9"/>
      <c r="L22" s="20">
        <f t="shared" si="2"/>
        <v>8</v>
      </c>
    </row>
    <row r="23" spans="2:12" x14ac:dyDescent="0.25">
      <c r="B23" s="13"/>
      <c r="C23" s="4" t="s">
        <v>20</v>
      </c>
      <c r="D23" s="9">
        <v>10</v>
      </c>
      <c r="E23" s="9">
        <v>5</v>
      </c>
      <c r="F23" s="9">
        <v>2</v>
      </c>
      <c r="G23" s="9">
        <v>2</v>
      </c>
      <c r="L23" s="20">
        <f t="shared" si="2"/>
        <v>19</v>
      </c>
    </row>
    <row r="24" spans="2:12" x14ac:dyDescent="0.25">
      <c r="B24" s="13"/>
      <c r="C24" s="4" t="s">
        <v>21</v>
      </c>
      <c r="D24" s="9">
        <v>9</v>
      </c>
      <c r="E24" s="9">
        <v>5</v>
      </c>
      <c r="F24" s="9">
        <v>2</v>
      </c>
      <c r="G24" s="9"/>
      <c r="L24" s="20">
        <f t="shared" si="2"/>
        <v>16</v>
      </c>
    </row>
    <row r="25" spans="2:12" x14ac:dyDescent="0.25">
      <c r="B25" s="13"/>
      <c r="C25" s="4" t="s">
        <v>23</v>
      </c>
      <c r="D25" s="9"/>
      <c r="E25" s="9">
        <v>2</v>
      </c>
      <c r="F25" s="9">
        <v>2</v>
      </c>
      <c r="G25" s="9"/>
      <c r="L25" s="20">
        <f t="shared" si="2"/>
        <v>4</v>
      </c>
    </row>
    <row r="26" spans="2:12" x14ac:dyDescent="0.25">
      <c r="B26" s="13"/>
      <c r="C26" s="4" t="s">
        <v>24</v>
      </c>
      <c r="D26" s="9">
        <v>3</v>
      </c>
      <c r="E26" s="9">
        <v>5</v>
      </c>
      <c r="F26" s="9">
        <v>2</v>
      </c>
      <c r="G26" s="9">
        <v>5</v>
      </c>
      <c r="L26" s="20">
        <f t="shared" si="2"/>
        <v>15</v>
      </c>
    </row>
    <row r="27" spans="2:12" x14ac:dyDescent="0.25">
      <c r="B27" s="13"/>
      <c r="C27" s="4" t="s">
        <v>25</v>
      </c>
      <c r="D27" s="9">
        <v>0</v>
      </c>
      <c r="E27" s="9"/>
      <c r="F27" s="9"/>
      <c r="G27" s="9"/>
      <c r="L27" s="20">
        <f t="shared" si="2"/>
        <v>0</v>
      </c>
    </row>
    <row r="28" spans="2:12" x14ac:dyDescent="0.25">
      <c r="B28" s="13"/>
      <c r="C28" s="4" t="s">
        <v>29</v>
      </c>
      <c r="D28" s="9">
        <v>30</v>
      </c>
      <c r="E28" s="9">
        <v>8</v>
      </c>
      <c r="F28" s="9"/>
      <c r="G28" s="9"/>
      <c r="L28" s="20">
        <f t="shared" si="2"/>
        <v>38</v>
      </c>
    </row>
    <row r="29" spans="2:12" x14ac:dyDescent="0.25">
      <c r="B29" s="13"/>
      <c r="C29" s="4" t="s">
        <v>43</v>
      </c>
      <c r="D29" s="9">
        <v>5</v>
      </c>
      <c r="E29" s="9">
        <v>5</v>
      </c>
      <c r="F29" s="9">
        <v>5</v>
      </c>
      <c r="G29" s="9"/>
      <c r="L29" s="20">
        <f t="shared" si="2"/>
        <v>15</v>
      </c>
    </row>
    <row r="30" spans="2:12" x14ac:dyDescent="0.25">
      <c r="B30" s="13"/>
      <c r="C30" s="4" t="s">
        <v>30</v>
      </c>
      <c r="D30" s="9">
        <v>1</v>
      </c>
      <c r="E30" s="9"/>
      <c r="F30" s="9"/>
      <c r="G30" s="9"/>
      <c r="L30" s="20">
        <f t="shared" si="2"/>
        <v>1</v>
      </c>
    </row>
    <row r="31" spans="2:12" x14ac:dyDescent="0.25">
      <c r="B31" s="8" t="s">
        <v>45</v>
      </c>
      <c r="C31" s="23"/>
      <c r="D31" s="11">
        <f>SUM(D19:D30)</f>
        <v>118</v>
      </c>
      <c r="E31" s="11">
        <f>SUM(E19:E30)</f>
        <v>58</v>
      </c>
      <c r="F31" s="11">
        <f>SUM(F19:F30)</f>
        <v>54</v>
      </c>
      <c r="G31" s="11">
        <f>SUM(G19:G30)</f>
        <v>27</v>
      </c>
      <c r="H31" s="11">
        <f>SUM(H19:H30)</f>
        <v>0</v>
      </c>
      <c r="I31" s="11">
        <f t="shared" ref="I31:K31" si="3">SUM(I19:I30)</f>
        <v>0</v>
      </c>
      <c r="J31" s="11">
        <f t="shared" si="3"/>
        <v>0</v>
      </c>
      <c r="K31" s="11">
        <f t="shared" si="3"/>
        <v>0</v>
      </c>
      <c r="L31" s="11">
        <f>SUM(D31:K31)</f>
        <v>257</v>
      </c>
    </row>
  </sheetData>
  <conditionalFormatting sqref="D16:K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6019-45B3-49F2-86A9-29D31416B76C}">
  <dimension ref="B2:L33"/>
  <sheetViews>
    <sheetView topLeftCell="A22" workbookViewId="0">
      <selection activeCell="A33" sqref="A33:XFD33"/>
    </sheetView>
  </sheetViews>
  <sheetFormatPr defaultRowHeight="15" x14ac:dyDescent="0.25"/>
  <cols>
    <col min="2" max="2" width="14.28515625" customWidth="1"/>
    <col min="3" max="3" width="13.7109375" customWidth="1"/>
    <col min="7" max="7" width="13.710937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66</v>
      </c>
      <c r="C4" s="7" t="s">
        <v>11</v>
      </c>
      <c r="D4" s="9">
        <v>1338.29</v>
      </c>
      <c r="E4" s="9"/>
      <c r="F4" s="9">
        <v>2660.49</v>
      </c>
      <c r="G4" s="9"/>
      <c r="L4" s="10">
        <f>SUM(D4:K4)</f>
        <v>3998.7799999999997</v>
      </c>
    </row>
    <row r="5" spans="2:12" x14ac:dyDescent="0.25">
      <c r="B5" s="13"/>
      <c r="C5" s="4" t="s">
        <v>38</v>
      </c>
      <c r="D5" s="9">
        <v>453.81</v>
      </c>
      <c r="E5" s="9">
        <v>434.69</v>
      </c>
      <c r="F5" s="9">
        <v>1083.2</v>
      </c>
      <c r="G5" s="9">
        <v>226.5</v>
      </c>
      <c r="L5" s="10">
        <f t="shared" ref="L5:L32" si="0">SUM(D5:K5)</f>
        <v>2198.1999999999998</v>
      </c>
    </row>
    <row r="6" spans="2:12" x14ac:dyDescent="0.25">
      <c r="B6" s="13"/>
      <c r="C6" s="4" t="s">
        <v>40</v>
      </c>
      <c r="D6" s="9"/>
      <c r="E6" s="9"/>
      <c r="F6" s="9"/>
      <c r="G6" s="9">
        <v>145.32</v>
      </c>
      <c r="L6" s="10">
        <f t="shared" si="0"/>
        <v>145.32</v>
      </c>
    </row>
    <row r="7" spans="2:12" x14ac:dyDescent="0.25">
      <c r="B7" s="13"/>
      <c r="C7" s="4" t="s">
        <v>13</v>
      </c>
      <c r="D7" s="9">
        <v>25410.68</v>
      </c>
      <c r="E7" s="9">
        <v>8884.9399999999987</v>
      </c>
      <c r="F7" s="9">
        <v>22720.379999999997</v>
      </c>
      <c r="G7" s="9">
        <v>9222.0499999999993</v>
      </c>
      <c r="L7" s="10">
        <f t="shared" si="0"/>
        <v>66238.049999999988</v>
      </c>
    </row>
    <row r="8" spans="2:12" x14ac:dyDescent="0.25">
      <c r="B8" s="13"/>
      <c r="C8" s="4" t="s">
        <v>41</v>
      </c>
      <c r="D8" s="9"/>
      <c r="E8" s="9"/>
      <c r="F8" s="9"/>
      <c r="G8" s="9">
        <v>146.58000000000001</v>
      </c>
      <c r="L8" s="10">
        <f t="shared" si="0"/>
        <v>146.58000000000001</v>
      </c>
    </row>
    <row r="9" spans="2:12" x14ac:dyDescent="0.25">
      <c r="B9" s="13"/>
      <c r="C9" s="4" t="s">
        <v>15</v>
      </c>
      <c r="D9" s="9">
        <v>230.86</v>
      </c>
      <c r="E9" s="9"/>
      <c r="F9" s="9">
        <v>4836.75</v>
      </c>
      <c r="G9" s="9"/>
      <c r="L9" s="10">
        <f t="shared" si="0"/>
        <v>5067.6099999999997</v>
      </c>
    </row>
    <row r="10" spans="2:12" x14ac:dyDescent="0.25">
      <c r="B10" s="13"/>
      <c r="C10" s="4" t="s">
        <v>16</v>
      </c>
      <c r="D10" s="9">
        <v>25564.18</v>
      </c>
      <c r="E10" s="9">
        <v>24574.97</v>
      </c>
      <c r="F10" s="9">
        <v>50167.479999999996</v>
      </c>
      <c r="G10" s="9">
        <v>26822.55</v>
      </c>
      <c r="L10" s="10">
        <f t="shared" si="0"/>
        <v>127129.18000000001</v>
      </c>
    </row>
    <row r="11" spans="2:12" x14ac:dyDescent="0.25">
      <c r="B11" s="13"/>
      <c r="C11" s="4" t="s">
        <v>21</v>
      </c>
      <c r="D11" s="9">
        <v>1449.47</v>
      </c>
      <c r="E11" s="9"/>
      <c r="F11" s="9">
        <v>289.57</v>
      </c>
      <c r="G11" s="9">
        <v>2348.42</v>
      </c>
      <c r="L11" s="10">
        <f t="shared" si="0"/>
        <v>4087.46</v>
      </c>
    </row>
    <row r="12" spans="2:12" x14ac:dyDescent="0.25">
      <c r="B12" s="13"/>
      <c r="C12" s="4" t="s">
        <v>26</v>
      </c>
      <c r="D12" s="9">
        <v>2553.1</v>
      </c>
      <c r="E12" s="9">
        <v>2293.98</v>
      </c>
      <c r="F12" s="9">
        <v>5144.91</v>
      </c>
      <c r="G12" s="9">
        <v>4651.91</v>
      </c>
      <c r="L12" s="10">
        <f t="shared" si="0"/>
        <v>14643.9</v>
      </c>
    </row>
    <row r="13" spans="2:12" x14ac:dyDescent="0.25">
      <c r="B13" s="13"/>
      <c r="C13" s="4" t="s">
        <v>27</v>
      </c>
      <c r="D13" s="9">
        <v>7504.01</v>
      </c>
      <c r="E13" s="9">
        <v>7856.62</v>
      </c>
      <c r="F13" s="9">
        <v>13105.76</v>
      </c>
      <c r="G13" s="9">
        <v>10311.950000000001</v>
      </c>
      <c r="L13" s="10">
        <f t="shared" si="0"/>
        <v>38778.339999999997</v>
      </c>
    </row>
    <row r="14" spans="2:12" x14ac:dyDescent="0.25">
      <c r="B14" s="13"/>
      <c r="C14" s="4" t="s">
        <v>28</v>
      </c>
      <c r="D14" s="9">
        <v>5647.0199999999995</v>
      </c>
      <c r="E14" s="9">
        <v>11608.32</v>
      </c>
      <c r="F14" s="9">
        <v>5530.44</v>
      </c>
      <c r="G14" s="9">
        <v>2558.7400000000002</v>
      </c>
      <c r="L14" s="10">
        <f t="shared" si="0"/>
        <v>25344.52</v>
      </c>
    </row>
    <row r="15" spans="2:12" x14ac:dyDescent="0.25">
      <c r="B15" s="13"/>
      <c r="C15" s="4" t="s">
        <v>29</v>
      </c>
      <c r="D15" s="9">
        <v>4779.49</v>
      </c>
      <c r="E15" s="9">
        <v>9655.7900000000009</v>
      </c>
      <c r="F15" s="9">
        <v>5262.5</v>
      </c>
      <c r="G15" s="9">
        <v>4166.24</v>
      </c>
      <c r="L15" s="10">
        <f t="shared" si="0"/>
        <v>23864.019999999997</v>
      </c>
    </row>
    <row r="16" spans="2:12" x14ac:dyDescent="0.25">
      <c r="B16" s="13"/>
      <c r="C16" s="4" t="s">
        <v>31</v>
      </c>
      <c r="D16" s="9">
        <v>24992.100000000002</v>
      </c>
      <c r="E16" s="9">
        <v>25601.969999999998</v>
      </c>
      <c r="F16" s="9">
        <v>46643.869999999995</v>
      </c>
      <c r="G16" s="9">
        <v>40841.87999999999</v>
      </c>
      <c r="L16" s="10">
        <f t="shared" si="0"/>
        <v>138079.82</v>
      </c>
    </row>
    <row r="17" spans="2:12" x14ac:dyDescent="0.25">
      <c r="B17" s="3" t="s">
        <v>33</v>
      </c>
      <c r="C17" s="6"/>
      <c r="D17" s="11">
        <f>SUM(D4:D16)</f>
        <v>99923.010000000009</v>
      </c>
      <c r="E17" s="11">
        <f>SUM(E4:E16)</f>
        <v>90911.28</v>
      </c>
      <c r="F17" s="11">
        <f>SUM(F4:F16)</f>
        <v>157445.34999999998</v>
      </c>
      <c r="G17" s="11">
        <f>SUM(G4:G16)</f>
        <v>101442.13999999998</v>
      </c>
      <c r="H17" s="11">
        <f>SUM(H5:H16)</f>
        <v>0</v>
      </c>
      <c r="I17" s="11">
        <f t="shared" ref="I17:K17" si="1">SUM(I5:I16)</f>
        <v>0</v>
      </c>
      <c r="J17" s="11">
        <f t="shared" si="1"/>
        <v>0</v>
      </c>
      <c r="K17" s="11">
        <f t="shared" si="1"/>
        <v>0</v>
      </c>
      <c r="L17" s="10">
        <f>SUM(D17:K17)</f>
        <v>449721.78</v>
      </c>
    </row>
    <row r="18" spans="2:12" x14ac:dyDescent="0.25">
      <c r="B18" s="13"/>
      <c r="C18" s="4"/>
      <c r="D18" s="9"/>
      <c r="E18" s="9"/>
      <c r="F18" s="9"/>
      <c r="G18" s="9"/>
      <c r="L18" s="10"/>
    </row>
    <row r="19" spans="2:12" x14ac:dyDescent="0.25">
      <c r="B19" s="8" t="s">
        <v>2</v>
      </c>
      <c r="C19" s="30" t="s">
        <v>3</v>
      </c>
      <c r="D19" s="31" t="s">
        <v>8</v>
      </c>
      <c r="E19" s="31" t="s">
        <v>7</v>
      </c>
      <c r="F19" s="31" t="s">
        <v>6</v>
      </c>
      <c r="G19" s="31" t="s">
        <v>5</v>
      </c>
      <c r="H19" s="30" t="s">
        <v>4</v>
      </c>
      <c r="I19" s="30" t="s">
        <v>34</v>
      </c>
      <c r="J19" s="30" t="s">
        <v>35</v>
      </c>
      <c r="K19" s="30" t="s">
        <v>36</v>
      </c>
      <c r="L19" s="30" t="s">
        <v>9</v>
      </c>
    </row>
    <row r="20" spans="2:12" x14ac:dyDescent="0.25">
      <c r="B20" s="13"/>
      <c r="C20" s="7" t="s">
        <v>11</v>
      </c>
      <c r="D20" s="11">
        <v>2</v>
      </c>
      <c r="E20" s="11"/>
      <c r="F20" s="11">
        <v>4</v>
      </c>
      <c r="G20" s="11"/>
      <c r="L20" s="10">
        <f t="shared" si="0"/>
        <v>6</v>
      </c>
    </row>
    <row r="21" spans="2:12" x14ac:dyDescent="0.25">
      <c r="B21" s="13"/>
      <c r="C21" s="4" t="s">
        <v>38</v>
      </c>
      <c r="D21" s="9">
        <v>2</v>
      </c>
      <c r="E21" s="9">
        <v>2</v>
      </c>
      <c r="F21" s="9">
        <v>5</v>
      </c>
      <c r="G21" s="9">
        <v>1</v>
      </c>
      <c r="L21" s="10">
        <f t="shared" si="0"/>
        <v>10</v>
      </c>
    </row>
    <row r="22" spans="2:12" x14ac:dyDescent="0.25">
      <c r="B22" s="13"/>
      <c r="C22" s="4" t="s">
        <v>40</v>
      </c>
      <c r="D22" s="9"/>
      <c r="E22" s="9"/>
      <c r="F22" s="9"/>
      <c r="G22" s="9">
        <v>6</v>
      </c>
      <c r="L22" s="10">
        <f t="shared" si="0"/>
        <v>6</v>
      </c>
    </row>
    <row r="23" spans="2:12" x14ac:dyDescent="0.25">
      <c r="B23" s="13"/>
      <c r="C23" s="4" t="s">
        <v>13</v>
      </c>
      <c r="D23" s="9">
        <v>144</v>
      </c>
      <c r="E23" s="9">
        <v>50</v>
      </c>
      <c r="F23" s="9">
        <v>128</v>
      </c>
      <c r="G23" s="9">
        <v>53</v>
      </c>
      <c r="L23" s="10">
        <f t="shared" si="0"/>
        <v>375</v>
      </c>
    </row>
    <row r="24" spans="2:12" x14ac:dyDescent="0.25">
      <c r="B24" s="13"/>
      <c r="C24" s="4" t="s">
        <v>41</v>
      </c>
      <c r="D24" s="9"/>
      <c r="E24" s="9"/>
      <c r="F24" s="9"/>
      <c r="G24" s="9">
        <v>2</v>
      </c>
      <c r="L24" s="10">
        <f t="shared" si="0"/>
        <v>2</v>
      </c>
    </row>
    <row r="25" spans="2:12" x14ac:dyDescent="0.25">
      <c r="B25" s="13"/>
      <c r="C25" s="4" t="s">
        <v>15</v>
      </c>
      <c r="D25" s="9">
        <v>1</v>
      </c>
      <c r="E25" s="9"/>
      <c r="F25" s="9">
        <v>26</v>
      </c>
      <c r="G25" s="9"/>
      <c r="L25" s="10">
        <f t="shared" si="0"/>
        <v>27</v>
      </c>
    </row>
    <row r="26" spans="2:12" x14ac:dyDescent="0.25">
      <c r="B26" s="13"/>
      <c r="C26" s="4" t="s">
        <v>16</v>
      </c>
      <c r="D26" s="9">
        <v>357</v>
      </c>
      <c r="E26" s="9">
        <v>334</v>
      </c>
      <c r="F26" s="9">
        <v>601</v>
      </c>
      <c r="G26" s="9">
        <v>351</v>
      </c>
      <c r="L26" s="10">
        <f t="shared" si="0"/>
        <v>1643</v>
      </c>
    </row>
    <row r="27" spans="2:12" x14ac:dyDescent="0.25">
      <c r="B27" s="13"/>
      <c r="C27" s="4" t="s">
        <v>21</v>
      </c>
      <c r="D27" s="9">
        <v>5</v>
      </c>
      <c r="E27" s="9"/>
      <c r="F27" s="9">
        <v>1</v>
      </c>
      <c r="G27" s="9">
        <v>8</v>
      </c>
      <c r="L27" s="10">
        <f t="shared" si="0"/>
        <v>14</v>
      </c>
    </row>
    <row r="28" spans="2:12" x14ac:dyDescent="0.25">
      <c r="B28" s="13"/>
      <c r="C28" s="4" t="s">
        <v>26</v>
      </c>
      <c r="D28" s="9">
        <v>119</v>
      </c>
      <c r="E28" s="9">
        <v>106</v>
      </c>
      <c r="F28" s="9">
        <v>239</v>
      </c>
      <c r="G28" s="9">
        <v>201</v>
      </c>
      <c r="L28" s="10">
        <f t="shared" si="0"/>
        <v>665</v>
      </c>
    </row>
    <row r="29" spans="2:12" x14ac:dyDescent="0.25">
      <c r="B29" s="13"/>
      <c r="C29" s="4" t="s">
        <v>27</v>
      </c>
      <c r="D29" s="9">
        <v>251</v>
      </c>
      <c r="E29" s="9">
        <v>259</v>
      </c>
      <c r="F29" s="9">
        <v>400</v>
      </c>
      <c r="G29" s="9">
        <v>311</v>
      </c>
      <c r="L29" s="10">
        <f t="shared" si="0"/>
        <v>1221</v>
      </c>
    </row>
    <row r="30" spans="2:12" x14ac:dyDescent="0.25">
      <c r="B30" s="13"/>
      <c r="C30" s="4" t="s">
        <v>28</v>
      </c>
      <c r="D30" s="9">
        <v>50</v>
      </c>
      <c r="E30" s="9">
        <v>103</v>
      </c>
      <c r="F30" s="9">
        <v>49</v>
      </c>
      <c r="G30" s="9">
        <v>22</v>
      </c>
      <c r="L30" s="10">
        <f t="shared" si="0"/>
        <v>224</v>
      </c>
    </row>
    <row r="31" spans="2:12" x14ac:dyDescent="0.25">
      <c r="B31" s="13"/>
      <c r="C31" s="4" t="s">
        <v>29</v>
      </c>
      <c r="D31" s="9">
        <v>22</v>
      </c>
      <c r="E31" s="9">
        <v>44</v>
      </c>
      <c r="F31" s="9">
        <v>24</v>
      </c>
      <c r="G31" s="9">
        <v>19</v>
      </c>
      <c r="L31" s="10">
        <f t="shared" si="0"/>
        <v>109</v>
      </c>
    </row>
    <row r="32" spans="2:12" x14ac:dyDescent="0.25">
      <c r="B32" s="13"/>
      <c r="C32" s="4" t="s">
        <v>31</v>
      </c>
      <c r="D32" s="9">
        <v>783</v>
      </c>
      <c r="E32" s="9">
        <v>788</v>
      </c>
      <c r="F32" s="9">
        <v>1416</v>
      </c>
      <c r="G32" s="9">
        <v>1130</v>
      </c>
      <c r="L32" s="10">
        <f t="shared" si="0"/>
        <v>4117</v>
      </c>
    </row>
    <row r="33" spans="2:12" x14ac:dyDescent="0.25">
      <c r="B33" s="8" t="s">
        <v>45</v>
      </c>
      <c r="C33" s="23"/>
      <c r="D33" s="11">
        <f>SUM(D20:D32)</f>
        <v>1736</v>
      </c>
      <c r="E33" s="11">
        <f>SUM(E20:E32)</f>
        <v>1686</v>
      </c>
      <c r="F33" s="11">
        <f>SUM(F20:F32)</f>
        <v>2893</v>
      </c>
      <c r="G33" s="11">
        <f>SUM(G20:G32)</f>
        <v>2104</v>
      </c>
      <c r="H33" s="11">
        <f t="shared" ref="H33:K33" si="2">SUM(H20:H32)</f>
        <v>0</v>
      </c>
      <c r="I33" s="11">
        <f t="shared" si="2"/>
        <v>0</v>
      </c>
      <c r="J33" s="11">
        <f t="shared" si="2"/>
        <v>0</v>
      </c>
      <c r="K33" s="11">
        <f t="shared" si="2"/>
        <v>0</v>
      </c>
      <c r="L33" s="11">
        <f>SUM(D33:K33)</f>
        <v>8419</v>
      </c>
    </row>
  </sheetData>
  <conditionalFormatting sqref="D17:K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K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C36B-F39C-46E8-81F5-816C7D6F3DED}">
  <dimension ref="B2:L51"/>
  <sheetViews>
    <sheetView workbookViewId="0">
      <selection activeCell="I20" sqref="I20"/>
    </sheetView>
  </sheetViews>
  <sheetFormatPr defaultRowHeight="15" x14ac:dyDescent="0.25"/>
  <cols>
    <col min="2" max="2" width="24.28515625" customWidth="1"/>
    <col min="3" max="3" width="16.2851562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67</v>
      </c>
      <c r="C4" s="7" t="s">
        <v>11</v>
      </c>
      <c r="D4" s="9">
        <v>1966.65</v>
      </c>
      <c r="E4" s="9">
        <v>664.95</v>
      </c>
      <c r="F4" s="9">
        <v>1315.58</v>
      </c>
      <c r="G4" s="9">
        <v>2648.67</v>
      </c>
      <c r="H4" s="9"/>
      <c r="L4" s="10">
        <f>SUM(D4:K4)</f>
        <v>6595.85</v>
      </c>
    </row>
    <row r="5" spans="2:12" x14ac:dyDescent="0.25">
      <c r="B5" s="13"/>
      <c r="C5" s="4" t="s">
        <v>12</v>
      </c>
      <c r="D5" s="9">
        <v>4375.25</v>
      </c>
      <c r="E5" s="9">
        <v>3867.5699999999997</v>
      </c>
      <c r="F5" s="9">
        <v>677.56999999999994</v>
      </c>
      <c r="G5" s="9">
        <v>1036.31</v>
      </c>
      <c r="H5" s="9"/>
      <c r="L5" s="10">
        <f t="shared" ref="L5:L50" si="0">SUM(D5:K5)</f>
        <v>9956.6999999999989</v>
      </c>
    </row>
    <row r="6" spans="2:12" x14ac:dyDescent="0.25">
      <c r="B6" s="13"/>
      <c r="C6" s="4" t="s">
        <v>38</v>
      </c>
      <c r="D6" s="9"/>
      <c r="E6" s="9">
        <v>227.25</v>
      </c>
      <c r="F6" s="9"/>
      <c r="G6" s="9">
        <v>452.94</v>
      </c>
      <c r="H6" s="9"/>
      <c r="L6" s="10">
        <f t="shared" si="0"/>
        <v>680.19</v>
      </c>
    </row>
    <row r="7" spans="2:12" x14ac:dyDescent="0.25">
      <c r="B7" s="13"/>
      <c r="C7" s="4" t="s">
        <v>39</v>
      </c>
      <c r="D7" s="9"/>
      <c r="E7" s="9">
        <v>400.36</v>
      </c>
      <c r="F7" s="9">
        <v>578.65</v>
      </c>
      <c r="G7" s="9">
        <v>297.42</v>
      </c>
      <c r="H7" s="9"/>
      <c r="L7" s="10">
        <f t="shared" si="0"/>
        <v>1276.43</v>
      </c>
    </row>
    <row r="8" spans="2:12" x14ac:dyDescent="0.25">
      <c r="B8" s="13"/>
      <c r="C8" s="4" t="s">
        <v>13</v>
      </c>
      <c r="D8" s="9">
        <v>1237.1500000000001</v>
      </c>
      <c r="E8" s="9">
        <v>178.14</v>
      </c>
      <c r="F8" s="9">
        <v>353.84</v>
      </c>
      <c r="G8" s="9"/>
      <c r="H8" s="9"/>
      <c r="L8" s="10">
        <f t="shared" si="0"/>
        <v>1769.1299999999999</v>
      </c>
    </row>
    <row r="9" spans="2:12" x14ac:dyDescent="0.25">
      <c r="B9" s="13"/>
      <c r="C9" s="4" t="s">
        <v>14</v>
      </c>
      <c r="D9" s="9"/>
      <c r="E9" s="9">
        <v>448.86</v>
      </c>
      <c r="F9" s="9"/>
      <c r="G9" s="9"/>
      <c r="H9" s="9"/>
      <c r="L9" s="10">
        <f t="shared" si="0"/>
        <v>448.86</v>
      </c>
    </row>
    <row r="10" spans="2:12" x14ac:dyDescent="0.25">
      <c r="B10" s="13"/>
      <c r="C10" s="4" t="s">
        <v>15</v>
      </c>
      <c r="D10" s="9">
        <v>13973.14</v>
      </c>
      <c r="E10" s="9">
        <v>196.82</v>
      </c>
      <c r="F10" s="9">
        <v>22075.799999999996</v>
      </c>
      <c r="G10" s="9">
        <v>1797.05</v>
      </c>
      <c r="H10" s="9"/>
      <c r="L10" s="10">
        <f t="shared" si="0"/>
        <v>38042.81</v>
      </c>
    </row>
    <row r="11" spans="2:12" x14ac:dyDescent="0.25">
      <c r="B11" s="13"/>
      <c r="C11" s="4" t="s">
        <v>42</v>
      </c>
      <c r="D11" s="9"/>
      <c r="E11" s="9"/>
      <c r="F11" s="9">
        <v>4466.04</v>
      </c>
      <c r="G11" s="9">
        <v>1648.68</v>
      </c>
      <c r="H11" s="9"/>
      <c r="L11" s="10">
        <f t="shared" si="0"/>
        <v>6114.72</v>
      </c>
    </row>
    <row r="12" spans="2:12" x14ac:dyDescent="0.25">
      <c r="B12" s="13"/>
      <c r="C12" s="4" t="s">
        <v>16</v>
      </c>
      <c r="D12" s="9">
        <v>882.81999999999994</v>
      </c>
      <c r="E12" s="9">
        <v>872.22000000000014</v>
      </c>
      <c r="F12" s="9">
        <v>662.18000000000006</v>
      </c>
      <c r="G12" s="9">
        <v>619.46</v>
      </c>
      <c r="H12" s="9"/>
      <c r="L12" s="10">
        <f t="shared" si="0"/>
        <v>3036.6800000000003</v>
      </c>
    </row>
    <row r="13" spans="2:12" x14ac:dyDescent="0.25">
      <c r="B13" s="13"/>
      <c r="C13" s="4" t="s">
        <v>17</v>
      </c>
      <c r="D13" s="9">
        <v>587.85</v>
      </c>
      <c r="E13" s="9">
        <v>1386.7000000000003</v>
      </c>
      <c r="F13" s="9">
        <v>394.63</v>
      </c>
      <c r="G13" s="9">
        <v>857.4</v>
      </c>
      <c r="H13" s="9"/>
      <c r="L13" s="10">
        <f t="shared" si="0"/>
        <v>3226.5800000000004</v>
      </c>
    </row>
    <row r="14" spans="2:12" x14ac:dyDescent="0.25">
      <c r="B14" s="13"/>
      <c r="C14" s="4" t="s">
        <v>19</v>
      </c>
      <c r="D14" s="9">
        <v>596.43999999999994</v>
      </c>
      <c r="E14" s="9">
        <v>1394.27</v>
      </c>
      <c r="F14" s="9">
        <v>202.91</v>
      </c>
      <c r="G14" s="9">
        <v>586.69999999999993</v>
      </c>
      <c r="H14" s="9"/>
      <c r="L14" s="10">
        <f t="shared" si="0"/>
        <v>2780.3199999999997</v>
      </c>
    </row>
    <row r="15" spans="2:12" x14ac:dyDescent="0.25">
      <c r="B15" s="13"/>
      <c r="C15" s="4" t="s">
        <v>20</v>
      </c>
      <c r="D15" s="9">
        <v>2179.66</v>
      </c>
      <c r="E15" s="9">
        <v>2401.5299999999997</v>
      </c>
      <c r="F15" s="9">
        <v>1779.67</v>
      </c>
      <c r="G15" s="9">
        <v>4329.76</v>
      </c>
      <c r="H15" s="9"/>
      <c r="L15" s="10">
        <f t="shared" si="0"/>
        <v>10690.619999999999</v>
      </c>
    </row>
    <row r="16" spans="2:12" x14ac:dyDescent="0.25">
      <c r="B16" s="13"/>
      <c r="C16" s="4" t="s">
        <v>21</v>
      </c>
      <c r="D16" s="9">
        <v>2254.6800000000003</v>
      </c>
      <c r="E16" s="9">
        <v>2024.2999999999997</v>
      </c>
      <c r="F16" s="9">
        <v>559.84</v>
      </c>
      <c r="G16" s="9">
        <v>1427.9699999999998</v>
      </c>
      <c r="H16" s="9">
        <v>901.74</v>
      </c>
      <c r="L16" s="10">
        <f t="shared" si="0"/>
        <v>7168.5299999999988</v>
      </c>
    </row>
    <row r="17" spans="2:12" x14ac:dyDescent="0.25">
      <c r="B17" s="13"/>
      <c r="C17" s="4" t="s">
        <v>22</v>
      </c>
      <c r="D17" s="9">
        <v>31885.06</v>
      </c>
      <c r="E17" s="9"/>
      <c r="F17" s="9">
        <v>1564.3200000000002</v>
      </c>
      <c r="G17" s="9">
        <v>1254.82</v>
      </c>
      <c r="H17" s="9">
        <v>989.97</v>
      </c>
      <c r="L17" s="10">
        <f t="shared" si="0"/>
        <v>35694.170000000006</v>
      </c>
    </row>
    <row r="18" spans="2:12" x14ac:dyDescent="0.25">
      <c r="B18" s="13"/>
      <c r="C18" s="4" t="s">
        <v>24</v>
      </c>
      <c r="D18" s="9">
        <v>6132.4999999999991</v>
      </c>
      <c r="E18" s="9">
        <v>3334.1699999999996</v>
      </c>
      <c r="F18" s="9">
        <v>4483.17</v>
      </c>
      <c r="G18" s="9">
        <v>2325.64</v>
      </c>
      <c r="H18" s="9"/>
      <c r="L18" s="10">
        <f t="shared" si="0"/>
        <v>16275.479999999998</v>
      </c>
    </row>
    <row r="19" spans="2:12" x14ac:dyDescent="0.25">
      <c r="B19" s="13"/>
      <c r="C19" s="4" t="s">
        <v>25</v>
      </c>
      <c r="D19" s="9"/>
      <c r="E19" s="9"/>
      <c r="F19" s="9">
        <v>744.18000000000006</v>
      </c>
      <c r="G19" s="9">
        <v>373.88</v>
      </c>
      <c r="H19" s="9"/>
      <c r="L19" s="10">
        <f t="shared" si="0"/>
        <v>1118.06</v>
      </c>
    </row>
    <row r="20" spans="2:12" x14ac:dyDescent="0.25">
      <c r="B20" s="13"/>
      <c r="C20" s="4" t="s">
        <v>28</v>
      </c>
      <c r="D20" s="9"/>
      <c r="E20" s="9"/>
      <c r="F20" s="9"/>
      <c r="G20" s="9">
        <v>120.59</v>
      </c>
      <c r="H20" s="9"/>
      <c r="L20" s="10">
        <f t="shared" si="0"/>
        <v>120.59</v>
      </c>
    </row>
    <row r="21" spans="2:12" x14ac:dyDescent="0.25">
      <c r="B21" s="13"/>
      <c r="C21" s="4" t="s">
        <v>29</v>
      </c>
      <c r="D21" s="9">
        <v>16425.510000000002</v>
      </c>
      <c r="E21" s="9">
        <v>14000.87</v>
      </c>
      <c r="F21" s="9">
        <v>8040.43</v>
      </c>
      <c r="G21" s="9">
        <v>1723.0399999999997</v>
      </c>
      <c r="H21" s="9"/>
      <c r="L21" s="10">
        <f t="shared" si="0"/>
        <v>40189.850000000006</v>
      </c>
    </row>
    <row r="22" spans="2:12" x14ac:dyDescent="0.25">
      <c r="B22" s="13"/>
      <c r="C22" s="4" t="s">
        <v>43</v>
      </c>
      <c r="D22" s="9">
        <v>591.14</v>
      </c>
      <c r="E22" s="9">
        <v>240.98</v>
      </c>
      <c r="F22" s="9">
        <v>1061.3600000000001</v>
      </c>
      <c r="G22" s="9">
        <v>630.56999999999994</v>
      </c>
      <c r="H22" s="9"/>
      <c r="L22" s="10">
        <f t="shared" si="0"/>
        <v>2524.0500000000002</v>
      </c>
    </row>
    <row r="23" spans="2:12" x14ac:dyDescent="0.25">
      <c r="B23" s="13"/>
      <c r="C23" s="4" t="s">
        <v>30</v>
      </c>
      <c r="D23" s="9">
        <v>584.52</v>
      </c>
      <c r="E23" s="9"/>
      <c r="F23" s="9"/>
      <c r="G23" s="9"/>
      <c r="H23" s="9"/>
      <c r="L23" s="10">
        <f t="shared" si="0"/>
        <v>584.52</v>
      </c>
    </row>
    <row r="24" spans="2:12" x14ac:dyDescent="0.25">
      <c r="B24" s="13"/>
      <c r="C24" s="4" t="s">
        <v>31</v>
      </c>
      <c r="D24" s="9"/>
      <c r="E24" s="9"/>
      <c r="F24" s="9">
        <v>39.79</v>
      </c>
      <c r="G24" s="9"/>
      <c r="H24" s="9"/>
      <c r="L24" s="10">
        <f t="shared" si="0"/>
        <v>39.79</v>
      </c>
    </row>
    <row r="25" spans="2:12" x14ac:dyDescent="0.25">
      <c r="B25" s="13"/>
      <c r="C25" s="4" t="s">
        <v>68</v>
      </c>
      <c r="D25" s="9">
        <v>6971.2000000000007</v>
      </c>
      <c r="E25" s="9">
        <v>3443.99</v>
      </c>
      <c r="F25" s="9">
        <v>5010.2700000000004</v>
      </c>
      <c r="G25" s="9">
        <v>4349.6200000000008</v>
      </c>
      <c r="H25" s="9"/>
      <c r="L25" s="10">
        <f t="shared" si="0"/>
        <v>19775.080000000002</v>
      </c>
    </row>
    <row r="26" spans="2:12" x14ac:dyDescent="0.25">
      <c r="B26" s="3" t="s">
        <v>33</v>
      </c>
      <c r="C26" s="6"/>
      <c r="D26" s="11">
        <f>SUM(D4:D25)</f>
        <v>90643.569999999992</v>
      </c>
      <c r="E26" s="11">
        <f>SUM(E4:E25)</f>
        <v>35082.979999999996</v>
      </c>
      <c r="F26" s="11">
        <f>SUM(F4:F25)</f>
        <v>54010.229999999996</v>
      </c>
      <c r="G26" s="11">
        <f>SUM(G4:G25)</f>
        <v>26480.520000000004</v>
      </c>
      <c r="H26" s="11">
        <f t="shared" ref="H26:K26" si="1">SUM(H4:H25)</f>
        <v>1891.71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208109.00999999998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11</v>
      </c>
      <c r="D29" s="11">
        <v>3</v>
      </c>
      <c r="E29" s="11">
        <v>1</v>
      </c>
      <c r="F29" s="11">
        <v>2</v>
      </c>
      <c r="G29" s="11">
        <v>4</v>
      </c>
      <c r="H29" s="11"/>
      <c r="L29" s="10">
        <f t="shared" si="0"/>
        <v>10</v>
      </c>
    </row>
    <row r="30" spans="2:12" x14ac:dyDescent="0.25">
      <c r="B30" s="13"/>
      <c r="C30" s="4" t="s">
        <v>12</v>
      </c>
      <c r="D30" s="9">
        <v>13</v>
      </c>
      <c r="E30" s="9">
        <v>11</v>
      </c>
      <c r="F30" s="9">
        <v>2</v>
      </c>
      <c r="G30" s="9">
        <v>3</v>
      </c>
      <c r="H30" s="9"/>
      <c r="L30" s="10">
        <f t="shared" si="0"/>
        <v>29</v>
      </c>
    </row>
    <row r="31" spans="2:12" x14ac:dyDescent="0.25">
      <c r="B31" s="13"/>
      <c r="C31" s="4" t="s">
        <v>38</v>
      </c>
      <c r="D31" s="9"/>
      <c r="E31" s="9">
        <v>1</v>
      </c>
      <c r="F31" s="9"/>
      <c r="G31" s="9">
        <v>2</v>
      </c>
      <c r="H31" s="9"/>
      <c r="L31" s="10">
        <f t="shared" si="0"/>
        <v>3</v>
      </c>
    </row>
    <row r="32" spans="2:12" x14ac:dyDescent="0.25">
      <c r="B32" s="13"/>
      <c r="C32" s="4" t="s">
        <v>39</v>
      </c>
      <c r="D32" s="9"/>
      <c r="E32" s="9">
        <v>4</v>
      </c>
      <c r="F32" s="9">
        <v>6</v>
      </c>
      <c r="G32" s="9">
        <v>3</v>
      </c>
      <c r="H32" s="9"/>
      <c r="L32" s="10">
        <f t="shared" si="0"/>
        <v>13</v>
      </c>
    </row>
    <row r="33" spans="2:12" x14ac:dyDescent="0.25">
      <c r="B33" s="13"/>
      <c r="C33" s="4" t="s">
        <v>13</v>
      </c>
      <c r="D33" s="9">
        <v>7</v>
      </c>
      <c r="E33" s="9">
        <v>1</v>
      </c>
      <c r="F33" s="9">
        <v>2</v>
      </c>
      <c r="G33" s="9"/>
      <c r="H33" s="9"/>
      <c r="L33" s="10">
        <f t="shared" si="0"/>
        <v>10</v>
      </c>
    </row>
    <row r="34" spans="2:12" x14ac:dyDescent="0.25">
      <c r="B34" s="13"/>
      <c r="C34" s="4" t="s">
        <v>14</v>
      </c>
      <c r="D34" s="9"/>
      <c r="E34" s="9">
        <v>2</v>
      </c>
      <c r="F34" s="9"/>
      <c r="G34" s="9"/>
      <c r="H34" s="9"/>
      <c r="L34" s="10">
        <f t="shared" si="0"/>
        <v>2</v>
      </c>
    </row>
    <row r="35" spans="2:12" x14ac:dyDescent="0.25">
      <c r="B35" s="13"/>
      <c r="C35" s="4" t="s">
        <v>15</v>
      </c>
      <c r="D35" s="9">
        <v>75</v>
      </c>
      <c r="E35" s="9">
        <v>1</v>
      </c>
      <c r="F35" s="9">
        <v>114</v>
      </c>
      <c r="G35" s="9">
        <v>9</v>
      </c>
      <c r="H35" s="9"/>
      <c r="L35" s="10">
        <f t="shared" si="0"/>
        <v>199</v>
      </c>
    </row>
    <row r="36" spans="2:12" x14ac:dyDescent="0.25">
      <c r="B36" s="13"/>
      <c r="C36" s="4" t="s">
        <v>42</v>
      </c>
      <c r="D36" s="9"/>
      <c r="E36" s="9"/>
      <c r="F36" s="9">
        <v>11</v>
      </c>
      <c r="G36" s="9">
        <v>4</v>
      </c>
      <c r="H36" s="9"/>
      <c r="L36" s="10">
        <f t="shared" si="0"/>
        <v>15</v>
      </c>
    </row>
    <row r="37" spans="2:12" x14ac:dyDescent="0.25">
      <c r="B37" s="13"/>
      <c r="C37" s="4" t="s">
        <v>16</v>
      </c>
      <c r="D37" s="9">
        <v>13</v>
      </c>
      <c r="E37" s="9">
        <v>10</v>
      </c>
      <c r="F37" s="9">
        <v>9</v>
      </c>
      <c r="G37" s="9">
        <v>8</v>
      </c>
      <c r="H37" s="9"/>
      <c r="L37" s="10">
        <f t="shared" si="0"/>
        <v>40</v>
      </c>
    </row>
    <row r="38" spans="2:12" x14ac:dyDescent="0.25">
      <c r="B38" s="13"/>
      <c r="C38" s="4" t="s">
        <v>17</v>
      </c>
      <c r="D38" s="9">
        <v>3</v>
      </c>
      <c r="E38" s="9">
        <v>7</v>
      </c>
      <c r="F38" s="9">
        <v>2</v>
      </c>
      <c r="G38" s="9">
        <v>4</v>
      </c>
      <c r="H38" s="9"/>
      <c r="L38" s="10">
        <f t="shared" si="0"/>
        <v>16</v>
      </c>
    </row>
    <row r="39" spans="2:12" x14ac:dyDescent="0.25">
      <c r="B39" s="13"/>
      <c r="C39" s="4" t="s">
        <v>19</v>
      </c>
      <c r="D39" s="9">
        <v>3</v>
      </c>
      <c r="E39" s="9">
        <v>7</v>
      </c>
      <c r="F39" s="9">
        <v>1</v>
      </c>
      <c r="G39" s="9">
        <v>3</v>
      </c>
      <c r="H39" s="9"/>
      <c r="L39" s="10">
        <f t="shared" si="0"/>
        <v>14</v>
      </c>
    </row>
    <row r="40" spans="2:12" x14ac:dyDescent="0.25">
      <c r="B40" s="13"/>
      <c r="C40" s="4" t="s">
        <v>20</v>
      </c>
      <c r="D40" s="9">
        <v>11</v>
      </c>
      <c r="E40" s="9">
        <v>12</v>
      </c>
      <c r="F40" s="9">
        <v>9</v>
      </c>
      <c r="G40" s="9">
        <v>20</v>
      </c>
      <c r="H40" s="9"/>
      <c r="L40" s="10">
        <f t="shared" si="0"/>
        <v>52</v>
      </c>
    </row>
    <row r="41" spans="2:12" x14ac:dyDescent="0.25">
      <c r="B41" s="13"/>
      <c r="C41" s="4" t="s">
        <v>21</v>
      </c>
      <c r="D41" s="9">
        <v>8</v>
      </c>
      <c r="E41" s="9">
        <v>7</v>
      </c>
      <c r="F41" s="9">
        <v>2</v>
      </c>
      <c r="G41" s="9">
        <v>5</v>
      </c>
      <c r="H41" s="9">
        <v>3</v>
      </c>
      <c r="L41" s="10">
        <f t="shared" si="0"/>
        <v>25</v>
      </c>
    </row>
    <row r="42" spans="2:12" x14ac:dyDescent="0.25">
      <c r="B42" s="13"/>
      <c r="C42" s="4" t="s">
        <v>22</v>
      </c>
      <c r="D42" s="9">
        <v>104</v>
      </c>
      <c r="E42" s="9"/>
      <c r="F42" s="9">
        <v>5</v>
      </c>
      <c r="G42" s="9">
        <v>4</v>
      </c>
      <c r="H42" s="9">
        <v>3</v>
      </c>
      <c r="L42" s="10">
        <f t="shared" si="0"/>
        <v>116</v>
      </c>
    </row>
    <row r="43" spans="2:12" x14ac:dyDescent="0.25">
      <c r="B43" s="13"/>
      <c r="C43" s="4" t="s">
        <v>24</v>
      </c>
      <c r="D43" s="9">
        <v>22</v>
      </c>
      <c r="E43" s="9">
        <v>11</v>
      </c>
      <c r="F43" s="9">
        <v>16</v>
      </c>
      <c r="G43" s="9">
        <v>8</v>
      </c>
      <c r="H43" s="9"/>
      <c r="L43" s="10">
        <f t="shared" si="0"/>
        <v>57</v>
      </c>
    </row>
    <row r="44" spans="2:12" x14ac:dyDescent="0.25">
      <c r="B44" s="13"/>
      <c r="C44" s="4" t="s">
        <v>25</v>
      </c>
      <c r="D44" s="9"/>
      <c r="E44" s="9"/>
      <c r="F44" s="9">
        <v>4</v>
      </c>
      <c r="G44" s="9">
        <v>2</v>
      </c>
      <c r="H44" s="9"/>
      <c r="L44" s="10">
        <f t="shared" si="0"/>
        <v>6</v>
      </c>
    </row>
    <row r="45" spans="2:12" x14ac:dyDescent="0.25">
      <c r="B45" s="13"/>
      <c r="C45" s="4" t="s">
        <v>28</v>
      </c>
      <c r="D45" s="9"/>
      <c r="E45" s="9"/>
      <c r="F45" s="9"/>
      <c r="G45" s="9">
        <v>1</v>
      </c>
      <c r="H45" s="9"/>
      <c r="L45" s="10">
        <f t="shared" si="0"/>
        <v>1</v>
      </c>
    </row>
    <row r="46" spans="2:12" x14ac:dyDescent="0.25">
      <c r="B46" s="13"/>
      <c r="C46" s="4" t="s">
        <v>29</v>
      </c>
      <c r="D46" s="9">
        <v>76</v>
      </c>
      <c r="E46" s="9">
        <v>64</v>
      </c>
      <c r="F46" s="9">
        <v>37</v>
      </c>
      <c r="G46" s="9">
        <v>8</v>
      </c>
      <c r="H46" s="9"/>
      <c r="L46" s="10">
        <f t="shared" si="0"/>
        <v>185</v>
      </c>
    </row>
    <row r="47" spans="2:12" x14ac:dyDescent="0.25">
      <c r="B47" s="13"/>
      <c r="C47" s="4" t="s">
        <v>43</v>
      </c>
      <c r="D47" s="9">
        <v>5</v>
      </c>
      <c r="E47" s="9">
        <v>2</v>
      </c>
      <c r="F47" s="9">
        <v>9</v>
      </c>
      <c r="G47" s="9">
        <v>5</v>
      </c>
      <c r="H47" s="9"/>
      <c r="L47" s="10">
        <f t="shared" si="0"/>
        <v>21</v>
      </c>
    </row>
    <row r="48" spans="2:12" x14ac:dyDescent="0.25">
      <c r="B48" s="13"/>
      <c r="C48" s="4" t="s">
        <v>30</v>
      </c>
      <c r="D48" s="9">
        <v>3</v>
      </c>
      <c r="E48" s="9"/>
      <c r="F48" s="9"/>
      <c r="G48" s="9"/>
      <c r="H48" s="9"/>
      <c r="L48" s="10">
        <f t="shared" si="0"/>
        <v>3</v>
      </c>
    </row>
    <row r="49" spans="2:12" x14ac:dyDescent="0.25">
      <c r="B49" s="13"/>
      <c r="C49" s="4" t="s">
        <v>31</v>
      </c>
      <c r="D49" s="9"/>
      <c r="E49" s="9"/>
      <c r="F49" s="9">
        <v>2</v>
      </c>
      <c r="G49" s="9"/>
      <c r="H49" s="9"/>
      <c r="L49" s="10">
        <f t="shared" si="0"/>
        <v>2</v>
      </c>
    </row>
    <row r="50" spans="2:12" x14ac:dyDescent="0.25">
      <c r="B50" s="13"/>
      <c r="C50" s="4" t="s">
        <v>68</v>
      </c>
      <c r="D50" s="9">
        <v>15</v>
      </c>
      <c r="E50" s="9">
        <v>7</v>
      </c>
      <c r="F50" s="9">
        <v>11</v>
      </c>
      <c r="G50" s="9">
        <v>9</v>
      </c>
      <c r="H50" s="9"/>
      <c r="L50" s="10">
        <f t="shared" si="0"/>
        <v>42</v>
      </c>
    </row>
    <row r="51" spans="2:12" x14ac:dyDescent="0.25">
      <c r="B51" s="8" t="s">
        <v>45</v>
      </c>
      <c r="C51" s="23"/>
      <c r="D51" s="11">
        <f>SUM(D29:D50)</f>
        <v>361</v>
      </c>
      <c r="E51" s="11">
        <f t="shared" ref="E51:K51" si="2">SUM(E29:E50)</f>
        <v>148</v>
      </c>
      <c r="F51" s="11">
        <f t="shared" si="2"/>
        <v>244</v>
      </c>
      <c r="G51" s="11">
        <f t="shared" si="2"/>
        <v>102</v>
      </c>
      <c r="H51" s="11">
        <f t="shared" si="2"/>
        <v>6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1">
        <f>SUM(D51:K51)</f>
        <v>861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C2B0-198D-4F2C-B841-CE61C237E720}">
  <dimension ref="B1:L57"/>
  <sheetViews>
    <sheetView workbookViewId="0">
      <selection activeCell="N10" sqref="N10"/>
    </sheetView>
  </sheetViews>
  <sheetFormatPr defaultRowHeight="15" x14ac:dyDescent="0.25"/>
  <cols>
    <col min="2" max="2" width="20.5703125" customWidth="1"/>
    <col min="3" max="3" width="16.28515625" bestFit="1" customWidth="1"/>
    <col min="8" max="8" width="6.7109375" bestFit="1" customWidth="1"/>
    <col min="12" max="12" width="11.140625" bestFit="1" customWidth="1"/>
  </cols>
  <sheetData>
    <row r="1" spans="2:12" x14ac:dyDescent="0.25">
      <c r="B1" s="32" t="s">
        <v>115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69</v>
      </c>
      <c r="C4" s="7" t="s">
        <v>11</v>
      </c>
      <c r="D4" s="9">
        <v>14635.52</v>
      </c>
      <c r="E4" s="9">
        <v>21873.249999999996</v>
      </c>
      <c r="F4" s="9">
        <v>6753.9400000000005</v>
      </c>
      <c r="G4" s="9">
        <v>6976.67</v>
      </c>
      <c r="H4" s="9"/>
      <c r="L4" s="10">
        <f>SUM(D4:K4)</f>
        <v>50239.38</v>
      </c>
    </row>
    <row r="5" spans="2:12" x14ac:dyDescent="0.25">
      <c r="B5" s="13"/>
      <c r="C5" s="4" t="s">
        <v>12</v>
      </c>
      <c r="D5" s="9">
        <v>1414.86</v>
      </c>
      <c r="E5" s="9">
        <v>1285.28</v>
      </c>
      <c r="F5" s="9">
        <v>1067.46</v>
      </c>
      <c r="G5" s="9">
        <v>692.98</v>
      </c>
      <c r="H5" s="9"/>
      <c r="L5" s="10">
        <f t="shared" ref="L5:L56" si="0">SUM(D5:K5)</f>
        <v>4460.58</v>
      </c>
    </row>
    <row r="6" spans="2:12" x14ac:dyDescent="0.25">
      <c r="B6" s="13"/>
      <c r="C6" s="4" t="s">
        <v>38</v>
      </c>
      <c r="D6" s="9">
        <v>866.06</v>
      </c>
      <c r="E6" s="9">
        <v>226.32</v>
      </c>
      <c r="F6" s="9">
        <v>448.57</v>
      </c>
      <c r="G6" s="9">
        <v>673.64</v>
      </c>
      <c r="H6" s="9"/>
      <c r="L6" s="10">
        <f t="shared" si="0"/>
        <v>2214.5899999999997</v>
      </c>
    </row>
    <row r="7" spans="2:12" x14ac:dyDescent="0.25">
      <c r="B7" s="13"/>
      <c r="C7" s="4" t="s">
        <v>39</v>
      </c>
      <c r="D7" s="9"/>
      <c r="E7" s="9">
        <v>731.3599999999999</v>
      </c>
      <c r="F7" s="9">
        <v>765.38000000000011</v>
      </c>
      <c r="G7" s="9">
        <v>444.38</v>
      </c>
      <c r="H7" s="9">
        <v>112.2</v>
      </c>
      <c r="L7" s="10">
        <f t="shared" si="0"/>
        <v>2053.3199999999997</v>
      </c>
    </row>
    <row r="8" spans="2:12" x14ac:dyDescent="0.25">
      <c r="B8" s="13"/>
      <c r="C8" s="4" t="s">
        <v>13</v>
      </c>
      <c r="D8" s="9">
        <v>187.41</v>
      </c>
      <c r="E8" s="9">
        <v>919.24</v>
      </c>
      <c r="F8" s="9">
        <v>1116.82</v>
      </c>
      <c r="G8" s="9">
        <v>387.07</v>
      </c>
      <c r="H8" s="9"/>
      <c r="L8" s="10">
        <f t="shared" si="0"/>
        <v>2610.5400000000004</v>
      </c>
    </row>
    <row r="9" spans="2:12" x14ac:dyDescent="0.25">
      <c r="B9" s="13"/>
      <c r="C9" s="4" t="s">
        <v>41</v>
      </c>
      <c r="D9" s="9">
        <v>5268.99</v>
      </c>
      <c r="E9" s="9">
        <v>4461.0000000000009</v>
      </c>
      <c r="F9" s="9">
        <v>4703.49</v>
      </c>
      <c r="G9" s="9">
        <v>3158.5000000000005</v>
      </c>
      <c r="H9" s="9">
        <v>922.82000000000016</v>
      </c>
      <c r="L9" s="10">
        <f t="shared" si="0"/>
        <v>18514.800000000003</v>
      </c>
    </row>
    <row r="10" spans="2:12" x14ac:dyDescent="0.25">
      <c r="B10" s="13"/>
      <c r="C10" s="4" t="s">
        <v>14</v>
      </c>
      <c r="D10" s="9">
        <v>11111.14</v>
      </c>
      <c r="E10" s="9">
        <v>13838.650000000001</v>
      </c>
      <c r="F10" s="9">
        <v>16913.880000000005</v>
      </c>
      <c r="G10" s="9">
        <v>8175.5600000000013</v>
      </c>
      <c r="H10" s="9"/>
      <c r="L10" s="10">
        <f t="shared" si="0"/>
        <v>50039.23000000001</v>
      </c>
    </row>
    <row r="11" spans="2:12" x14ac:dyDescent="0.25">
      <c r="B11" s="13"/>
      <c r="C11" s="4" t="s">
        <v>15</v>
      </c>
      <c r="D11" s="9">
        <v>3807.44</v>
      </c>
      <c r="E11" s="9">
        <v>440.63</v>
      </c>
      <c r="F11" s="9">
        <v>11684.24</v>
      </c>
      <c r="G11" s="9">
        <v>4870.7</v>
      </c>
      <c r="H11" s="9"/>
      <c r="L11" s="10">
        <f t="shared" si="0"/>
        <v>20803.009999999998</v>
      </c>
    </row>
    <row r="12" spans="2:12" x14ac:dyDescent="0.25">
      <c r="B12" s="13"/>
      <c r="C12" s="4" t="s">
        <v>42</v>
      </c>
      <c r="D12" s="9"/>
      <c r="E12" s="9"/>
      <c r="F12" s="9"/>
      <c r="G12" s="9">
        <v>494.13</v>
      </c>
      <c r="H12" s="9"/>
      <c r="L12" s="10">
        <f t="shared" si="0"/>
        <v>494.13</v>
      </c>
    </row>
    <row r="13" spans="2:12" x14ac:dyDescent="0.25">
      <c r="B13" s="13"/>
      <c r="C13" s="4" t="s">
        <v>16</v>
      </c>
      <c r="D13" s="9">
        <v>12577.08</v>
      </c>
      <c r="E13" s="9">
        <v>1847.2800000000002</v>
      </c>
      <c r="F13" s="9">
        <v>1858.4499999999998</v>
      </c>
      <c r="G13" s="9">
        <v>8801.49</v>
      </c>
      <c r="H13" s="9"/>
      <c r="L13" s="10">
        <f t="shared" si="0"/>
        <v>25084.300000000003</v>
      </c>
    </row>
    <row r="14" spans="2:12" x14ac:dyDescent="0.25">
      <c r="B14" s="13"/>
      <c r="C14" s="4" t="s">
        <v>17</v>
      </c>
      <c r="D14" s="9">
        <v>3187.21</v>
      </c>
      <c r="E14" s="9">
        <v>2980.7200000000003</v>
      </c>
      <c r="F14" s="9">
        <v>1209.4299999999998</v>
      </c>
      <c r="G14" s="9">
        <v>4570.5500000000011</v>
      </c>
      <c r="H14" s="9"/>
      <c r="L14" s="10">
        <f t="shared" si="0"/>
        <v>11947.910000000002</v>
      </c>
    </row>
    <row r="15" spans="2:12" x14ac:dyDescent="0.25">
      <c r="B15" s="13"/>
      <c r="C15" s="4" t="s">
        <v>19</v>
      </c>
      <c r="D15" s="9">
        <v>5152.5500000000011</v>
      </c>
      <c r="E15" s="9">
        <v>3581.84</v>
      </c>
      <c r="F15" s="9">
        <v>4061.36</v>
      </c>
      <c r="G15" s="9">
        <v>4769.0000000000009</v>
      </c>
      <c r="H15" s="9"/>
      <c r="L15" s="10">
        <f t="shared" si="0"/>
        <v>17564.750000000004</v>
      </c>
    </row>
    <row r="16" spans="2:12" x14ac:dyDescent="0.25">
      <c r="B16" s="13"/>
      <c r="C16" s="4" t="s">
        <v>20</v>
      </c>
      <c r="D16" s="9">
        <v>3801.2199999999993</v>
      </c>
      <c r="E16" s="9">
        <v>2988.73</v>
      </c>
      <c r="F16" s="9">
        <v>4452.1599999999989</v>
      </c>
      <c r="G16" s="9">
        <v>5708.3799999999992</v>
      </c>
      <c r="H16" s="9"/>
      <c r="L16" s="10">
        <f t="shared" si="0"/>
        <v>16950.489999999998</v>
      </c>
    </row>
    <row r="17" spans="2:12" x14ac:dyDescent="0.25">
      <c r="B17" s="13"/>
      <c r="C17" s="4" t="s">
        <v>21</v>
      </c>
      <c r="D17" s="9">
        <v>17423.899999999998</v>
      </c>
      <c r="E17" s="9">
        <v>22433.179999999997</v>
      </c>
      <c r="F17" s="9">
        <v>9015.57</v>
      </c>
      <c r="G17" s="9">
        <v>19806.350000000002</v>
      </c>
      <c r="H17" s="9">
        <v>2949.74</v>
      </c>
      <c r="L17" s="10">
        <f t="shared" si="0"/>
        <v>71628.740000000005</v>
      </c>
    </row>
    <row r="18" spans="2:12" x14ac:dyDescent="0.25">
      <c r="B18" s="13"/>
      <c r="C18" s="4" t="s">
        <v>22</v>
      </c>
      <c r="D18" s="9">
        <v>13149.79</v>
      </c>
      <c r="E18" s="9">
        <v>626.62</v>
      </c>
      <c r="F18" s="9">
        <v>1254.02</v>
      </c>
      <c r="G18" s="9">
        <v>329.99</v>
      </c>
      <c r="H18" s="9">
        <v>329.99</v>
      </c>
      <c r="L18" s="10">
        <f t="shared" si="0"/>
        <v>15690.410000000002</v>
      </c>
    </row>
    <row r="19" spans="2:12" x14ac:dyDescent="0.25">
      <c r="B19" s="13"/>
      <c r="C19" s="4" t="s">
        <v>24</v>
      </c>
      <c r="D19" s="9">
        <v>6711.9799999999987</v>
      </c>
      <c r="E19" s="9">
        <v>7341.6500000000005</v>
      </c>
      <c r="F19" s="9">
        <v>3928.65</v>
      </c>
      <c r="G19" s="9">
        <v>3838.06</v>
      </c>
      <c r="H19" s="9"/>
      <c r="L19" s="10">
        <f t="shared" si="0"/>
        <v>21820.34</v>
      </c>
    </row>
    <row r="20" spans="2:12" x14ac:dyDescent="0.25">
      <c r="B20" s="13"/>
      <c r="C20" s="4" t="s">
        <v>25</v>
      </c>
      <c r="D20" s="9">
        <v>5890.4500000000007</v>
      </c>
      <c r="E20" s="9">
        <v>7387.7100000000009</v>
      </c>
      <c r="F20" s="9">
        <v>6803.8500000000013</v>
      </c>
      <c r="G20" s="9">
        <v>6218.69</v>
      </c>
      <c r="H20" s="9">
        <v>168</v>
      </c>
      <c r="L20" s="10">
        <f t="shared" si="0"/>
        <v>26468.7</v>
      </c>
    </row>
    <row r="21" spans="2:12" x14ac:dyDescent="0.25">
      <c r="B21" s="13"/>
      <c r="C21" s="4" t="s">
        <v>26</v>
      </c>
      <c r="D21" s="9">
        <v>11026.74</v>
      </c>
      <c r="E21" s="9">
        <v>7869.1699999999992</v>
      </c>
      <c r="F21" s="9">
        <v>17538.490000000002</v>
      </c>
      <c r="G21" s="9">
        <v>4571.5599999999995</v>
      </c>
      <c r="H21" s="9"/>
      <c r="L21" s="10">
        <f t="shared" si="0"/>
        <v>41005.96</v>
      </c>
    </row>
    <row r="22" spans="2:12" x14ac:dyDescent="0.25">
      <c r="B22" s="13"/>
      <c r="C22" s="4" t="s">
        <v>27</v>
      </c>
      <c r="D22" s="9">
        <v>106.91999999999999</v>
      </c>
      <c r="E22" s="9">
        <v>290.09000000000003</v>
      </c>
      <c r="F22" s="9">
        <v>119</v>
      </c>
      <c r="G22" s="9">
        <v>59.4</v>
      </c>
      <c r="H22" s="9"/>
      <c r="L22" s="10">
        <f t="shared" si="0"/>
        <v>575.41</v>
      </c>
    </row>
    <row r="23" spans="2:12" x14ac:dyDescent="0.25">
      <c r="B23" s="13"/>
      <c r="C23" s="4" t="s">
        <v>28</v>
      </c>
      <c r="D23" s="9">
        <v>15677.419999999996</v>
      </c>
      <c r="E23" s="9">
        <v>21123.399999999998</v>
      </c>
      <c r="F23" s="9">
        <v>16515.669999999995</v>
      </c>
      <c r="G23" s="9">
        <v>21109.539999999997</v>
      </c>
      <c r="H23" s="9"/>
      <c r="L23" s="10">
        <f t="shared" si="0"/>
        <v>74426.029999999984</v>
      </c>
    </row>
    <row r="24" spans="2:12" x14ac:dyDescent="0.25">
      <c r="B24" s="13"/>
      <c r="C24" s="4" t="s">
        <v>29</v>
      </c>
      <c r="D24" s="9">
        <v>11137.68</v>
      </c>
      <c r="E24" s="9">
        <v>22803.480000000007</v>
      </c>
      <c r="F24" s="9">
        <v>20392.670000000002</v>
      </c>
      <c r="G24" s="9">
        <v>18750.839999999997</v>
      </c>
      <c r="H24" s="9"/>
      <c r="L24" s="10">
        <f t="shared" si="0"/>
        <v>73084.67</v>
      </c>
    </row>
    <row r="25" spans="2:12" x14ac:dyDescent="0.25">
      <c r="B25" s="13"/>
      <c r="C25" s="4" t="s">
        <v>43</v>
      </c>
      <c r="D25" s="9">
        <v>1414.49</v>
      </c>
      <c r="E25" s="9">
        <v>1191.23</v>
      </c>
      <c r="F25" s="9">
        <v>2226.8300000000004</v>
      </c>
      <c r="G25" s="9">
        <v>1579.8200000000002</v>
      </c>
      <c r="H25" s="9"/>
      <c r="L25" s="10">
        <f t="shared" si="0"/>
        <v>6412.3700000000008</v>
      </c>
    </row>
    <row r="26" spans="2:12" x14ac:dyDescent="0.25">
      <c r="B26" s="13"/>
      <c r="C26" s="4" t="s">
        <v>30</v>
      </c>
      <c r="D26" s="9">
        <v>2579.34</v>
      </c>
      <c r="E26" s="9">
        <v>7989.92</v>
      </c>
      <c r="F26" s="9">
        <v>3467.54</v>
      </c>
      <c r="G26" s="9">
        <v>3270.71</v>
      </c>
      <c r="H26" s="9"/>
      <c r="L26" s="10">
        <f t="shared" si="0"/>
        <v>17307.509999999998</v>
      </c>
    </row>
    <row r="27" spans="2:12" x14ac:dyDescent="0.25">
      <c r="B27" s="13"/>
      <c r="C27" s="4" t="s">
        <v>31</v>
      </c>
      <c r="D27" s="9">
        <v>18355.48</v>
      </c>
      <c r="E27" s="9">
        <v>2701.4300000000007</v>
      </c>
      <c r="F27" s="9">
        <v>28950.300000000007</v>
      </c>
      <c r="G27" s="9">
        <v>30657.489999999994</v>
      </c>
      <c r="H27" s="9"/>
      <c r="L27" s="10">
        <f t="shared" si="0"/>
        <v>80664.7</v>
      </c>
    </row>
    <row r="28" spans="2:12" x14ac:dyDescent="0.25">
      <c r="B28" s="13"/>
      <c r="C28" s="4" t="s">
        <v>68</v>
      </c>
      <c r="D28" s="9">
        <v>10650.509999999998</v>
      </c>
      <c r="E28" s="9">
        <v>14405.13</v>
      </c>
      <c r="F28" s="9">
        <v>10798.87</v>
      </c>
      <c r="G28" s="9">
        <v>7997.3700000000008</v>
      </c>
      <c r="H28" s="9"/>
      <c r="L28" s="10">
        <f t="shared" si="0"/>
        <v>43851.880000000005</v>
      </c>
    </row>
    <row r="29" spans="2:12" x14ac:dyDescent="0.25">
      <c r="B29" s="3" t="s">
        <v>33</v>
      </c>
      <c r="C29" s="6"/>
      <c r="D29" s="11">
        <f>SUM(D4:D28)</f>
        <v>176134.18</v>
      </c>
      <c r="E29" s="11">
        <f>SUM(E4:E28)</f>
        <v>171337.31</v>
      </c>
      <c r="F29" s="11">
        <f t="shared" ref="F29:K29" si="1">SUM(F4:F28)</f>
        <v>176046.64</v>
      </c>
      <c r="G29" s="11">
        <f t="shared" si="1"/>
        <v>167912.87</v>
      </c>
      <c r="H29" s="11">
        <f t="shared" si="1"/>
        <v>4482.75</v>
      </c>
      <c r="I29" s="11">
        <f t="shared" si="1"/>
        <v>0</v>
      </c>
      <c r="J29" s="11">
        <f t="shared" si="1"/>
        <v>0</v>
      </c>
      <c r="K29" s="11">
        <f t="shared" si="1"/>
        <v>0</v>
      </c>
      <c r="L29" s="10">
        <f>SUM(D29:K29)</f>
        <v>695913.75</v>
      </c>
    </row>
    <row r="30" spans="2:12" x14ac:dyDescent="0.25">
      <c r="B30" s="13"/>
      <c r="C30" s="4"/>
      <c r="D30" s="9"/>
      <c r="E30" s="9"/>
      <c r="F30" s="9"/>
      <c r="G30" s="9"/>
      <c r="L30" s="10"/>
    </row>
    <row r="31" spans="2:12" x14ac:dyDescent="0.25">
      <c r="B31" s="8" t="s">
        <v>2</v>
      </c>
      <c r="C31" s="30" t="s">
        <v>3</v>
      </c>
      <c r="D31" s="31" t="s">
        <v>8</v>
      </c>
      <c r="E31" s="31" t="s">
        <v>7</v>
      </c>
      <c r="F31" s="31" t="s">
        <v>6</v>
      </c>
      <c r="G31" s="31" t="s">
        <v>5</v>
      </c>
      <c r="H31" s="30" t="s">
        <v>4</v>
      </c>
      <c r="I31" s="30" t="s">
        <v>34</v>
      </c>
      <c r="J31" s="30" t="s">
        <v>35</v>
      </c>
      <c r="K31" s="30" t="s">
        <v>36</v>
      </c>
      <c r="L31" s="30" t="s">
        <v>9</v>
      </c>
    </row>
    <row r="32" spans="2:12" x14ac:dyDescent="0.25">
      <c r="B32" s="13"/>
      <c r="C32" s="7" t="s">
        <v>11</v>
      </c>
      <c r="D32" s="11">
        <v>22</v>
      </c>
      <c r="E32" s="11">
        <v>33</v>
      </c>
      <c r="F32" s="11">
        <v>10</v>
      </c>
      <c r="G32" s="11">
        <v>10</v>
      </c>
      <c r="H32" s="11"/>
      <c r="L32" s="10">
        <f t="shared" si="0"/>
        <v>75</v>
      </c>
    </row>
    <row r="33" spans="2:12" x14ac:dyDescent="0.25">
      <c r="B33" s="13"/>
      <c r="C33" s="4" t="s">
        <v>12</v>
      </c>
      <c r="D33" s="9">
        <v>4</v>
      </c>
      <c r="E33" s="9">
        <v>4</v>
      </c>
      <c r="F33" s="9">
        <v>3</v>
      </c>
      <c r="G33" s="9">
        <v>2</v>
      </c>
      <c r="H33" s="9"/>
      <c r="L33" s="10">
        <f t="shared" si="0"/>
        <v>13</v>
      </c>
    </row>
    <row r="34" spans="2:12" x14ac:dyDescent="0.25">
      <c r="B34" s="13"/>
      <c r="C34" s="4" t="s">
        <v>38</v>
      </c>
      <c r="D34" s="9">
        <v>4</v>
      </c>
      <c r="E34" s="9">
        <v>1</v>
      </c>
      <c r="F34" s="9">
        <v>2</v>
      </c>
      <c r="G34" s="9">
        <v>3</v>
      </c>
      <c r="H34" s="9"/>
      <c r="L34" s="10">
        <f t="shared" si="0"/>
        <v>10</v>
      </c>
    </row>
    <row r="35" spans="2:12" x14ac:dyDescent="0.25">
      <c r="B35" s="13"/>
      <c r="C35" s="4" t="s">
        <v>39</v>
      </c>
      <c r="D35" s="9"/>
      <c r="E35" s="9">
        <v>7</v>
      </c>
      <c r="F35" s="9">
        <v>7</v>
      </c>
      <c r="G35" s="9">
        <v>4</v>
      </c>
      <c r="H35" s="9">
        <v>1</v>
      </c>
      <c r="L35" s="10">
        <f t="shared" si="0"/>
        <v>19</v>
      </c>
    </row>
    <row r="36" spans="2:12" x14ac:dyDescent="0.25">
      <c r="B36" s="13"/>
      <c r="C36" s="4" t="s">
        <v>13</v>
      </c>
      <c r="D36" s="9">
        <v>1</v>
      </c>
      <c r="E36" s="9">
        <v>5</v>
      </c>
      <c r="F36" s="9">
        <v>6</v>
      </c>
      <c r="G36" s="9">
        <v>2</v>
      </c>
      <c r="H36" s="9"/>
      <c r="L36" s="10">
        <f t="shared" si="0"/>
        <v>14</v>
      </c>
    </row>
    <row r="37" spans="2:12" x14ac:dyDescent="0.25">
      <c r="B37" s="13"/>
      <c r="C37" s="4" t="s">
        <v>41</v>
      </c>
      <c r="D37" s="9">
        <v>72</v>
      </c>
      <c r="E37" s="9">
        <v>61</v>
      </c>
      <c r="F37" s="9">
        <v>63</v>
      </c>
      <c r="G37" s="9">
        <v>41</v>
      </c>
      <c r="H37" s="9">
        <v>12</v>
      </c>
      <c r="L37" s="10">
        <f t="shared" si="0"/>
        <v>249</v>
      </c>
    </row>
    <row r="38" spans="2:12" x14ac:dyDescent="0.25">
      <c r="B38" s="13"/>
      <c r="C38" s="4" t="s">
        <v>14</v>
      </c>
      <c r="D38" s="9">
        <v>49</v>
      </c>
      <c r="E38" s="9">
        <v>61</v>
      </c>
      <c r="F38" s="9">
        <v>73</v>
      </c>
      <c r="G38" s="9">
        <v>34</v>
      </c>
      <c r="H38" s="9"/>
      <c r="L38" s="10">
        <f t="shared" si="0"/>
        <v>217</v>
      </c>
    </row>
    <row r="39" spans="2:12" x14ac:dyDescent="0.25">
      <c r="B39" s="13"/>
      <c r="C39" s="4" t="s">
        <v>15</v>
      </c>
      <c r="D39" s="9">
        <v>18</v>
      </c>
      <c r="E39" s="9">
        <v>2</v>
      </c>
      <c r="F39" s="9">
        <v>50</v>
      </c>
      <c r="G39" s="9">
        <v>21</v>
      </c>
      <c r="H39" s="9"/>
      <c r="L39" s="10">
        <f t="shared" si="0"/>
        <v>91</v>
      </c>
    </row>
    <row r="40" spans="2:12" x14ac:dyDescent="0.25">
      <c r="B40" s="13"/>
      <c r="C40" s="4" t="s">
        <v>42</v>
      </c>
      <c r="D40" s="9"/>
      <c r="E40" s="9"/>
      <c r="F40" s="9"/>
      <c r="G40" s="9">
        <v>1</v>
      </c>
      <c r="H40" s="9"/>
      <c r="L40" s="10">
        <f t="shared" si="0"/>
        <v>1</v>
      </c>
    </row>
    <row r="41" spans="2:12" x14ac:dyDescent="0.25">
      <c r="B41" s="13"/>
      <c r="C41" s="4" t="s">
        <v>16</v>
      </c>
      <c r="D41" s="9">
        <v>143</v>
      </c>
      <c r="E41" s="9">
        <v>21</v>
      </c>
      <c r="F41" s="9">
        <v>17</v>
      </c>
      <c r="G41" s="9">
        <v>56</v>
      </c>
      <c r="H41" s="9"/>
      <c r="L41" s="10">
        <f t="shared" si="0"/>
        <v>237</v>
      </c>
    </row>
    <row r="42" spans="2:12" x14ac:dyDescent="0.25">
      <c r="B42" s="13"/>
      <c r="C42" s="4" t="s">
        <v>17</v>
      </c>
      <c r="D42" s="9">
        <v>16</v>
      </c>
      <c r="E42" s="9">
        <v>15</v>
      </c>
      <c r="F42" s="9">
        <v>6</v>
      </c>
      <c r="G42" s="9">
        <v>21</v>
      </c>
      <c r="H42" s="9"/>
      <c r="L42" s="10">
        <f t="shared" si="0"/>
        <v>58</v>
      </c>
    </row>
    <row r="43" spans="2:12" x14ac:dyDescent="0.25">
      <c r="B43" s="13"/>
      <c r="C43" s="4" t="s">
        <v>19</v>
      </c>
      <c r="D43" s="9">
        <v>26</v>
      </c>
      <c r="E43" s="9">
        <v>18</v>
      </c>
      <c r="F43" s="9">
        <v>20</v>
      </c>
      <c r="G43" s="9">
        <v>22</v>
      </c>
      <c r="H43" s="9"/>
      <c r="L43" s="10">
        <f t="shared" si="0"/>
        <v>86</v>
      </c>
    </row>
    <row r="44" spans="2:12" x14ac:dyDescent="0.25">
      <c r="B44" s="13"/>
      <c r="C44" s="4" t="s">
        <v>20</v>
      </c>
      <c r="D44" s="9">
        <v>19</v>
      </c>
      <c r="E44" s="9">
        <v>15</v>
      </c>
      <c r="F44" s="9">
        <v>22</v>
      </c>
      <c r="G44" s="9">
        <v>25</v>
      </c>
      <c r="H44" s="9"/>
      <c r="L44" s="10">
        <f t="shared" si="0"/>
        <v>81</v>
      </c>
    </row>
    <row r="45" spans="2:12" x14ac:dyDescent="0.25">
      <c r="B45" s="13"/>
      <c r="C45" s="4" t="s">
        <v>21</v>
      </c>
      <c r="D45" s="9">
        <v>61</v>
      </c>
      <c r="E45" s="9">
        <v>78</v>
      </c>
      <c r="F45" s="9">
        <v>31</v>
      </c>
      <c r="G45" s="9">
        <v>64</v>
      </c>
      <c r="H45" s="9">
        <v>11</v>
      </c>
      <c r="L45" s="10">
        <f t="shared" si="0"/>
        <v>245</v>
      </c>
    </row>
    <row r="46" spans="2:12" x14ac:dyDescent="0.25">
      <c r="B46" s="13"/>
      <c r="C46" s="4" t="s">
        <v>22</v>
      </c>
      <c r="D46" s="9">
        <v>43</v>
      </c>
      <c r="E46" s="9">
        <v>2</v>
      </c>
      <c r="F46" s="9">
        <v>4</v>
      </c>
      <c r="G46" s="9">
        <v>1</v>
      </c>
      <c r="H46" s="9">
        <v>1</v>
      </c>
      <c r="L46" s="10">
        <f t="shared" si="0"/>
        <v>51</v>
      </c>
    </row>
    <row r="47" spans="2:12" x14ac:dyDescent="0.25">
      <c r="B47" s="13"/>
      <c r="C47" s="4" t="s">
        <v>24</v>
      </c>
      <c r="D47" s="9">
        <v>21</v>
      </c>
      <c r="E47" s="9">
        <v>23</v>
      </c>
      <c r="F47" s="9">
        <v>12</v>
      </c>
      <c r="G47" s="9">
        <v>11</v>
      </c>
      <c r="H47" s="9"/>
      <c r="L47" s="10">
        <f t="shared" si="0"/>
        <v>67</v>
      </c>
    </row>
    <row r="48" spans="2:12" x14ac:dyDescent="0.25">
      <c r="B48" s="13"/>
      <c r="C48" s="4" t="s">
        <v>25</v>
      </c>
      <c r="D48" s="9">
        <v>31</v>
      </c>
      <c r="E48" s="9">
        <v>39</v>
      </c>
      <c r="F48" s="9">
        <v>35</v>
      </c>
      <c r="G48" s="9">
        <v>31</v>
      </c>
      <c r="H48" s="9">
        <v>1</v>
      </c>
      <c r="L48" s="10">
        <f t="shared" si="0"/>
        <v>137</v>
      </c>
    </row>
    <row r="49" spans="2:12" x14ac:dyDescent="0.25">
      <c r="B49" s="13"/>
      <c r="C49" s="4" t="s">
        <v>26</v>
      </c>
      <c r="D49" s="9">
        <v>433</v>
      </c>
      <c r="E49" s="9">
        <v>304</v>
      </c>
      <c r="F49" s="9">
        <v>524</v>
      </c>
      <c r="G49" s="9">
        <v>99</v>
      </c>
      <c r="H49" s="9"/>
      <c r="L49" s="10">
        <f t="shared" si="0"/>
        <v>1360</v>
      </c>
    </row>
    <row r="50" spans="2:12" x14ac:dyDescent="0.25">
      <c r="B50" s="13"/>
      <c r="C50" s="4" t="s">
        <v>27</v>
      </c>
      <c r="D50" s="9">
        <v>3</v>
      </c>
      <c r="E50" s="9">
        <v>8</v>
      </c>
      <c r="F50" s="9">
        <v>2</v>
      </c>
      <c r="G50" s="9">
        <v>1</v>
      </c>
      <c r="H50" s="9"/>
      <c r="L50" s="10">
        <f t="shared" si="0"/>
        <v>14</v>
      </c>
    </row>
    <row r="51" spans="2:12" x14ac:dyDescent="0.25">
      <c r="B51" s="13"/>
      <c r="C51" s="4" t="s">
        <v>28</v>
      </c>
      <c r="D51" s="9">
        <v>116</v>
      </c>
      <c r="E51" s="9">
        <v>156</v>
      </c>
      <c r="F51" s="9">
        <v>96</v>
      </c>
      <c r="G51" s="9">
        <v>91</v>
      </c>
      <c r="H51" s="9"/>
      <c r="L51" s="10">
        <f t="shared" si="0"/>
        <v>459</v>
      </c>
    </row>
    <row r="52" spans="2:12" x14ac:dyDescent="0.25">
      <c r="B52" s="13"/>
      <c r="C52" s="4" t="s">
        <v>29</v>
      </c>
      <c r="D52" s="9">
        <v>51</v>
      </c>
      <c r="E52" s="9">
        <v>105</v>
      </c>
      <c r="F52" s="9">
        <v>91</v>
      </c>
      <c r="G52" s="9">
        <v>82</v>
      </c>
      <c r="H52" s="9"/>
      <c r="L52" s="10">
        <f t="shared" si="0"/>
        <v>329</v>
      </c>
    </row>
    <row r="53" spans="2:12" x14ac:dyDescent="0.25">
      <c r="B53" s="13"/>
      <c r="C53" s="4" t="s">
        <v>43</v>
      </c>
      <c r="D53" s="9">
        <v>12</v>
      </c>
      <c r="E53" s="9">
        <v>10</v>
      </c>
      <c r="F53" s="9">
        <v>18</v>
      </c>
      <c r="G53" s="9">
        <v>12</v>
      </c>
      <c r="H53" s="9"/>
      <c r="L53" s="10">
        <f t="shared" si="0"/>
        <v>52</v>
      </c>
    </row>
    <row r="54" spans="2:12" x14ac:dyDescent="0.25">
      <c r="B54" s="13"/>
      <c r="C54" s="4" t="s">
        <v>30</v>
      </c>
      <c r="D54" s="9">
        <v>13</v>
      </c>
      <c r="E54" s="9">
        <v>40</v>
      </c>
      <c r="F54" s="9">
        <v>17</v>
      </c>
      <c r="G54" s="9">
        <v>15</v>
      </c>
      <c r="H54" s="9"/>
      <c r="L54" s="10">
        <f t="shared" si="0"/>
        <v>85</v>
      </c>
    </row>
    <row r="55" spans="2:12" x14ac:dyDescent="0.25">
      <c r="B55" s="13"/>
      <c r="C55" s="4" t="s">
        <v>31</v>
      </c>
      <c r="D55" s="9">
        <v>474</v>
      </c>
      <c r="E55" s="9">
        <v>69</v>
      </c>
      <c r="F55" s="9">
        <v>550</v>
      </c>
      <c r="G55" s="9">
        <v>427</v>
      </c>
      <c r="H55" s="9"/>
      <c r="L55" s="10">
        <f t="shared" si="0"/>
        <v>1520</v>
      </c>
    </row>
    <row r="56" spans="2:12" x14ac:dyDescent="0.25">
      <c r="B56" s="13"/>
      <c r="C56" s="4" t="s">
        <v>68</v>
      </c>
      <c r="D56" s="9">
        <v>20</v>
      </c>
      <c r="E56" s="9">
        <v>27</v>
      </c>
      <c r="F56" s="9">
        <v>20</v>
      </c>
      <c r="G56" s="9">
        <v>14</v>
      </c>
      <c r="H56" s="9"/>
      <c r="L56" s="10">
        <f t="shared" si="0"/>
        <v>81</v>
      </c>
    </row>
    <row r="57" spans="2:12" x14ac:dyDescent="0.25">
      <c r="B57" s="8" t="s">
        <v>45</v>
      </c>
      <c r="C57" s="23"/>
      <c r="D57" s="11">
        <f>SUM(D32:D56)</f>
        <v>1652</v>
      </c>
      <c r="E57" s="11">
        <f t="shared" ref="E57:K57" si="2">SUM(E32:E56)</f>
        <v>1104</v>
      </c>
      <c r="F57" s="11">
        <f t="shared" si="2"/>
        <v>1679</v>
      </c>
      <c r="G57" s="11">
        <f t="shared" si="2"/>
        <v>1090</v>
      </c>
      <c r="H57" s="11">
        <f t="shared" si="2"/>
        <v>26</v>
      </c>
      <c r="I57" s="11">
        <f t="shared" si="2"/>
        <v>0</v>
      </c>
      <c r="J57" s="11">
        <f t="shared" si="2"/>
        <v>0</v>
      </c>
      <c r="K57" s="11">
        <f t="shared" si="2"/>
        <v>0</v>
      </c>
      <c r="L57" s="11">
        <f>SUM(D57:K57)</f>
        <v>5551</v>
      </c>
    </row>
  </sheetData>
  <conditionalFormatting sqref="D29:K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K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L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F0DC-232A-4C17-8874-B7515A822A3A}">
  <dimension ref="B2:L35"/>
  <sheetViews>
    <sheetView topLeftCell="A21" workbookViewId="0">
      <selection activeCell="A35" sqref="A35:XFD35"/>
    </sheetView>
  </sheetViews>
  <sheetFormatPr defaultRowHeight="15" x14ac:dyDescent="0.25"/>
  <cols>
    <col min="2" max="2" width="16.28515625" customWidth="1"/>
    <col min="3" max="3" width="16.28515625" bestFit="1" customWidth="1"/>
    <col min="6" max="6" width="6.7109375" bestFit="1" customWidth="1"/>
    <col min="7" max="8" width="11.710937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72</v>
      </c>
      <c r="C4" s="7" t="s">
        <v>39</v>
      </c>
      <c r="D4" s="9"/>
      <c r="E4" s="9">
        <v>6434.77</v>
      </c>
      <c r="F4" s="9">
        <v>989.96</v>
      </c>
      <c r="G4" s="3"/>
      <c r="H4" s="3"/>
      <c r="L4" s="10">
        <f>SUM(D4:K4)</f>
        <v>7424.7300000000005</v>
      </c>
    </row>
    <row r="5" spans="2:12" x14ac:dyDescent="0.25">
      <c r="B5" s="13"/>
      <c r="C5" s="4" t="s">
        <v>40</v>
      </c>
      <c r="D5" s="9"/>
      <c r="E5" s="9">
        <v>697.3599999999999</v>
      </c>
      <c r="F5" s="9">
        <v>112.48</v>
      </c>
      <c r="G5" s="3"/>
      <c r="H5" s="3"/>
      <c r="L5" s="10">
        <f t="shared" ref="L5:L34" si="0">SUM(D5:K5)</f>
        <v>809.83999999999992</v>
      </c>
    </row>
    <row r="6" spans="2:12" x14ac:dyDescent="0.25">
      <c r="B6" s="13"/>
      <c r="C6" s="4" t="s">
        <v>13</v>
      </c>
      <c r="D6" s="9"/>
      <c r="E6" s="9">
        <v>174.24</v>
      </c>
      <c r="F6" s="9">
        <v>174.24</v>
      </c>
      <c r="G6" s="3"/>
      <c r="H6" s="3"/>
      <c r="L6" s="10">
        <f t="shared" si="0"/>
        <v>348.48</v>
      </c>
    </row>
    <row r="7" spans="2:12" x14ac:dyDescent="0.25">
      <c r="B7" s="13"/>
      <c r="C7" s="4" t="s">
        <v>41</v>
      </c>
      <c r="D7" s="9"/>
      <c r="E7" s="9"/>
      <c r="F7" s="9">
        <v>69.39</v>
      </c>
      <c r="G7" s="3"/>
      <c r="H7" s="3"/>
      <c r="L7" s="10">
        <f t="shared" si="0"/>
        <v>69.39</v>
      </c>
    </row>
    <row r="8" spans="2:12" x14ac:dyDescent="0.25">
      <c r="B8" s="13"/>
      <c r="C8" s="4" t="s">
        <v>15</v>
      </c>
      <c r="D8" s="9">
        <v>87517.079999999987</v>
      </c>
      <c r="E8" s="9">
        <v>-79200.98</v>
      </c>
      <c r="F8" s="9">
        <v>2538.04</v>
      </c>
      <c r="G8" s="3"/>
      <c r="H8" s="3"/>
      <c r="L8" s="10">
        <f t="shared" si="0"/>
        <v>10854.139999999992</v>
      </c>
    </row>
    <row r="9" spans="2:12" x14ac:dyDescent="0.25">
      <c r="B9" s="13"/>
      <c r="C9" s="4" t="s">
        <v>42</v>
      </c>
      <c r="D9" s="9">
        <v>30152.899999999998</v>
      </c>
      <c r="E9" s="9">
        <v>4356.03</v>
      </c>
      <c r="F9" s="9"/>
      <c r="G9" s="3"/>
      <c r="H9" s="3"/>
      <c r="L9" s="10">
        <f t="shared" si="0"/>
        <v>34508.93</v>
      </c>
    </row>
    <row r="10" spans="2:12" x14ac:dyDescent="0.25">
      <c r="B10" s="13"/>
      <c r="C10" s="4" t="s">
        <v>16</v>
      </c>
      <c r="D10" s="9"/>
      <c r="E10" s="9"/>
      <c r="F10" s="9">
        <v>434.84999999999997</v>
      </c>
      <c r="G10" s="3"/>
      <c r="H10" s="3"/>
      <c r="L10" s="10">
        <f t="shared" si="0"/>
        <v>434.84999999999997</v>
      </c>
    </row>
    <row r="11" spans="2:12" x14ac:dyDescent="0.25">
      <c r="B11" s="13"/>
      <c r="C11" s="4" t="s">
        <v>21</v>
      </c>
      <c r="D11" s="9">
        <v>2182.8700000000003</v>
      </c>
      <c r="E11" s="9">
        <v>268.92</v>
      </c>
      <c r="F11" s="9"/>
      <c r="G11" s="3"/>
      <c r="H11" s="3"/>
      <c r="L11" s="10">
        <f t="shared" si="0"/>
        <v>2451.7900000000004</v>
      </c>
    </row>
    <row r="12" spans="2:12" x14ac:dyDescent="0.25">
      <c r="B12" s="13"/>
      <c r="C12" s="4" t="s">
        <v>22</v>
      </c>
      <c r="D12" s="9">
        <v>49598.81</v>
      </c>
      <c r="E12" s="9">
        <v>2969.99</v>
      </c>
      <c r="F12" s="9"/>
      <c r="G12" s="3"/>
      <c r="H12" s="3"/>
      <c r="L12" s="10">
        <f t="shared" si="0"/>
        <v>52568.799999999996</v>
      </c>
    </row>
    <row r="13" spans="2:12" x14ac:dyDescent="0.25">
      <c r="B13" s="13"/>
      <c r="C13" s="4" t="s">
        <v>24</v>
      </c>
      <c r="D13" s="9">
        <v>1782.52</v>
      </c>
      <c r="E13" s="9">
        <v>4753.3500000000004</v>
      </c>
      <c r="F13" s="9">
        <v>3726.01</v>
      </c>
      <c r="G13" s="3"/>
      <c r="H13" s="3"/>
      <c r="L13" s="10">
        <f t="shared" si="0"/>
        <v>10261.880000000001</v>
      </c>
    </row>
    <row r="14" spans="2:12" x14ac:dyDescent="0.25">
      <c r="B14" s="13"/>
      <c r="C14" s="4" t="s">
        <v>25</v>
      </c>
      <c r="D14" s="9">
        <v>11501.21</v>
      </c>
      <c r="E14" s="9">
        <v>15393.94</v>
      </c>
      <c r="F14" s="9">
        <v>8504.92</v>
      </c>
      <c r="G14" s="3"/>
      <c r="H14" s="3"/>
      <c r="L14" s="10">
        <f t="shared" si="0"/>
        <v>35400.07</v>
      </c>
    </row>
    <row r="15" spans="2:12" x14ac:dyDescent="0.25">
      <c r="B15" s="13"/>
      <c r="C15" s="4" t="s">
        <v>28</v>
      </c>
      <c r="D15" s="9"/>
      <c r="E15" s="9"/>
      <c r="F15" s="9">
        <v>223.54</v>
      </c>
      <c r="G15" s="3"/>
      <c r="H15" s="3"/>
      <c r="L15" s="10">
        <f t="shared" si="0"/>
        <v>223.54</v>
      </c>
    </row>
    <row r="16" spans="2:12" x14ac:dyDescent="0.25">
      <c r="B16" s="13"/>
      <c r="C16" s="4" t="s">
        <v>29</v>
      </c>
      <c r="D16" s="9">
        <v>1613.54</v>
      </c>
      <c r="E16" s="9">
        <v>1815.23</v>
      </c>
      <c r="F16" s="9">
        <v>1124.98</v>
      </c>
      <c r="G16" s="3"/>
      <c r="H16" s="3"/>
      <c r="L16" s="10">
        <f t="shared" si="0"/>
        <v>4553.75</v>
      </c>
    </row>
    <row r="17" spans="2:12" x14ac:dyDescent="0.25">
      <c r="B17" s="13"/>
      <c r="C17" s="4" t="s">
        <v>68</v>
      </c>
      <c r="D17" s="9">
        <v>2039.98</v>
      </c>
      <c r="E17" s="9">
        <v>2977.27</v>
      </c>
      <c r="F17" s="9">
        <v>1552.49</v>
      </c>
      <c r="G17" s="3"/>
      <c r="H17" s="3"/>
      <c r="L17" s="10">
        <f t="shared" si="0"/>
        <v>6569.74</v>
      </c>
    </row>
    <row r="18" spans="2:12" x14ac:dyDescent="0.25">
      <c r="B18" s="3" t="s">
        <v>33</v>
      </c>
      <c r="C18" s="6"/>
      <c r="D18" s="11">
        <f>SUM(D4:D17)</f>
        <v>186388.90999999997</v>
      </c>
      <c r="E18" s="11">
        <f t="shared" ref="E18:K18" si="1">SUM(E4:E17)</f>
        <v>-39359.880000000005</v>
      </c>
      <c r="F18" s="11">
        <f t="shared" si="1"/>
        <v>19450.900000000001</v>
      </c>
      <c r="G18" s="11">
        <f t="shared" si="1"/>
        <v>0</v>
      </c>
      <c r="H18" s="11">
        <f t="shared" si="1"/>
        <v>0</v>
      </c>
      <c r="I18" s="11">
        <f t="shared" si="1"/>
        <v>0</v>
      </c>
      <c r="J18" s="11">
        <f t="shared" si="1"/>
        <v>0</v>
      </c>
      <c r="K18" s="11">
        <f t="shared" si="1"/>
        <v>0</v>
      </c>
      <c r="L18" s="10">
        <f>SUM(D18:K18)</f>
        <v>166479.92999999996</v>
      </c>
    </row>
    <row r="19" spans="2:12" x14ac:dyDescent="0.25">
      <c r="B19" s="13"/>
      <c r="C19" s="4"/>
      <c r="D19" s="9"/>
      <c r="E19" s="9"/>
      <c r="F19" s="9"/>
      <c r="G19" s="9"/>
      <c r="L19" s="10"/>
    </row>
    <row r="20" spans="2:12" x14ac:dyDescent="0.25">
      <c r="B20" s="8" t="s">
        <v>2</v>
      </c>
      <c r="C20" s="30" t="s">
        <v>3</v>
      </c>
      <c r="D20" s="31" t="s">
        <v>8</v>
      </c>
      <c r="E20" s="31" t="s">
        <v>7</v>
      </c>
      <c r="F20" s="31" t="s">
        <v>6</v>
      </c>
      <c r="G20" s="31" t="s">
        <v>5</v>
      </c>
      <c r="H20" s="30" t="s">
        <v>4</v>
      </c>
      <c r="I20" s="30" t="s">
        <v>34</v>
      </c>
      <c r="J20" s="30" t="s">
        <v>35</v>
      </c>
      <c r="K20" s="30" t="s">
        <v>36</v>
      </c>
      <c r="L20" s="30" t="s">
        <v>9</v>
      </c>
    </row>
    <row r="21" spans="2:12" x14ac:dyDescent="0.25">
      <c r="B21" s="13"/>
      <c r="C21" s="7" t="s">
        <v>39</v>
      </c>
      <c r="D21" s="11"/>
      <c r="E21" s="11">
        <v>65</v>
      </c>
      <c r="F21" s="11">
        <v>10</v>
      </c>
      <c r="G21" s="8"/>
      <c r="H21" s="8"/>
      <c r="L21" s="10">
        <f t="shared" si="0"/>
        <v>75</v>
      </c>
    </row>
    <row r="22" spans="2:12" x14ac:dyDescent="0.25">
      <c r="B22" s="13"/>
      <c r="C22" s="4" t="s">
        <v>40</v>
      </c>
      <c r="D22" s="9"/>
      <c r="E22" s="9">
        <v>31</v>
      </c>
      <c r="F22" s="9">
        <v>5</v>
      </c>
      <c r="G22" s="3"/>
      <c r="H22" s="3"/>
      <c r="L22" s="10">
        <f t="shared" si="0"/>
        <v>36</v>
      </c>
    </row>
    <row r="23" spans="2:12" x14ac:dyDescent="0.25">
      <c r="B23" s="13"/>
      <c r="C23" s="4" t="s">
        <v>13</v>
      </c>
      <c r="D23" s="9"/>
      <c r="E23" s="9">
        <v>1</v>
      </c>
      <c r="F23" s="9">
        <v>1</v>
      </c>
      <c r="G23" s="3"/>
      <c r="H23" s="3"/>
      <c r="L23" s="10">
        <f t="shared" si="0"/>
        <v>2</v>
      </c>
    </row>
    <row r="24" spans="2:12" x14ac:dyDescent="0.25">
      <c r="B24" s="13"/>
      <c r="C24" s="4" t="s">
        <v>41</v>
      </c>
      <c r="D24" s="9"/>
      <c r="E24" s="9"/>
      <c r="F24" s="9">
        <v>1</v>
      </c>
      <c r="G24" s="3"/>
      <c r="H24" s="3"/>
      <c r="L24" s="10">
        <f t="shared" si="0"/>
        <v>1</v>
      </c>
    </row>
    <row r="25" spans="2:12" x14ac:dyDescent="0.25">
      <c r="B25" s="13"/>
      <c r="C25" s="4" t="s">
        <v>15</v>
      </c>
      <c r="D25" s="9">
        <v>442</v>
      </c>
      <c r="E25" s="9">
        <v>-400</v>
      </c>
      <c r="F25" s="9">
        <v>12</v>
      </c>
      <c r="G25" s="3"/>
      <c r="H25" s="3"/>
      <c r="L25" s="10">
        <f t="shared" si="0"/>
        <v>54</v>
      </c>
    </row>
    <row r="26" spans="2:12" x14ac:dyDescent="0.25">
      <c r="B26" s="13"/>
      <c r="C26" s="4" t="s">
        <v>42</v>
      </c>
      <c r="D26" s="9">
        <v>68</v>
      </c>
      <c r="E26" s="9">
        <v>10</v>
      </c>
      <c r="F26" s="9"/>
      <c r="G26" s="3"/>
      <c r="H26" s="3"/>
      <c r="L26" s="10">
        <f t="shared" si="0"/>
        <v>78</v>
      </c>
    </row>
    <row r="27" spans="2:12" x14ac:dyDescent="0.25">
      <c r="B27" s="13"/>
      <c r="C27" s="4" t="s">
        <v>16</v>
      </c>
      <c r="D27" s="9"/>
      <c r="E27" s="9"/>
      <c r="F27" s="9">
        <v>3</v>
      </c>
      <c r="G27" s="3"/>
      <c r="H27" s="3"/>
      <c r="L27" s="10">
        <f t="shared" si="0"/>
        <v>3</v>
      </c>
    </row>
    <row r="28" spans="2:12" x14ac:dyDescent="0.25">
      <c r="B28" s="13"/>
      <c r="C28" s="4" t="s">
        <v>21</v>
      </c>
      <c r="D28" s="9">
        <v>8</v>
      </c>
      <c r="E28" s="9">
        <v>1</v>
      </c>
      <c r="F28" s="9"/>
      <c r="G28" s="3"/>
      <c r="H28" s="3"/>
      <c r="L28" s="10">
        <f t="shared" si="0"/>
        <v>9</v>
      </c>
    </row>
    <row r="29" spans="2:12" x14ac:dyDescent="0.25">
      <c r="B29" s="13"/>
      <c r="C29" s="4" t="s">
        <v>22</v>
      </c>
      <c r="D29" s="9">
        <v>167</v>
      </c>
      <c r="E29" s="9">
        <v>10</v>
      </c>
      <c r="F29" s="9"/>
      <c r="G29" s="3"/>
      <c r="H29" s="3"/>
      <c r="L29" s="10">
        <f t="shared" si="0"/>
        <v>177</v>
      </c>
    </row>
    <row r="30" spans="2:12" x14ac:dyDescent="0.25">
      <c r="B30" s="13"/>
      <c r="C30" s="4" t="s">
        <v>24</v>
      </c>
      <c r="D30" s="9">
        <v>6</v>
      </c>
      <c r="E30" s="9">
        <v>16</v>
      </c>
      <c r="F30" s="9">
        <v>12</v>
      </c>
      <c r="G30" s="3"/>
      <c r="H30" s="3"/>
      <c r="L30" s="10">
        <f t="shared" si="0"/>
        <v>34</v>
      </c>
    </row>
    <row r="31" spans="2:12" x14ac:dyDescent="0.25">
      <c r="B31" s="13"/>
      <c r="C31" s="4" t="s">
        <v>25</v>
      </c>
      <c r="D31" s="9">
        <v>65</v>
      </c>
      <c r="E31" s="9">
        <v>87</v>
      </c>
      <c r="F31" s="9">
        <v>45</v>
      </c>
      <c r="G31" s="3"/>
      <c r="H31" s="3"/>
      <c r="L31" s="10">
        <f t="shared" si="0"/>
        <v>197</v>
      </c>
    </row>
    <row r="32" spans="2:12" x14ac:dyDescent="0.25">
      <c r="B32" s="13"/>
      <c r="C32" s="4" t="s">
        <v>28</v>
      </c>
      <c r="D32" s="9"/>
      <c r="E32" s="9"/>
      <c r="F32" s="9">
        <v>1</v>
      </c>
      <c r="G32" s="3"/>
      <c r="H32" s="3"/>
      <c r="L32" s="10">
        <f t="shared" si="0"/>
        <v>1</v>
      </c>
    </row>
    <row r="33" spans="2:12" x14ac:dyDescent="0.25">
      <c r="B33" s="13"/>
      <c r="C33" s="4" t="s">
        <v>29</v>
      </c>
      <c r="D33" s="9">
        <v>8</v>
      </c>
      <c r="E33" s="9">
        <v>9</v>
      </c>
      <c r="F33" s="9">
        <v>5</v>
      </c>
      <c r="G33" s="3"/>
      <c r="H33" s="3"/>
      <c r="L33" s="10">
        <f t="shared" si="0"/>
        <v>22</v>
      </c>
    </row>
    <row r="34" spans="2:12" x14ac:dyDescent="0.25">
      <c r="B34" s="13"/>
      <c r="C34" s="4" t="s">
        <v>68</v>
      </c>
      <c r="D34" s="9">
        <v>4</v>
      </c>
      <c r="E34" s="9">
        <v>6</v>
      </c>
      <c r="F34" s="9">
        <v>3</v>
      </c>
      <c r="G34" s="3"/>
      <c r="H34" s="3"/>
      <c r="L34" s="10">
        <f t="shared" si="0"/>
        <v>13</v>
      </c>
    </row>
    <row r="35" spans="2:12" x14ac:dyDescent="0.25">
      <c r="B35" s="8" t="s">
        <v>45</v>
      </c>
      <c r="C35" s="23"/>
      <c r="D35" s="11">
        <f>SUM(D21:D34)</f>
        <v>768</v>
      </c>
      <c r="E35" s="11">
        <f t="shared" ref="E35:K35" si="2">SUM(E21:E34)</f>
        <v>-164</v>
      </c>
      <c r="F35" s="11">
        <f t="shared" si="2"/>
        <v>98</v>
      </c>
      <c r="G35" s="11">
        <f t="shared" si="2"/>
        <v>0</v>
      </c>
      <c r="H35" s="11">
        <f t="shared" si="2"/>
        <v>0</v>
      </c>
      <c r="I35" s="11">
        <f t="shared" si="2"/>
        <v>0</v>
      </c>
      <c r="J35" s="11">
        <f t="shared" si="2"/>
        <v>0</v>
      </c>
      <c r="K35" s="11">
        <f t="shared" si="2"/>
        <v>0</v>
      </c>
      <c r="L35" s="11">
        <f>SUM(D35:K35)</f>
        <v>702</v>
      </c>
    </row>
  </sheetData>
  <conditionalFormatting sqref="D18:K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K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L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9BB3-AD0C-4402-AF6E-41CF9A2120D9}">
  <dimension ref="B2:L37"/>
  <sheetViews>
    <sheetView topLeftCell="A23" workbookViewId="0">
      <selection activeCell="A2" sqref="A2:XFD3"/>
    </sheetView>
  </sheetViews>
  <sheetFormatPr defaultRowHeight="15" x14ac:dyDescent="0.25"/>
  <cols>
    <col min="3" max="3" width="14.425781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73</v>
      </c>
      <c r="C4" s="7" t="s">
        <v>11</v>
      </c>
      <c r="D4" s="9"/>
      <c r="E4" s="9">
        <v>617.96</v>
      </c>
      <c r="F4" s="9">
        <v>700.18</v>
      </c>
      <c r="G4" s="9"/>
      <c r="H4" s="9"/>
      <c r="L4" s="10">
        <f>SUM(D4:K4)</f>
        <v>1318.1399999999999</v>
      </c>
    </row>
    <row r="5" spans="2:12" x14ac:dyDescent="0.25">
      <c r="B5" s="13"/>
      <c r="C5" s="4" t="s">
        <v>15</v>
      </c>
      <c r="D5" s="9">
        <v>417.09000000000003</v>
      </c>
      <c r="E5" s="9"/>
      <c r="F5" s="9">
        <v>9831.9</v>
      </c>
      <c r="G5" s="9">
        <v>4406.45</v>
      </c>
      <c r="H5" s="9">
        <v>940</v>
      </c>
      <c r="L5" s="10">
        <f t="shared" ref="L5:L36" si="0">SUM(D5:K5)</f>
        <v>15595.439999999999</v>
      </c>
    </row>
    <row r="6" spans="2:12" x14ac:dyDescent="0.25">
      <c r="B6" s="13"/>
      <c r="C6" s="4" t="s">
        <v>16</v>
      </c>
      <c r="D6" s="9">
        <v>2587.36</v>
      </c>
      <c r="E6" s="9">
        <v>2845.12</v>
      </c>
      <c r="F6" s="9">
        <v>1913.9099999999999</v>
      </c>
      <c r="G6" s="9">
        <v>2373.21</v>
      </c>
      <c r="H6" s="9"/>
      <c r="L6" s="10">
        <f t="shared" si="0"/>
        <v>9719.5999999999985</v>
      </c>
    </row>
    <row r="7" spans="2:12" x14ac:dyDescent="0.25">
      <c r="B7" s="13"/>
      <c r="C7" s="4" t="s">
        <v>17</v>
      </c>
      <c r="D7" s="9"/>
      <c r="E7" s="9"/>
      <c r="F7" s="9"/>
      <c r="G7" s="9">
        <v>188.46</v>
      </c>
      <c r="H7" s="9"/>
      <c r="L7" s="10">
        <f t="shared" si="0"/>
        <v>188.46</v>
      </c>
    </row>
    <row r="8" spans="2:12" x14ac:dyDescent="0.25">
      <c r="B8" s="13"/>
      <c r="C8" s="4" t="s">
        <v>19</v>
      </c>
      <c r="D8" s="9"/>
      <c r="E8" s="9">
        <v>210.44</v>
      </c>
      <c r="F8" s="9"/>
      <c r="G8" s="9">
        <v>196.53</v>
      </c>
      <c r="H8" s="9"/>
      <c r="L8" s="10">
        <f t="shared" si="0"/>
        <v>406.97</v>
      </c>
    </row>
    <row r="9" spans="2:12" x14ac:dyDescent="0.25">
      <c r="B9" s="13"/>
      <c r="C9" s="4" t="s">
        <v>20</v>
      </c>
      <c r="D9" s="9"/>
      <c r="E9" s="9">
        <v>210.39</v>
      </c>
      <c r="F9" s="9"/>
      <c r="G9" s="9">
        <v>202.23</v>
      </c>
      <c r="H9" s="9"/>
      <c r="L9" s="10">
        <f t="shared" si="0"/>
        <v>412.62</v>
      </c>
    </row>
    <row r="10" spans="2:12" x14ac:dyDescent="0.25">
      <c r="B10" s="13"/>
      <c r="C10" s="4" t="s">
        <v>22</v>
      </c>
      <c r="D10" s="9">
        <v>582.24</v>
      </c>
      <c r="E10" s="9"/>
      <c r="F10" s="9"/>
      <c r="G10" s="9">
        <v>2319.7199999999998</v>
      </c>
      <c r="H10" s="9">
        <v>2309.9300000000003</v>
      </c>
      <c r="L10" s="10">
        <f t="shared" si="0"/>
        <v>5211.8900000000003</v>
      </c>
    </row>
    <row r="11" spans="2:12" x14ac:dyDescent="0.25">
      <c r="B11" s="13"/>
      <c r="C11" s="4" t="s">
        <v>24</v>
      </c>
      <c r="D11" s="9"/>
      <c r="E11" s="9"/>
      <c r="F11" s="9"/>
      <c r="G11" s="9">
        <v>627.28</v>
      </c>
      <c r="H11" s="9"/>
      <c r="L11" s="10">
        <f t="shared" si="0"/>
        <v>627.28</v>
      </c>
    </row>
    <row r="12" spans="2:12" x14ac:dyDescent="0.25">
      <c r="B12" s="13"/>
      <c r="C12" s="4" t="s">
        <v>25</v>
      </c>
      <c r="D12" s="9"/>
      <c r="E12" s="9">
        <v>200.61</v>
      </c>
      <c r="F12" s="9">
        <v>200.61</v>
      </c>
      <c r="G12" s="9">
        <v>380.35</v>
      </c>
      <c r="H12" s="9">
        <v>168</v>
      </c>
      <c r="L12" s="10">
        <f t="shared" si="0"/>
        <v>949.57</v>
      </c>
    </row>
    <row r="13" spans="2:12" x14ac:dyDescent="0.25">
      <c r="B13" s="13"/>
      <c r="C13" s="4" t="s">
        <v>26</v>
      </c>
      <c r="D13" s="9">
        <v>1671.2199999999998</v>
      </c>
      <c r="E13" s="9">
        <v>1936.52</v>
      </c>
      <c r="F13" s="9">
        <v>317.77999999999997</v>
      </c>
      <c r="G13" s="9">
        <v>1883.6200000000001</v>
      </c>
      <c r="H13" s="9"/>
      <c r="L13" s="10">
        <f t="shared" si="0"/>
        <v>5809.1399999999994</v>
      </c>
    </row>
    <row r="14" spans="2:12" x14ac:dyDescent="0.25">
      <c r="B14" s="13"/>
      <c r="C14" s="4" t="s">
        <v>43</v>
      </c>
      <c r="D14" s="9"/>
      <c r="E14" s="9">
        <v>125.6</v>
      </c>
      <c r="F14" s="9"/>
      <c r="G14" s="9">
        <v>121.54</v>
      </c>
      <c r="H14" s="9"/>
      <c r="L14" s="10">
        <f t="shared" si="0"/>
        <v>247.14</v>
      </c>
    </row>
    <row r="15" spans="2:12" x14ac:dyDescent="0.25">
      <c r="B15" s="13"/>
      <c r="C15" s="4" t="s">
        <v>30</v>
      </c>
      <c r="D15" s="9">
        <v>2087.8999999999996</v>
      </c>
      <c r="E15" s="9">
        <v>420.9</v>
      </c>
      <c r="F15" s="9">
        <v>1026.96</v>
      </c>
      <c r="G15" s="9">
        <v>1806.08</v>
      </c>
      <c r="H15" s="9"/>
      <c r="L15" s="10">
        <f t="shared" si="0"/>
        <v>5341.84</v>
      </c>
    </row>
    <row r="16" spans="2:12" x14ac:dyDescent="0.25">
      <c r="B16" s="13"/>
      <c r="C16" s="4" t="s">
        <v>31</v>
      </c>
      <c r="D16" s="9">
        <v>10730.490000000002</v>
      </c>
      <c r="E16" s="9">
        <v>6648.01</v>
      </c>
      <c r="F16" s="9">
        <v>7284.7900000000009</v>
      </c>
      <c r="G16" s="9">
        <v>9149.5300000000007</v>
      </c>
      <c r="H16" s="9"/>
      <c r="L16" s="10">
        <f t="shared" si="0"/>
        <v>33812.82</v>
      </c>
    </row>
    <row r="17" spans="2:12" x14ac:dyDescent="0.25">
      <c r="B17" s="13"/>
      <c r="C17" s="4" t="s">
        <v>68</v>
      </c>
      <c r="D17" s="9"/>
      <c r="E17" s="9"/>
      <c r="F17" s="9"/>
      <c r="G17" s="9">
        <v>1031.24</v>
      </c>
      <c r="H17" s="9"/>
      <c r="L17" s="10">
        <f t="shared" si="0"/>
        <v>1031.24</v>
      </c>
    </row>
    <row r="18" spans="2:12" x14ac:dyDescent="0.25">
      <c r="B18" s="13"/>
      <c r="C18" s="4" t="s">
        <v>61</v>
      </c>
      <c r="D18" s="9"/>
      <c r="E18" s="9"/>
      <c r="F18" s="9"/>
      <c r="G18" s="9">
        <v>-3860.31</v>
      </c>
      <c r="H18" s="9"/>
      <c r="L18" s="10">
        <f t="shared" si="0"/>
        <v>-3860.31</v>
      </c>
    </row>
    <row r="19" spans="2:12" x14ac:dyDescent="0.25">
      <c r="B19" s="3" t="s">
        <v>33</v>
      </c>
      <c r="C19" s="6"/>
      <c r="D19" s="11">
        <f>SUM(D4:D18)</f>
        <v>18076.300000000003</v>
      </c>
      <c r="E19" s="11">
        <f t="shared" ref="E19:K19" si="1">SUM(E4:E18)</f>
        <v>13215.55</v>
      </c>
      <c r="F19" s="11">
        <f t="shared" si="1"/>
        <v>21276.13</v>
      </c>
      <c r="G19" s="11">
        <f t="shared" si="1"/>
        <v>20825.93</v>
      </c>
      <c r="H19" s="11">
        <f t="shared" si="1"/>
        <v>3417.9300000000003</v>
      </c>
      <c r="I19" s="11">
        <f t="shared" si="1"/>
        <v>0</v>
      </c>
      <c r="J19" s="11">
        <f t="shared" si="1"/>
        <v>0</v>
      </c>
      <c r="K19" s="11">
        <f t="shared" si="1"/>
        <v>0</v>
      </c>
      <c r="L19" s="10">
        <f>SUM(D19:K19)</f>
        <v>76811.839999999997</v>
      </c>
    </row>
    <row r="20" spans="2:12" x14ac:dyDescent="0.25">
      <c r="B20" s="13"/>
      <c r="C20" s="4"/>
      <c r="D20" s="9"/>
      <c r="E20" s="9"/>
      <c r="F20" s="9"/>
      <c r="G20" s="9"/>
      <c r="L20" s="10"/>
    </row>
    <row r="21" spans="2:12" x14ac:dyDescent="0.25">
      <c r="B21" s="8" t="s">
        <v>2</v>
      </c>
      <c r="C21" s="30" t="s">
        <v>3</v>
      </c>
      <c r="D21" s="31" t="s">
        <v>8</v>
      </c>
      <c r="E21" s="31" t="s">
        <v>7</v>
      </c>
      <c r="F21" s="31" t="s">
        <v>6</v>
      </c>
      <c r="G21" s="31" t="s">
        <v>5</v>
      </c>
      <c r="H21" s="30" t="s">
        <v>4</v>
      </c>
      <c r="I21" s="30" t="s">
        <v>34</v>
      </c>
      <c r="J21" s="30" t="s">
        <v>35</v>
      </c>
      <c r="K21" s="30" t="s">
        <v>36</v>
      </c>
      <c r="L21" s="30" t="s">
        <v>9</v>
      </c>
    </row>
    <row r="22" spans="2:12" x14ac:dyDescent="0.25">
      <c r="B22" s="13"/>
      <c r="C22" s="7" t="s">
        <v>11</v>
      </c>
      <c r="D22" s="11"/>
      <c r="E22" s="11">
        <v>1</v>
      </c>
      <c r="F22" s="11">
        <v>1</v>
      </c>
      <c r="G22" s="11"/>
      <c r="H22" s="11"/>
      <c r="L22" s="10">
        <f t="shared" si="0"/>
        <v>2</v>
      </c>
    </row>
    <row r="23" spans="2:12" x14ac:dyDescent="0.25">
      <c r="B23" s="13"/>
      <c r="C23" s="4" t="s">
        <v>15</v>
      </c>
      <c r="D23" s="9">
        <v>2</v>
      </c>
      <c r="E23" s="9"/>
      <c r="F23" s="9">
        <v>43</v>
      </c>
      <c r="G23" s="9">
        <v>19</v>
      </c>
      <c r="H23" s="9">
        <v>5</v>
      </c>
      <c r="L23" s="10">
        <f t="shared" si="0"/>
        <v>69</v>
      </c>
    </row>
    <row r="24" spans="2:12" x14ac:dyDescent="0.25">
      <c r="B24" s="13"/>
      <c r="C24" s="4" t="s">
        <v>16</v>
      </c>
      <c r="D24" s="9">
        <v>26</v>
      </c>
      <c r="E24" s="9">
        <v>29</v>
      </c>
      <c r="F24" s="9">
        <v>15</v>
      </c>
      <c r="G24" s="9">
        <v>21</v>
      </c>
      <c r="H24" s="9"/>
      <c r="L24" s="10">
        <f t="shared" si="0"/>
        <v>91</v>
      </c>
    </row>
    <row r="25" spans="2:12" x14ac:dyDescent="0.25">
      <c r="B25" s="13"/>
      <c r="C25" s="4" t="s">
        <v>17</v>
      </c>
      <c r="D25" s="9"/>
      <c r="E25" s="9"/>
      <c r="F25" s="9"/>
      <c r="G25" s="9">
        <v>1</v>
      </c>
      <c r="H25" s="9"/>
      <c r="L25" s="10">
        <f t="shared" si="0"/>
        <v>1</v>
      </c>
    </row>
    <row r="26" spans="2:12" x14ac:dyDescent="0.25">
      <c r="B26" s="13"/>
      <c r="C26" s="4" t="s">
        <v>19</v>
      </c>
      <c r="D26" s="9"/>
      <c r="E26" s="9">
        <v>1</v>
      </c>
      <c r="F26" s="9"/>
      <c r="G26" s="9">
        <v>1</v>
      </c>
      <c r="H26" s="9"/>
      <c r="L26" s="10">
        <f t="shared" si="0"/>
        <v>2</v>
      </c>
    </row>
    <row r="27" spans="2:12" x14ac:dyDescent="0.25">
      <c r="B27" s="13"/>
      <c r="C27" s="4" t="s">
        <v>20</v>
      </c>
      <c r="D27" s="9"/>
      <c r="E27" s="9">
        <v>1</v>
      </c>
      <c r="F27" s="9"/>
      <c r="G27" s="9">
        <v>1</v>
      </c>
      <c r="H27" s="9"/>
      <c r="L27" s="10">
        <f t="shared" si="0"/>
        <v>2</v>
      </c>
    </row>
    <row r="28" spans="2:12" x14ac:dyDescent="0.25">
      <c r="B28" s="13"/>
      <c r="C28" s="4" t="s">
        <v>22</v>
      </c>
      <c r="D28" s="9">
        <v>2</v>
      </c>
      <c r="E28" s="9"/>
      <c r="F28" s="9"/>
      <c r="G28" s="9">
        <v>7</v>
      </c>
      <c r="H28" s="9">
        <v>7</v>
      </c>
      <c r="L28" s="10">
        <f t="shared" si="0"/>
        <v>16</v>
      </c>
    </row>
    <row r="29" spans="2:12" x14ac:dyDescent="0.25">
      <c r="B29" s="13"/>
      <c r="C29" s="4" t="s">
        <v>24</v>
      </c>
      <c r="D29" s="9"/>
      <c r="E29" s="9"/>
      <c r="F29" s="9"/>
      <c r="G29" s="9">
        <v>2</v>
      </c>
      <c r="H29" s="9"/>
      <c r="L29" s="10">
        <f t="shared" si="0"/>
        <v>2</v>
      </c>
    </row>
    <row r="30" spans="2:12" x14ac:dyDescent="0.25">
      <c r="B30" s="13"/>
      <c r="C30" s="4" t="s">
        <v>25</v>
      </c>
      <c r="D30" s="9"/>
      <c r="E30" s="9">
        <v>1</v>
      </c>
      <c r="F30" s="9">
        <v>1</v>
      </c>
      <c r="G30" s="9">
        <v>2</v>
      </c>
      <c r="H30" s="9">
        <v>1</v>
      </c>
      <c r="L30" s="10">
        <f t="shared" si="0"/>
        <v>5</v>
      </c>
    </row>
    <row r="31" spans="2:12" x14ac:dyDescent="0.25">
      <c r="B31" s="13"/>
      <c r="C31" s="4" t="s">
        <v>26</v>
      </c>
      <c r="D31" s="9">
        <v>54</v>
      </c>
      <c r="E31" s="9">
        <v>70</v>
      </c>
      <c r="F31" s="9">
        <v>10</v>
      </c>
      <c r="G31" s="9">
        <v>57</v>
      </c>
      <c r="H31" s="9"/>
      <c r="L31" s="10">
        <f t="shared" si="0"/>
        <v>191</v>
      </c>
    </row>
    <row r="32" spans="2:12" x14ac:dyDescent="0.25">
      <c r="B32" s="13"/>
      <c r="C32" s="4" t="s">
        <v>43</v>
      </c>
      <c r="D32" s="9"/>
      <c r="E32" s="9">
        <v>1</v>
      </c>
      <c r="F32" s="9"/>
      <c r="G32" s="9">
        <v>1</v>
      </c>
      <c r="H32" s="9"/>
      <c r="L32" s="10">
        <f t="shared" si="0"/>
        <v>2</v>
      </c>
    </row>
    <row r="33" spans="2:12" x14ac:dyDescent="0.25">
      <c r="B33" s="13"/>
      <c r="C33" s="4" t="s">
        <v>30</v>
      </c>
      <c r="D33" s="9">
        <v>11</v>
      </c>
      <c r="E33" s="9">
        <v>2</v>
      </c>
      <c r="F33" s="9">
        <v>5</v>
      </c>
      <c r="G33" s="9">
        <v>9</v>
      </c>
      <c r="H33" s="9"/>
      <c r="L33" s="10">
        <f t="shared" si="0"/>
        <v>27</v>
      </c>
    </row>
    <row r="34" spans="2:12" x14ac:dyDescent="0.25">
      <c r="B34" s="13"/>
      <c r="C34" s="4" t="s">
        <v>31</v>
      </c>
      <c r="D34" s="9">
        <v>238</v>
      </c>
      <c r="E34" s="9">
        <v>160</v>
      </c>
      <c r="F34" s="9">
        <v>137</v>
      </c>
      <c r="G34" s="9">
        <v>188</v>
      </c>
      <c r="H34" s="9"/>
      <c r="L34" s="10">
        <f t="shared" si="0"/>
        <v>723</v>
      </c>
    </row>
    <row r="35" spans="2:12" x14ac:dyDescent="0.25">
      <c r="B35" s="13"/>
      <c r="C35" s="4" t="s">
        <v>68</v>
      </c>
      <c r="D35" s="9"/>
      <c r="E35" s="9"/>
      <c r="F35" s="9"/>
      <c r="G35" s="9">
        <v>2</v>
      </c>
      <c r="H35" s="9"/>
      <c r="L35" s="10">
        <f t="shared" si="0"/>
        <v>2</v>
      </c>
    </row>
    <row r="36" spans="2:12" x14ac:dyDescent="0.25">
      <c r="B36" s="13"/>
      <c r="C36" s="4" t="s">
        <v>61</v>
      </c>
      <c r="D36" s="9"/>
      <c r="E36" s="9"/>
      <c r="F36" s="9"/>
      <c r="G36" s="9">
        <v>0</v>
      </c>
      <c r="H36" s="9"/>
      <c r="L36" s="10">
        <f t="shared" si="0"/>
        <v>0</v>
      </c>
    </row>
    <row r="37" spans="2:12" x14ac:dyDescent="0.25">
      <c r="B37" s="8" t="s">
        <v>45</v>
      </c>
      <c r="C37" s="23"/>
      <c r="D37" s="11">
        <f>SUM(D22:D36)</f>
        <v>333</v>
      </c>
      <c r="E37" s="11">
        <f>SUM(E22:E36)</f>
        <v>266</v>
      </c>
      <c r="F37" s="11">
        <f t="shared" ref="F37:K37" si="2">SUM(F22:F36)</f>
        <v>212</v>
      </c>
      <c r="G37" s="11">
        <f t="shared" si="2"/>
        <v>311</v>
      </c>
      <c r="H37" s="11">
        <f t="shared" si="2"/>
        <v>13</v>
      </c>
      <c r="I37" s="11">
        <f t="shared" si="2"/>
        <v>0</v>
      </c>
      <c r="J37" s="11">
        <f t="shared" si="2"/>
        <v>0</v>
      </c>
      <c r="K37" s="11">
        <f t="shared" si="2"/>
        <v>0</v>
      </c>
      <c r="L37" s="11">
        <f>SUM(D37:K37)</f>
        <v>1135</v>
      </c>
    </row>
  </sheetData>
  <conditionalFormatting sqref="D19:K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K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L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D197-10BF-45EC-8E6D-084CEA104BE1}">
  <dimension ref="B2:L81"/>
  <sheetViews>
    <sheetView topLeftCell="A65" workbookViewId="0">
      <selection activeCell="G74" sqref="G74"/>
    </sheetView>
  </sheetViews>
  <sheetFormatPr defaultRowHeight="15" x14ac:dyDescent="0.25"/>
  <cols>
    <col min="2" max="2" width="15.28515625" customWidth="1"/>
    <col min="3" max="3" width="24.2851562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74</v>
      </c>
      <c r="C4" s="7" t="s">
        <v>11</v>
      </c>
      <c r="D4" s="9">
        <v>55548.840000000011</v>
      </c>
      <c r="E4" s="9">
        <v>115316.01999999999</v>
      </c>
      <c r="F4" s="9">
        <v>-13378.409999999996</v>
      </c>
      <c r="G4" s="9">
        <v>108434.01999999999</v>
      </c>
      <c r="H4" s="9"/>
      <c r="L4" s="10">
        <f>SUM(D4:K4)</f>
        <v>265920.46999999997</v>
      </c>
    </row>
    <row r="5" spans="2:12" x14ac:dyDescent="0.25">
      <c r="B5" s="13"/>
      <c r="C5" s="4" t="s">
        <v>75</v>
      </c>
      <c r="D5" s="9"/>
      <c r="E5" s="9"/>
      <c r="F5" s="9">
        <v>25032.09</v>
      </c>
      <c r="G5" s="9">
        <v>12511.83</v>
      </c>
      <c r="H5" s="9"/>
      <c r="L5" s="10">
        <f t="shared" ref="L5:L71" si="0">SUM(D5:K5)</f>
        <v>37543.919999999998</v>
      </c>
    </row>
    <row r="6" spans="2:12" x14ac:dyDescent="0.25">
      <c r="B6" s="13"/>
      <c r="C6" s="4" t="s">
        <v>64</v>
      </c>
      <c r="D6" s="9"/>
      <c r="E6" s="9"/>
      <c r="F6" s="9">
        <v>374.1</v>
      </c>
      <c r="G6" s="9"/>
      <c r="H6" s="9"/>
      <c r="L6" s="10">
        <f t="shared" si="0"/>
        <v>374.1</v>
      </c>
    </row>
    <row r="7" spans="2:12" x14ac:dyDescent="0.25">
      <c r="B7" s="13"/>
      <c r="C7" s="4" t="s">
        <v>39</v>
      </c>
      <c r="D7" s="9"/>
      <c r="E7" s="9">
        <v>1835.69</v>
      </c>
      <c r="F7" s="9">
        <v>1634.8</v>
      </c>
      <c r="G7" s="9">
        <v>3736.3399999999997</v>
      </c>
      <c r="H7" s="9">
        <v>2199.92</v>
      </c>
      <c r="L7" s="10">
        <f t="shared" si="0"/>
        <v>9406.75</v>
      </c>
    </row>
    <row r="8" spans="2:12" x14ac:dyDescent="0.25">
      <c r="B8" s="13"/>
      <c r="C8" s="4" t="s">
        <v>40</v>
      </c>
      <c r="D8" s="9"/>
      <c r="E8" s="9">
        <v>3645.7400000000007</v>
      </c>
      <c r="F8" s="9">
        <v>873.55000000000018</v>
      </c>
      <c r="G8" s="9">
        <v>3007.67</v>
      </c>
      <c r="H8" s="9">
        <v>1249.76</v>
      </c>
      <c r="L8" s="10">
        <f t="shared" si="0"/>
        <v>8776.7200000000012</v>
      </c>
    </row>
    <row r="9" spans="2:12" x14ac:dyDescent="0.25">
      <c r="B9" s="13"/>
      <c r="C9" s="4" t="s">
        <v>13</v>
      </c>
      <c r="D9" s="9">
        <v>12826.73</v>
      </c>
      <c r="E9" s="9">
        <v>15123.32</v>
      </c>
      <c r="F9" s="9">
        <v>7638.6700000000019</v>
      </c>
      <c r="G9" s="9">
        <v>9919.9900000000016</v>
      </c>
      <c r="H9" s="9"/>
      <c r="L9" s="10">
        <f t="shared" si="0"/>
        <v>45508.710000000006</v>
      </c>
    </row>
    <row r="10" spans="2:12" x14ac:dyDescent="0.25">
      <c r="B10" s="13"/>
      <c r="C10" s="4" t="s">
        <v>41</v>
      </c>
      <c r="D10" s="9">
        <v>1000.9999999999997</v>
      </c>
      <c r="E10" s="9">
        <v>2235.9799999999996</v>
      </c>
      <c r="F10" s="9">
        <v>1465.54</v>
      </c>
      <c r="G10" s="9">
        <v>462.62999999999988</v>
      </c>
      <c r="H10" s="9">
        <v>1542.08</v>
      </c>
      <c r="L10" s="10">
        <f t="shared" si="0"/>
        <v>6707.2299999999987</v>
      </c>
    </row>
    <row r="11" spans="2:12" x14ac:dyDescent="0.25">
      <c r="B11" s="13"/>
      <c r="C11" s="4" t="s">
        <v>14</v>
      </c>
      <c r="D11" s="9">
        <v>5398.52</v>
      </c>
      <c r="E11" s="9">
        <v>8706.19</v>
      </c>
      <c r="F11" s="9">
        <v>7202.0099999999993</v>
      </c>
      <c r="G11" s="9">
        <v>8830.3900000000012</v>
      </c>
      <c r="H11" s="9"/>
      <c r="L11" s="10">
        <f t="shared" si="0"/>
        <v>30137.11</v>
      </c>
    </row>
    <row r="12" spans="2:12" x14ac:dyDescent="0.25">
      <c r="B12" s="13"/>
      <c r="C12" s="4" t="s">
        <v>56</v>
      </c>
      <c r="D12" s="9">
        <v>0</v>
      </c>
      <c r="E12" s="9"/>
      <c r="F12" s="9"/>
      <c r="G12" s="9"/>
      <c r="H12" s="9"/>
      <c r="L12" s="10">
        <f t="shared" si="0"/>
        <v>0</v>
      </c>
    </row>
    <row r="13" spans="2:12" x14ac:dyDescent="0.25">
      <c r="B13" s="13"/>
      <c r="C13" s="4" t="s">
        <v>15</v>
      </c>
      <c r="D13" s="9">
        <v>7126.1800000000021</v>
      </c>
      <c r="E13" s="9">
        <v>8234.7800000000007</v>
      </c>
      <c r="F13" s="9">
        <v>83641.13999999997</v>
      </c>
      <c r="G13" s="9">
        <v>46641.25</v>
      </c>
      <c r="H13" s="9"/>
      <c r="L13" s="10">
        <f t="shared" si="0"/>
        <v>145643.34999999998</v>
      </c>
    </row>
    <row r="14" spans="2:12" x14ac:dyDescent="0.25">
      <c r="B14" s="13"/>
      <c r="C14" s="4" t="s">
        <v>42</v>
      </c>
      <c r="D14" s="9">
        <v>39266.36</v>
      </c>
      <c r="E14" s="9">
        <v>43844.609999999986</v>
      </c>
      <c r="F14" s="9">
        <v>95494.129999999946</v>
      </c>
      <c r="G14" s="9">
        <v>46919.329999999994</v>
      </c>
      <c r="H14" s="9"/>
      <c r="L14" s="10">
        <f t="shared" si="0"/>
        <v>225524.42999999991</v>
      </c>
    </row>
    <row r="15" spans="2:12" x14ac:dyDescent="0.25">
      <c r="B15" s="13"/>
      <c r="C15" s="4" t="s">
        <v>76</v>
      </c>
      <c r="D15" s="9"/>
      <c r="E15" s="9"/>
      <c r="F15" s="9">
        <v>3065.4</v>
      </c>
      <c r="G15" s="9"/>
      <c r="H15" s="9"/>
      <c r="L15" s="10">
        <f t="shared" si="0"/>
        <v>3065.4</v>
      </c>
    </row>
    <row r="16" spans="2:12" x14ac:dyDescent="0.25">
      <c r="B16" s="13"/>
      <c r="C16" s="4" t="s">
        <v>77</v>
      </c>
      <c r="D16" s="9"/>
      <c r="E16" s="9">
        <v>5670.9</v>
      </c>
      <c r="F16" s="9">
        <v>5670.9</v>
      </c>
      <c r="G16" s="9">
        <v>11342.68</v>
      </c>
      <c r="H16" s="9"/>
      <c r="L16" s="10">
        <f t="shared" si="0"/>
        <v>22684.48</v>
      </c>
    </row>
    <row r="17" spans="2:12" x14ac:dyDescent="0.25">
      <c r="B17" s="13"/>
      <c r="C17" s="4" t="s">
        <v>16</v>
      </c>
      <c r="D17" s="9">
        <v>-4504.1800000000012</v>
      </c>
      <c r="E17" s="9">
        <v>-1726.9300000000021</v>
      </c>
      <c r="F17" s="9">
        <v>-11219.5</v>
      </c>
      <c r="G17" s="9">
        <v>-1845.8799999999997</v>
      </c>
      <c r="H17" s="9"/>
      <c r="L17" s="10">
        <f t="shared" si="0"/>
        <v>-19296.490000000005</v>
      </c>
    </row>
    <row r="18" spans="2:12" x14ac:dyDescent="0.25">
      <c r="B18" s="13"/>
      <c r="C18" s="4" t="s">
        <v>78</v>
      </c>
      <c r="D18" s="9"/>
      <c r="E18" s="9"/>
      <c r="F18" s="9"/>
      <c r="G18" s="9">
        <v>355.56</v>
      </c>
      <c r="H18" s="9"/>
      <c r="L18" s="10">
        <f t="shared" si="0"/>
        <v>355.56</v>
      </c>
    </row>
    <row r="19" spans="2:12" x14ac:dyDescent="0.25">
      <c r="B19" s="13"/>
      <c r="C19" s="4" t="s">
        <v>79</v>
      </c>
      <c r="D19" s="9">
        <v>2912.4</v>
      </c>
      <c r="E19" s="9">
        <v>2912.4</v>
      </c>
      <c r="F19" s="9">
        <v>2912.4</v>
      </c>
      <c r="G19" s="9">
        <v>2912.67</v>
      </c>
      <c r="H19" s="9"/>
      <c r="L19" s="10">
        <f t="shared" si="0"/>
        <v>11649.87</v>
      </c>
    </row>
    <row r="20" spans="2:12" x14ac:dyDescent="0.25">
      <c r="B20" s="13"/>
      <c r="C20" s="4" t="s">
        <v>17</v>
      </c>
      <c r="D20" s="9">
        <v>412.09999999999991</v>
      </c>
      <c r="E20" s="9">
        <v>-618.59999999999991</v>
      </c>
      <c r="F20" s="9">
        <v>154.65000000000009</v>
      </c>
      <c r="G20" s="9">
        <v>579.6400000000001</v>
      </c>
      <c r="H20" s="9"/>
      <c r="L20" s="10">
        <f t="shared" si="0"/>
        <v>527.79000000000019</v>
      </c>
    </row>
    <row r="21" spans="2:12" x14ac:dyDescent="0.25">
      <c r="B21" s="13"/>
      <c r="C21" s="4" t="s">
        <v>19</v>
      </c>
      <c r="D21" s="9">
        <v>412.1</v>
      </c>
      <c r="E21" s="9">
        <v>-599.84999999999991</v>
      </c>
      <c r="F21" s="9">
        <v>538.23</v>
      </c>
      <c r="G21" s="9">
        <v>1178.83</v>
      </c>
      <c r="H21" s="9"/>
      <c r="L21" s="10">
        <f t="shared" si="0"/>
        <v>1529.31</v>
      </c>
    </row>
    <row r="22" spans="2:12" x14ac:dyDescent="0.25">
      <c r="B22" s="13"/>
      <c r="C22" s="4" t="s">
        <v>20</v>
      </c>
      <c r="D22" s="9">
        <v>-412.86</v>
      </c>
      <c r="E22" s="9">
        <v>-5.6843418860808015E-14</v>
      </c>
      <c r="F22" s="9">
        <v>1186.3499999999999</v>
      </c>
      <c r="G22" s="9">
        <v>2023.42</v>
      </c>
      <c r="H22" s="9"/>
      <c r="L22" s="10">
        <f t="shared" si="0"/>
        <v>2796.91</v>
      </c>
    </row>
    <row r="23" spans="2:12" x14ac:dyDescent="0.25">
      <c r="B23" s="13"/>
      <c r="C23" s="4" t="s">
        <v>21</v>
      </c>
      <c r="D23" s="9">
        <v>11948.990000000002</v>
      </c>
      <c r="E23" s="9">
        <v>32867.829999999994</v>
      </c>
      <c r="F23" s="9">
        <v>5504.2800000000016</v>
      </c>
      <c r="G23" s="9">
        <v>19202.960000000003</v>
      </c>
      <c r="H23" s="9">
        <v>6400.09</v>
      </c>
      <c r="L23" s="10">
        <f t="shared" si="0"/>
        <v>75924.149999999994</v>
      </c>
    </row>
    <row r="24" spans="2:12" x14ac:dyDescent="0.25">
      <c r="B24" s="13"/>
      <c r="C24" s="4" t="s">
        <v>22</v>
      </c>
      <c r="D24" s="9">
        <v>293972.28000000003</v>
      </c>
      <c r="E24" s="9">
        <v>38278.94999999999</v>
      </c>
      <c r="F24" s="9">
        <v>-2309.1400000000012</v>
      </c>
      <c r="G24" s="9">
        <v>13292.450000000003</v>
      </c>
      <c r="H24" s="9">
        <v>104249.57</v>
      </c>
      <c r="L24" s="10">
        <f t="shared" si="0"/>
        <v>447484.11000000004</v>
      </c>
    </row>
    <row r="25" spans="2:12" x14ac:dyDescent="0.25">
      <c r="B25" s="13"/>
      <c r="C25" s="4" t="s">
        <v>80</v>
      </c>
      <c r="D25" s="9"/>
      <c r="E25" s="9">
        <v>4247.12</v>
      </c>
      <c r="F25" s="9"/>
      <c r="G25" s="9">
        <v>3539.6</v>
      </c>
      <c r="H25" s="9"/>
      <c r="L25" s="10">
        <f t="shared" si="0"/>
        <v>7786.7199999999993</v>
      </c>
    </row>
    <row r="26" spans="2:12" x14ac:dyDescent="0.25">
      <c r="B26" s="13"/>
      <c r="C26" s="4" t="s">
        <v>81</v>
      </c>
      <c r="D26" s="9"/>
      <c r="E26" s="9">
        <v>2831.41</v>
      </c>
      <c r="F26" s="9"/>
      <c r="G26" s="9">
        <v>1415.84</v>
      </c>
      <c r="H26" s="9"/>
      <c r="L26" s="10">
        <f t="shared" si="0"/>
        <v>4247.25</v>
      </c>
    </row>
    <row r="27" spans="2:12" x14ac:dyDescent="0.25">
      <c r="B27" s="13"/>
      <c r="C27" s="4" t="s">
        <v>82</v>
      </c>
      <c r="D27" s="9"/>
      <c r="E27" s="9">
        <v>6920.11</v>
      </c>
      <c r="F27" s="9"/>
      <c r="G27" s="9">
        <v>4614.1099999999997</v>
      </c>
      <c r="H27" s="9"/>
      <c r="L27" s="10">
        <f t="shared" si="0"/>
        <v>11534.22</v>
      </c>
    </row>
    <row r="28" spans="2:12" x14ac:dyDescent="0.25">
      <c r="B28" s="13"/>
      <c r="C28" s="4" t="s">
        <v>83</v>
      </c>
      <c r="D28" s="9"/>
      <c r="E28" s="9">
        <v>9226.81</v>
      </c>
      <c r="F28" s="9"/>
      <c r="G28" s="9">
        <v>6921.18</v>
      </c>
      <c r="H28" s="9"/>
      <c r="L28" s="10">
        <f t="shared" si="0"/>
        <v>16147.99</v>
      </c>
    </row>
    <row r="29" spans="2:12" x14ac:dyDescent="0.25">
      <c r="B29" s="13"/>
      <c r="C29" s="4" t="s">
        <v>24</v>
      </c>
      <c r="D29" s="9">
        <v>4522.5199999999986</v>
      </c>
      <c r="E29" s="9">
        <v>9742.9600000000009</v>
      </c>
      <c r="F29" s="9">
        <v>-1329.2100000000005</v>
      </c>
      <c r="G29" s="9">
        <v>4967.9800000000005</v>
      </c>
      <c r="H29" s="9"/>
      <c r="L29" s="10">
        <f t="shared" si="0"/>
        <v>17904.25</v>
      </c>
    </row>
    <row r="30" spans="2:12" x14ac:dyDescent="0.25">
      <c r="B30" s="13"/>
      <c r="C30" s="4" t="s">
        <v>84</v>
      </c>
      <c r="D30" s="9"/>
      <c r="E30" s="9">
        <v>5211</v>
      </c>
      <c r="F30" s="9"/>
      <c r="G30" s="9">
        <v>5211.49</v>
      </c>
      <c r="H30" s="9"/>
      <c r="L30" s="10">
        <f t="shared" si="0"/>
        <v>10422.49</v>
      </c>
    </row>
    <row r="31" spans="2:12" x14ac:dyDescent="0.25">
      <c r="B31" s="13"/>
      <c r="C31" s="4" t="s">
        <v>25</v>
      </c>
      <c r="D31" s="9">
        <v>15120.920000000002</v>
      </c>
      <c r="E31" s="9">
        <v>32462.669999999995</v>
      </c>
      <c r="F31" s="9">
        <v>-1579.1499999999994</v>
      </c>
      <c r="G31" s="9">
        <v>17408.749999999996</v>
      </c>
      <c r="H31" s="9"/>
      <c r="L31" s="10">
        <f t="shared" si="0"/>
        <v>63413.189999999988</v>
      </c>
    </row>
    <row r="32" spans="2:12" x14ac:dyDescent="0.25">
      <c r="B32" s="13"/>
      <c r="C32" s="4" t="s">
        <v>26</v>
      </c>
      <c r="D32" s="9">
        <v>2137.1899999999996</v>
      </c>
      <c r="E32" s="9">
        <v>3696.6699999999996</v>
      </c>
      <c r="F32" s="9">
        <v>778.54000000000042</v>
      </c>
      <c r="G32" s="9">
        <v>475.00999999999885</v>
      </c>
      <c r="H32" s="9"/>
      <c r="L32" s="10">
        <f t="shared" si="0"/>
        <v>7087.409999999998</v>
      </c>
    </row>
    <row r="33" spans="2:12" x14ac:dyDescent="0.25">
      <c r="B33" s="13"/>
      <c r="C33" s="4" t="s">
        <v>27</v>
      </c>
      <c r="D33" s="9">
        <v>681.76</v>
      </c>
      <c r="E33" s="9">
        <v>89.249999999999545</v>
      </c>
      <c r="F33" s="9">
        <v>-4275.2699999999986</v>
      </c>
      <c r="G33" s="9">
        <v>299.29999999999973</v>
      </c>
      <c r="H33" s="9"/>
      <c r="L33" s="10">
        <f t="shared" si="0"/>
        <v>-3204.9599999999996</v>
      </c>
    </row>
    <row r="34" spans="2:12" x14ac:dyDescent="0.25">
      <c r="B34" s="13"/>
      <c r="C34" s="4" t="s">
        <v>29</v>
      </c>
      <c r="D34" s="9">
        <v>131405.93</v>
      </c>
      <c r="E34" s="9">
        <v>208861.65999999997</v>
      </c>
      <c r="F34" s="9">
        <v>9010.1099999999715</v>
      </c>
      <c r="G34" s="9">
        <v>179354.08999999997</v>
      </c>
      <c r="H34" s="9"/>
      <c r="L34" s="10">
        <f t="shared" si="0"/>
        <v>528631.78999999992</v>
      </c>
    </row>
    <row r="35" spans="2:12" x14ac:dyDescent="0.25">
      <c r="B35" s="13"/>
      <c r="C35" s="4" t="s">
        <v>43</v>
      </c>
      <c r="D35" s="9">
        <v>1751.9800000000005</v>
      </c>
      <c r="E35" s="9">
        <v>2756.52</v>
      </c>
      <c r="F35" s="9">
        <v>-751.73000000000013</v>
      </c>
      <c r="G35" s="9">
        <v>3974.9399999999996</v>
      </c>
      <c r="H35" s="9"/>
      <c r="L35" s="10">
        <f t="shared" si="0"/>
        <v>7731.7099999999991</v>
      </c>
    </row>
    <row r="36" spans="2:12" x14ac:dyDescent="0.25">
      <c r="B36" s="13"/>
      <c r="C36" s="4" t="s">
        <v>30</v>
      </c>
      <c r="D36" s="9"/>
      <c r="E36" s="9"/>
      <c r="F36" s="9">
        <v>210.45</v>
      </c>
      <c r="G36" s="9">
        <v>1350.2599999999998</v>
      </c>
      <c r="H36" s="9"/>
      <c r="L36" s="10">
        <f t="shared" si="0"/>
        <v>1560.7099999999998</v>
      </c>
    </row>
    <row r="37" spans="2:12" x14ac:dyDescent="0.25">
      <c r="B37" s="13"/>
      <c r="C37" s="4" t="s">
        <v>31</v>
      </c>
      <c r="D37" s="9">
        <v>3454.5599999999986</v>
      </c>
      <c r="E37" s="9">
        <v>2993.0799999999899</v>
      </c>
      <c r="F37" s="9">
        <v>-2502.069999999997</v>
      </c>
      <c r="G37" s="9">
        <v>7880.100000000004</v>
      </c>
      <c r="H37" s="9"/>
      <c r="L37" s="10">
        <f t="shared" si="0"/>
        <v>11825.669999999995</v>
      </c>
    </row>
    <row r="38" spans="2:12" x14ac:dyDescent="0.25">
      <c r="B38" s="13"/>
      <c r="C38" s="4" t="s">
        <v>32</v>
      </c>
      <c r="D38" s="9">
        <v>14553.76</v>
      </c>
      <c r="E38" s="9">
        <v>2046.3899999999999</v>
      </c>
      <c r="F38" s="9">
        <v>6479.23</v>
      </c>
      <c r="G38" s="9"/>
      <c r="H38" s="9"/>
      <c r="L38" s="10">
        <f t="shared" si="0"/>
        <v>23079.38</v>
      </c>
    </row>
    <row r="39" spans="2:12" x14ac:dyDescent="0.25">
      <c r="B39" s="13"/>
      <c r="C39" s="4" t="s">
        <v>68</v>
      </c>
      <c r="D39" s="9">
        <v>-5302.7799999999961</v>
      </c>
      <c r="E39" s="9">
        <v>20825</v>
      </c>
      <c r="F39" s="9">
        <v>-4623.489999999998</v>
      </c>
      <c r="G39" s="9">
        <v>16872.809999999998</v>
      </c>
      <c r="H39" s="9"/>
      <c r="L39" s="10">
        <f t="shared" si="0"/>
        <v>27771.540000000005</v>
      </c>
    </row>
    <row r="40" spans="2:12" x14ac:dyDescent="0.25">
      <c r="B40" s="13"/>
      <c r="C40" s="4" t="s">
        <v>61</v>
      </c>
      <c r="D40" s="9"/>
      <c r="E40" s="9"/>
      <c r="F40" s="9"/>
      <c r="G40" s="9">
        <v>-280043.58723829279</v>
      </c>
      <c r="H40" s="9"/>
      <c r="L40" s="10">
        <f t="shared" si="0"/>
        <v>-280043.58723829279</v>
      </c>
    </row>
    <row r="41" spans="2:12" x14ac:dyDescent="0.25">
      <c r="B41" s="3" t="s">
        <v>33</v>
      </c>
      <c r="C41" s="6"/>
      <c r="D41" s="11">
        <f>SUM(D4:D40)</f>
        <v>594234.30000000005</v>
      </c>
      <c r="E41" s="11">
        <f t="shared" ref="E41:K41" si="1">SUM(E4:E40)</f>
        <v>587637.67999999993</v>
      </c>
      <c r="F41" s="11">
        <f t="shared" si="1"/>
        <v>216898.59999999992</v>
      </c>
      <c r="G41" s="11">
        <f t="shared" si="1"/>
        <v>263747.6527617072</v>
      </c>
      <c r="H41" s="11">
        <f t="shared" si="1"/>
        <v>115641.42000000001</v>
      </c>
      <c r="I41" s="11">
        <f t="shared" si="1"/>
        <v>0</v>
      </c>
      <c r="J41" s="11">
        <f t="shared" si="1"/>
        <v>0</v>
      </c>
      <c r="K41" s="11">
        <f t="shared" si="1"/>
        <v>0</v>
      </c>
      <c r="L41" s="10">
        <f>SUM(D41:K41)</f>
        <v>1778159.6527617071</v>
      </c>
    </row>
    <row r="42" spans="2:12" x14ac:dyDescent="0.25">
      <c r="B42" s="13"/>
      <c r="C42" s="4"/>
      <c r="D42" s="9"/>
      <c r="E42" s="9"/>
      <c r="F42" s="9"/>
      <c r="G42" s="9"/>
      <c r="L42" s="10"/>
    </row>
    <row r="43" spans="2:12" x14ac:dyDescent="0.25">
      <c r="B43" s="8" t="s">
        <v>2</v>
      </c>
      <c r="C43" s="30" t="s">
        <v>3</v>
      </c>
      <c r="D43" s="31" t="s">
        <v>8</v>
      </c>
      <c r="E43" s="31" t="s">
        <v>7</v>
      </c>
      <c r="F43" s="31" t="s">
        <v>6</v>
      </c>
      <c r="G43" s="31" t="s">
        <v>5</v>
      </c>
      <c r="H43" s="30" t="s">
        <v>4</v>
      </c>
      <c r="I43" s="30" t="s">
        <v>34</v>
      </c>
      <c r="J43" s="30" t="s">
        <v>35</v>
      </c>
      <c r="K43" s="30" t="s">
        <v>36</v>
      </c>
      <c r="L43" s="30" t="s">
        <v>9</v>
      </c>
    </row>
    <row r="44" spans="2:12" x14ac:dyDescent="0.25">
      <c r="B44" s="13"/>
      <c r="C44" s="7" t="s">
        <v>11</v>
      </c>
      <c r="D44" s="11">
        <v>81</v>
      </c>
      <c r="E44" s="11">
        <v>168</v>
      </c>
      <c r="F44" s="11">
        <v>-20</v>
      </c>
      <c r="G44" s="11">
        <v>156</v>
      </c>
      <c r="H44" s="11"/>
      <c r="L44" s="10">
        <f t="shared" si="0"/>
        <v>385</v>
      </c>
    </row>
    <row r="45" spans="2:12" x14ac:dyDescent="0.25">
      <c r="B45" s="13"/>
      <c r="C45" s="4" t="s">
        <v>75</v>
      </c>
      <c r="D45" s="9"/>
      <c r="E45" s="9"/>
      <c r="F45" s="9">
        <v>30</v>
      </c>
      <c r="G45" s="9">
        <v>15</v>
      </c>
      <c r="H45" s="9"/>
      <c r="L45" s="10">
        <f t="shared" si="0"/>
        <v>45</v>
      </c>
    </row>
    <row r="46" spans="2:12" x14ac:dyDescent="0.25">
      <c r="B46" s="13"/>
      <c r="C46" s="4" t="s">
        <v>64</v>
      </c>
      <c r="D46" s="9"/>
      <c r="E46" s="9"/>
      <c r="F46" s="9">
        <v>1</v>
      </c>
      <c r="G46" s="9"/>
      <c r="H46" s="9"/>
      <c r="L46" s="10">
        <f t="shared" si="0"/>
        <v>1</v>
      </c>
    </row>
    <row r="47" spans="2:12" x14ac:dyDescent="0.25">
      <c r="B47" s="13"/>
      <c r="C47" s="4" t="s">
        <v>39</v>
      </c>
      <c r="D47" s="9"/>
      <c r="E47" s="9">
        <v>20</v>
      </c>
      <c r="F47" s="9">
        <v>18</v>
      </c>
      <c r="G47" s="9">
        <v>39</v>
      </c>
      <c r="H47" s="9">
        <v>20</v>
      </c>
      <c r="L47" s="10">
        <f t="shared" si="0"/>
        <v>97</v>
      </c>
    </row>
    <row r="48" spans="2:12" x14ac:dyDescent="0.25">
      <c r="B48" s="13"/>
      <c r="C48" s="4" t="s">
        <v>40</v>
      </c>
      <c r="D48" s="9"/>
      <c r="E48" s="9">
        <v>175</v>
      </c>
      <c r="F48" s="9">
        <v>43</v>
      </c>
      <c r="G48" s="9">
        <v>139</v>
      </c>
      <c r="H48" s="9">
        <v>50</v>
      </c>
      <c r="L48" s="10">
        <f t="shared" si="0"/>
        <v>407</v>
      </c>
    </row>
    <row r="49" spans="2:12" x14ac:dyDescent="0.25">
      <c r="B49" s="13"/>
      <c r="C49" s="4" t="s">
        <v>13</v>
      </c>
      <c r="D49" s="9">
        <v>80</v>
      </c>
      <c r="E49" s="9">
        <v>92</v>
      </c>
      <c r="F49" s="9">
        <v>47</v>
      </c>
      <c r="G49" s="9">
        <v>63</v>
      </c>
      <c r="H49" s="9"/>
      <c r="L49" s="10">
        <f t="shared" si="0"/>
        <v>282</v>
      </c>
    </row>
    <row r="50" spans="2:12" x14ac:dyDescent="0.25">
      <c r="B50" s="13"/>
      <c r="C50" s="4" t="s">
        <v>41</v>
      </c>
      <c r="D50" s="9">
        <v>13</v>
      </c>
      <c r="E50" s="9">
        <v>29</v>
      </c>
      <c r="F50" s="9">
        <v>19</v>
      </c>
      <c r="G50" s="9">
        <v>6</v>
      </c>
      <c r="H50" s="9">
        <v>20</v>
      </c>
      <c r="L50" s="10">
        <f t="shared" si="0"/>
        <v>87</v>
      </c>
    </row>
    <row r="51" spans="2:12" x14ac:dyDescent="0.25">
      <c r="B51" s="13"/>
      <c r="C51" s="4" t="s">
        <v>14</v>
      </c>
      <c r="D51" s="9">
        <v>23</v>
      </c>
      <c r="E51" s="9">
        <v>37</v>
      </c>
      <c r="F51" s="9">
        <v>29</v>
      </c>
      <c r="G51" s="9">
        <v>36</v>
      </c>
      <c r="H51" s="9"/>
      <c r="L51" s="10">
        <f t="shared" si="0"/>
        <v>125</v>
      </c>
    </row>
    <row r="52" spans="2:12" x14ac:dyDescent="0.25">
      <c r="B52" s="13"/>
      <c r="C52" s="4" t="s">
        <v>56</v>
      </c>
      <c r="D52" s="9">
        <v>0</v>
      </c>
      <c r="E52" s="9"/>
      <c r="F52" s="9"/>
      <c r="G52" s="9"/>
      <c r="H52" s="9"/>
      <c r="L52" s="10">
        <f t="shared" si="0"/>
        <v>0</v>
      </c>
    </row>
    <row r="53" spans="2:12" x14ac:dyDescent="0.25">
      <c r="B53" s="13"/>
      <c r="C53" s="4" t="s">
        <v>15</v>
      </c>
      <c r="D53" s="9">
        <v>48</v>
      </c>
      <c r="E53" s="9">
        <v>48</v>
      </c>
      <c r="F53" s="9">
        <v>475</v>
      </c>
      <c r="G53" s="9">
        <v>259</v>
      </c>
      <c r="H53" s="9"/>
      <c r="L53" s="10">
        <f t="shared" si="0"/>
        <v>830</v>
      </c>
    </row>
    <row r="54" spans="2:12" x14ac:dyDescent="0.25">
      <c r="B54" s="13"/>
      <c r="C54" s="4" t="s">
        <v>42</v>
      </c>
      <c r="D54" s="9">
        <v>103</v>
      </c>
      <c r="E54" s="9">
        <v>116</v>
      </c>
      <c r="F54" s="9">
        <v>245</v>
      </c>
      <c r="G54" s="9">
        <v>123</v>
      </c>
      <c r="H54" s="9"/>
      <c r="L54" s="10">
        <f t="shared" si="0"/>
        <v>587</v>
      </c>
    </row>
    <row r="55" spans="2:12" x14ac:dyDescent="0.25">
      <c r="B55" s="13"/>
      <c r="C55" s="4" t="s">
        <v>76</v>
      </c>
      <c r="D55" s="9"/>
      <c r="E55" s="9"/>
      <c r="F55" s="9">
        <v>1</v>
      </c>
      <c r="G55" s="9"/>
      <c r="H55" s="9"/>
      <c r="L55" s="10">
        <f t="shared" si="0"/>
        <v>1</v>
      </c>
    </row>
    <row r="56" spans="2:12" x14ac:dyDescent="0.25">
      <c r="B56" s="13"/>
      <c r="C56" s="4" t="s">
        <v>77</v>
      </c>
      <c r="D56" s="9"/>
      <c r="E56" s="9">
        <v>1</v>
      </c>
      <c r="F56" s="9">
        <v>1</v>
      </c>
      <c r="G56" s="9">
        <v>2</v>
      </c>
      <c r="H56" s="9"/>
      <c r="L56" s="10">
        <f t="shared" si="0"/>
        <v>4</v>
      </c>
    </row>
    <row r="57" spans="2:12" x14ac:dyDescent="0.25">
      <c r="B57" s="13"/>
      <c r="C57" s="4" t="s">
        <v>16</v>
      </c>
      <c r="D57" s="9">
        <v>28</v>
      </c>
      <c r="E57" s="9">
        <v>146</v>
      </c>
      <c r="F57" s="9">
        <v>-45</v>
      </c>
      <c r="G57" s="9">
        <v>84</v>
      </c>
      <c r="H57" s="9"/>
      <c r="L57" s="10">
        <f t="shared" si="0"/>
        <v>213</v>
      </c>
    </row>
    <row r="58" spans="2:12" x14ac:dyDescent="0.25">
      <c r="B58" s="13"/>
      <c r="C58" s="4" t="s">
        <v>78</v>
      </c>
      <c r="D58" s="9"/>
      <c r="E58" s="9"/>
      <c r="F58" s="9"/>
      <c r="G58" s="9">
        <v>1</v>
      </c>
      <c r="H58" s="9"/>
      <c r="L58" s="10">
        <f t="shared" si="0"/>
        <v>1</v>
      </c>
    </row>
    <row r="59" spans="2:12" x14ac:dyDescent="0.25">
      <c r="B59" s="13"/>
      <c r="C59" s="4" t="s">
        <v>79</v>
      </c>
      <c r="D59" s="9">
        <v>1</v>
      </c>
      <c r="E59" s="9">
        <v>1</v>
      </c>
      <c r="F59" s="9">
        <v>1</v>
      </c>
      <c r="G59" s="9">
        <v>1</v>
      </c>
      <c r="H59" s="9"/>
      <c r="L59" s="10">
        <f t="shared" si="0"/>
        <v>4</v>
      </c>
    </row>
    <row r="60" spans="2:12" x14ac:dyDescent="0.25">
      <c r="B60" s="13"/>
      <c r="C60" s="4" t="s">
        <v>17</v>
      </c>
      <c r="D60" s="9">
        <v>2</v>
      </c>
      <c r="E60" s="9">
        <v>-3</v>
      </c>
      <c r="F60" s="9">
        <v>1</v>
      </c>
      <c r="G60" s="9">
        <v>3</v>
      </c>
      <c r="H60" s="9"/>
      <c r="L60" s="10">
        <f t="shared" si="0"/>
        <v>3</v>
      </c>
    </row>
    <row r="61" spans="2:12" x14ac:dyDescent="0.25">
      <c r="B61" s="13"/>
      <c r="C61" s="4" t="s">
        <v>19</v>
      </c>
      <c r="D61" s="9">
        <v>2</v>
      </c>
      <c r="E61" s="9">
        <v>-3</v>
      </c>
      <c r="F61" s="9">
        <v>3</v>
      </c>
      <c r="G61" s="9">
        <v>6</v>
      </c>
      <c r="H61" s="9"/>
      <c r="L61" s="10">
        <f t="shared" si="0"/>
        <v>8</v>
      </c>
    </row>
    <row r="62" spans="2:12" x14ac:dyDescent="0.25">
      <c r="B62" s="13"/>
      <c r="C62" s="4" t="s">
        <v>20</v>
      </c>
      <c r="D62" s="9">
        <v>-2</v>
      </c>
      <c r="E62" s="9">
        <v>0</v>
      </c>
      <c r="F62" s="9">
        <v>6</v>
      </c>
      <c r="G62" s="9">
        <v>10</v>
      </c>
      <c r="H62" s="9"/>
      <c r="L62" s="10">
        <f t="shared" si="0"/>
        <v>14</v>
      </c>
    </row>
    <row r="63" spans="2:12" x14ac:dyDescent="0.25">
      <c r="B63" s="13"/>
      <c r="C63" s="4" t="s">
        <v>21</v>
      </c>
      <c r="D63" s="9">
        <v>40</v>
      </c>
      <c r="E63" s="9">
        <v>110</v>
      </c>
      <c r="F63" s="9">
        <v>17</v>
      </c>
      <c r="G63" s="9">
        <v>60</v>
      </c>
      <c r="H63" s="9">
        <v>20</v>
      </c>
      <c r="L63" s="10">
        <f t="shared" si="0"/>
        <v>247</v>
      </c>
    </row>
    <row r="64" spans="2:12" x14ac:dyDescent="0.25">
      <c r="B64" s="13"/>
      <c r="C64" s="4" t="s">
        <v>22</v>
      </c>
      <c r="D64" s="9">
        <v>891</v>
      </c>
      <c r="E64" s="9">
        <v>116</v>
      </c>
      <c r="F64" s="9">
        <v>-7</v>
      </c>
      <c r="G64" s="9">
        <v>38</v>
      </c>
      <c r="H64" s="9">
        <v>300</v>
      </c>
      <c r="L64" s="10">
        <f t="shared" si="0"/>
        <v>1338</v>
      </c>
    </row>
    <row r="65" spans="2:12" x14ac:dyDescent="0.25">
      <c r="B65" s="13"/>
      <c r="C65" s="4" t="s">
        <v>80</v>
      </c>
      <c r="D65" s="9"/>
      <c r="E65" s="9">
        <v>6</v>
      </c>
      <c r="F65" s="9"/>
      <c r="G65" s="9">
        <v>5</v>
      </c>
      <c r="H65" s="9"/>
      <c r="L65" s="10">
        <f t="shared" si="0"/>
        <v>11</v>
      </c>
    </row>
    <row r="66" spans="2:12" x14ac:dyDescent="0.25">
      <c r="B66" s="13"/>
      <c r="C66" s="4" t="s">
        <v>81</v>
      </c>
      <c r="D66" s="9"/>
      <c r="E66" s="9">
        <v>4</v>
      </c>
      <c r="F66" s="9"/>
      <c r="G66" s="9">
        <v>2</v>
      </c>
      <c r="H66" s="9"/>
      <c r="L66" s="10">
        <f t="shared" si="0"/>
        <v>6</v>
      </c>
    </row>
    <row r="67" spans="2:12" x14ac:dyDescent="0.25">
      <c r="B67" s="13"/>
      <c r="C67" s="4" t="s">
        <v>82</v>
      </c>
      <c r="D67" s="9"/>
      <c r="E67" s="9">
        <v>3</v>
      </c>
      <c r="F67" s="9"/>
      <c r="G67" s="9">
        <v>2</v>
      </c>
      <c r="H67" s="9"/>
      <c r="L67" s="10">
        <f t="shared" si="0"/>
        <v>5</v>
      </c>
    </row>
    <row r="68" spans="2:12" x14ac:dyDescent="0.25">
      <c r="B68" s="13"/>
      <c r="C68" s="4" t="s">
        <v>83</v>
      </c>
      <c r="D68" s="9"/>
      <c r="E68" s="9">
        <v>4</v>
      </c>
      <c r="F68" s="9"/>
      <c r="G68" s="9">
        <v>3</v>
      </c>
      <c r="H68" s="9"/>
      <c r="L68" s="10">
        <f t="shared" si="0"/>
        <v>7</v>
      </c>
    </row>
    <row r="69" spans="2:12" x14ac:dyDescent="0.25">
      <c r="B69" s="13"/>
      <c r="C69" s="4" t="s">
        <v>24</v>
      </c>
      <c r="D69" s="9">
        <v>16</v>
      </c>
      <c r="E69" s="9">
        <v>37</v>
      </c>
      <c r="F69" s="9">
        <v>-4</v>
      </c>
      <c r="G69" s="9">
        <v>18</v>
      </c>
      <c r="H69" s="9"/>
      <c r="L69" s="10">
        <f t="shared" si="0"/>
        <v>67</v>
      </c>
    </row>
    <row r="70" spans="2:12" x14ac:dyDescent="0.25">
      <c r="B70" s="13"/>
      <c r="C70" s="4" t="s">
        <v>84</v>
      </c>
      <c r="D70" s="9"/>
      <c r="E70" s="9">
        <v>1</v>
      </c>
      <c r="F70" s="9"/>
      <c r="G70" s="9">
        <v>1</v>
      </c>
      <c r="H70" s="9"/>
      <c r="L70" s="10">
        <f t="shared" si="0"/>
        <v>2</v>
      </c>
    </row>
    <row r="71" spans="2:12" x14ac:dyDescent="0.25">
      <c r="B71" s="13"/>
      <c r="C71" s="4" t="s">
        <v>25</v>
      </c>
      <c r="D71" s="9">
        <v>91</v>
      </c>
      <c r="E71" s="9">
        <v>188</v>
      </c>
      <c r="F71" s="9">
        <v>-7</v>
      </c>
      <c r="G71" s="9">
        <v>93</v>
      </c>
      <c r="H71" s="9"/>
      <c r="L71" s="10">
        <f t="shared" si="0"/>
        <v>365</v>
      </c>
    </row>
    <row r="72" spans="2:12" x14ac:dyDescent="0.25">
      <c r="B72" s="13"/>
      <c r="C72" s="4" t="s">
        <v>26</v>
      </c>
      <c r="D72" s="9">
        <v>180</v>
      </c>
      <c r="E72" s="9">
        <v>308</v>
      </c>
      <c r="F72" s="9">
        <v>170</v>
      </c>
      <c r="G72" s="9">
        <v>137</v>
      </c>
      <c r="H72" s="9"/>
      <c r="L72" s="10">
        <f t="shared" ref="L72:L80" si="2">SUM(D72:K72)</f>
        <v>795</v>
      </c>
    </row>
    <row r="73" spans="2:12" x14ac:dyDescent="0.25">
      <c r="B73" s="13"/>
      <c r="C73" s="4" t="s">
        <v>27</v>
      </c>
      <c r="D73" s="9">
        <v>74</v>
      </c>
      <c r="E73" s="9">
        <v>191</v>
      </c>
      <c r="F73" s="9">
        <v>-42</v>
      </c>
      <c r="G73" s="9">
        <v>132</v>
      </c>
      <c r="H73" s="9"/>
      <c r="L73" s="10">
        <f t="shared" si="2"/>
        <v>355</v>
      </c>
    </row>
    <row r="74" spans="2:12" x14ac:dyDescent="0.25">
      <c r="B74" s="13"/>
      <c r="C74" s="4" t="s">
        <v>29</v>
      </c>
      <c r="D74" s="9">
        <v>587</v>
      </c>
      <c r="E74" s="9">
        <v>932</v>
      </c>
      <c r="F74" s="9">
        <v>17</v>
      </c>
      <c r="G74" s="9">
        <v>717</v>
      </c>
      <c r="H74" s="9"/>
      <c r="L74" s="10">
        <f t="shared" si="2"/>
        <v>2253</v>
      </c>
    </row>
    <row r="75" spans="2:12" x14ac:dyDescent="0.25">
      <c r="B75" s="13"/>
      <c r="C75" s="4" t="s">
        <v>43</v>
      </c>
      <c r="D75" s="9">
        <v>14</v>
      </c>
      <c r="E75" s="9">
        <v>22</v>
      </c>
      <c r="F75" s="9">
        <v>-6</v>
      </c>
      <c r="G75" s="9">
        <v>28</v>
      </c>
      <c r="H75" s="9"/>
      <c r="L75" s="10">
        <f t="shared" si="2"/>
        <v>58</v>
      </c>
    </row>
    <row r="76" spans="2:12" x14ac:dyDescent="0.25">
      <c r="B76" s="13"/>
      <c r="C76" s="4" t="s">
        <v>30</v>
      </c>
      <c r="D76" s="9"/>
      <c r="E76" s="9"/>
      <c r="F76" s="9">
        <v>1</v>
      </c>
      <c r="G76" s="9">
        <v>6</v>
      </c>
      <c r="H76" s="9"/>
      <c r="L76" s="10">
        <f t="shared" si="2"/>
        <v>7</v>
      </c>
    </row>
    <row r="77" spans="2:12" x14ac:dyDescent="0.25">
      <c r="B77" s="13"/>
      <c r="C77" s="4" t="s">
        <v>31</v>
      </c>
      <c r="D77" s="9">
        <v>439</v>
      </c>
      <c r="E77" s="9">
        <v>425</v>
      </c>
      <c r="F77" s="9">
        <v>212</v>
      </c>
      <c r="G77" s="9">
        <v>558</v>
      </c>
      <c r="H77" s="9"/>
      <c r="L77" s="10">
        <f t="shared" si="2"/>
        <v>1634</v>
      </c>
    </row>
    <row r="78" spans="2:12" x14ac:dyDescent="0.25">
      <c r="B78" s="13"/>
      <c r="C78" s="4" t="s">
        <v>32</v>
      </c>
      <c r="D78" s="9">
        <v>228</v>
      </c>
      <c r="E78" s="9">
        <v>33</v>
      </c>
      <c r="F78" s="9">
        <v>94</v>
      </c>
      <c r="G78" s="9"/>
      <c r="H78" s="9"/>
      <c r="L78" s="10">
        <f t="shared" si="2"/>
        <v>355</v>
      </c>
    </row>
    <row r="79" spans="2:12" x14ac:dyDescent="0.25">
      <c r="B79" s="13"/>
      <c r="C79" s="4" t="s">
        <v>68</v>
      </c>
      <c r="D79" s="9">
        <v>-13</v>
      </c>
      <c r="E79" s="9">
        <v>49</v>
      </c>
      <c r="F79" s="9">
        <v>-7</v>
      </c>
      <c r="G79" s="9">
        <v>43</v>
      </c>
      <c r="H79" s="9"/>
      <c r="L79" s="10">
        <f t="shared" si="2"/>
        <v>72</v>
      </c>
    </row>
    <row r="80" spans="2:12" x14ac:dyDescent="0.25">
      <c r="B80" s="13"/>
      <c r="C80" s="4" t="s">
        <v>61</v>
      </c>
      <c r="D80" s="9"/>
      <c r="E80" s="9"/>
      <c r="F80" s="9"/>
      <c r="G80" s="9">
        <v>0</v>
      </c>
      <c r="H80" s="9"/>
      <c r="L80" s="10">
        <f t="shared" si="2"/>
        <v>0</v>
      </c>
    </row>
    <row r="81" spans="2:12" x14ac:dyDescent="0.25">
      <c r="B81" s="8" t="s">
        <v>45</v>
      </c>
      <c r="C81" s="23"/>
      <c r="D81" s="11">
        <f>SUM(D44:D80)</f>
        <v>2926</v>
      </c>
      <c r="E81" s="11">
        <f t="shared" ref="E81:K81" si="3">SUM(E44:E80)</f>
        <v>3256</v>
      </c>
      <c r="F81" s="11">
        <f t="shared" si="3"/>
        <v>1293</v>
      </c>
      <c r="G81" s="11">
        <f t="shared" si="3"/>
        <v>2786</v>
      </c>
      <c r="H81" s="11">
        <f t="shared" si="3"/>
        <v>410</v>
      </c>
      <c r="I81" s="11">
        <f t="shared" si="3"/>
        <v>0</v>
      </c>
      <c r="J81" s="11">
        <f t="shared" si="3"/>
        <v>0</v>
      </c>
      <c r="K81" s="11">
        <f t="shared" si="3"/>
        <v>0</v>
      </c>
      <c r="L81" s="11">
        <f>SUM(D81:K81)</f>
        <v>10671</v>
      </c>
    </row>
  </sheetData>
  <conditionalFormatting sqref="D41:K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:K8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1:L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7E39-5B73-415B-8F22-4E6DB13CBF7A}">
  <dimension ref="B2:L69"/>
  <sheetViews>
    <sheetView topLeftCell="A50" workbookViewId="0">
      <selection activeCell="I29" sqref="I29"/>
    </sheetView>
  </sheetViews>
  <sheetFormatPr defaultRowHeight="15" x14ac:dyDescent="0.25"/>
  <cols>
    <col min="2" max="2" width="14.85546875" customWidth="1"/>
    <col min="3" max="3" width="16.285156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85</v>
      </c>
      <c r="C4" s="7" t="s">
        <v>86</v>
      </c>
      <c r="D4" s="9">
        <v>1384.17</v>
      </c>
      <c r="E4" s="9">
        <v>1038.72</v>
      </c>
      <c r="F4" s="9"/>
      <c r="G4" s="9">
        <v>2159.0899999999997</v>
      </c>
      <c r="H4" s="9"/>
      <c r="L4" s="10">
        <f>SUM(D4:K4)</f>
        <v>4581.9799999999996</v>
      </c>
    </row>
    <row r="5" spans="2:12" x14ac:dyDescent="0.25">
      <c r="B5" s="13"/>
      <c r="C5" s="4" t="s">
        <v>11</v>
      </c>
      <c r="D5" s="9">
        <v>8028.79</v>
      </c>
      <c r="E5" s="9">
        <v>9892.59</v>
      </c>
      <c r="F5" s="9">
        <v>10911.81</v>
      </c>
      <c r="G5" s="9">
        <v>16005.529999999999</v>
      </c>
      <c r="H5" s="9"/>
      <c r="L5" s="10">
        <f t="shared" ref="L5:L68" si="0">SUM(D5:K5)</f>
        <v>44838.720000000001</v>
      </c>
    </row>
    <row r="6" spans="2:12" x14ac:dyDescent="0.25">
      <c r="B6" s="13"/>
      <c r="C6" s="4" t="s">
        <v>87</v>
      </c>
      <c r="D6" s="9">
        <v>325.5</v>
      </c>
      <c r="E6" s="9">
        <v>-948.91</v>
      </c>
      <c r="F6" s="9"/>
      <c r="G6" s="9"/>
      <c r="H6" s="9"/>
      <c r="L6" s="10">
        <f t="shared" si="0"/>
        <v>-623.41</v>
      </c>
    </row>
    <row r="7" spans="2:12" x14ac:dyDescent="0.25">
      <c r="B7" s="13"/>
      <c r="C7" s="4" t="s">
        <v>12</v>
      </c>
      <c r="D7" s="9"/>
      <c r="E7" s="9">
        <v>0</v>
      </c>
      <c r="F7" s="9">
        <v>1069.8</v>
      </c>
      <c r="G7" s="9"/>
      <c r="H7" s="9"/>
      <c r="L7" s="10">
        <f t="shared" si="0"/>
        <v>1069.8</v>
      </c>
    </row>
    <row r="8" spans="2:12" x14ac:dyDescent="0.25">
      <c r="B8" s="13"/>
      <c r="C8" s="4" t="s">
        <v>38</v>
      </c>
      <c r="D8" s="9">
        <v>1931.4299999999998</v>
      </c>
      <c r="E8" s="9">
        <v>643.17999999999995</v>
      </c>
      <c r="F8" s="9"/>
      <c r="G8" s="9">
        <v>406.62</v>
      </c>
      <c r="H8" s="9"/>
      <c r="L8" s="10">
        <f t="shared" si="0"/>
        <v>2981.2299999999996</v>
      </c>
    </row>
    <row r="9" spans="2:12" x14ac:dyDescent="0.25">
      <c r="B9" s="13"/>
      <c r="C9" s="4" t="s">
        <v>64</v>
      </c>
      <c r="D9" s="9">
        <v>675.65</v>
      </c>
      <c r="E9" s="9">
        <v>672.88</v>
      </c>
      <c r="F9" s="9"/>
      <c r="G9" s="9"/>
      <c r="H9" s="9"/>
      <c r="L9" s="10">
        <f t="shared" si="0"/>
        <v>1348.53</v>
      </c>
    </row>
    <row r="10" spans="2:12" x14ac:dyDescent="0.25">
      <c r="B10" s="13"/>
      <c r="C10" s="4" t="s">
        <v>50</v>
      </c>
      <c r="D10" s="9">
        <v>243.8</v>
      </c>
      <c r="E10" s="9">
        <v>-366.33000000000004</v>
      </c>
      <c r="F10" s="9"/>
      <c r="G10" s="9"/>
      <c r="H10" s="9"/>
      <c r="L10" s="10">
        <f t="shared" si="0"/>
        <v>-122.53000000000003</v>
      </c>
    </row>
    <row r="11" spans="2:12" x14ac:dyDescent="0.25">
      <c r="B11" s="13"/>
      <c r="C11" s="4" t="s">
        <v>39</v>
      </c>
      <c r="D11" s="9"/>
      <c r="E11" s="9">
        <v>1483.28</v>
      </c>
      <c r="F11" s="9">
        <v>781.34999999999991</v>
      </c>
      <c r="G11" s="9">
        <v>493.16</v>
      </c>
      <c r="H11" s="9"/>
      <c r="L11" s="10">
        <f t="shared" si="0"/>
        <v>2757.79</v>
      </c>
    </row>
    <row r="12" spans="2:12" x14ac:dyDescent="0.25">
      <c r="B12" s="13"/>
      <c r="C12" s="4" t="s">
        <v>40</v>
      </c>
      <c r="D12" s="9">
        <v>675.52</v>
      </c>
      <c r="E12" s="9">
        <v>2920.23</v>
      </c>
      <c r="F12" s="9">
        <v>1676.83</v>
      </c>
      <c r="G12" s="9">
        <v>2318.5500000000002</v>
      </c>
      <c r="H12" s="9">
        <v>499.9</v>
      </c>
      <c r="L12" s="10">
        <f t="shared" si="0"/>
        <v>8091.03</v>
      </c>
    </row>
    <row r="13" spans="2:12" x14ac:dyDescent="0.25">
      <c r="B13" s="13"/>
      <c r="C13" s="4" t="s">
        <v>13</v>
      </c>
      <c r="D13" s="9">
        <v>873.74</v>
      </c>
      <c r="E13" s="9">
        <v>1043.3200000000002</v>
      </c>
      <c r="F13" s="9">
        <v>1988.81</v>
      </c>
      <c r="G13" s="9">
        <v>2739.48</v>
      </c>
      <c r="H13" s="9"/>
      <c r="L13" s="10">
        <f t="shared" si="0"/>
        <v>6645.35</v>
      </c>
    </row>
    <row r="14" spans="2:12" x14ac:dyDescent="0.25">
      <c r="B14" s="13"/>
      <c r="C14" s="4" t="s">
        <v>14</v>
      </c>
      <c r="D14" s="9">
        <v>2549.8199999999997</v>
      </c>
      <c r="E14" s="9">
        <v>2319.9899999999998</v>
      </c>
      <c r="F14" s="9">
        <v>5760.87</v>
      </c>
      <c r="G14" s="9"/>
      <c r="H14" s="9"/>
      <c r="L14" s="10">
        <f t="shared" si="0"/>
        <v>10630.68</v>
      </c>
    </row>
    <row r="15" spans="2:12" x14ac:dyDescent="0.25">
      <c r="B15" s="13"/>
      <c r="C15" s="4" t="s">
        <v>15</v>
      </c>
      <c r="D15" s="9">
        <v>2449.6200000000003</v>
      </c>
      <c r="E15" s="9">
        <v>1243.48</v>
      </c>
      <c r="F15" s="9">
        <v>22927.83</v>
      </c>
      <c r="G15" s="9">
        <v>1.0000000000218279E-2</v>
      </c>
      <c r="H15" s="9"/>
      <c r="L15" s="10">
        <f t="shared" si="0"/>
        <v>26620.940000000002</v>
      </c>
    </row>
    <row r="16" spans="2:12" x14ac:dyDescent="0.25">
      <c r="B16" s="13"/>
      <c r="C16" s="4" t="s">
        <v>42</v>
      </c>
      <c r="D16" s="9">
        <v>1890.12</v>
      </c>
      <c r="E16" s="9">
        <v>4412.7999999999993</v>
      </c>
      <c r="F16" s="9">
        <v>478.7</v>
      </c>
      <c r="G16" s="9"/>
      <c r="H16" s="9"/>
      <c r="L16" s="10">
        <f t="shared" si="0"/>
        <v>6781.619999999999</v>
      </c>
    </row>
    <row r="17" spans="2:12" x14ac:dyDescent="0.25">
      <c r="B17" s="13"/>
      <c r="C17" s="4" t="s">
        <v>16</v>
      </c>
      <c r="D17" s="9">
        <v>11265.47</v>
      </c>
      <c r="E17" s="9">
        <v>7225.0800000000008</v>
      </c>
      <c r="F17" s="9">
        <v>8926.8799999999992</v>
      </c>
      <c r="G17" s="9">
        <v>7722.8600000000006</v>
      </c>
      <c r="H17" s="9"/>
      <c r="L17" s="10">
        <f t="shared" si="0"/>
        <v>35140.29</v>
      </c>
    </row>
    <row r="18" spans="2:12" x14ac:dyDescent="0.25">
      <c r="B18" s="13"/>
      <c r="C18" s="4" t="s">
        <v>17</v>
      </c>
      <c r="D18" s="9"/>
      <c r="E18" s="9">
        <v>-505.04999999999995</v>
      </c>
      <c r="F18" s="9">
        <v>4712.49</v>
      </c>
      <c r="G18" s="9">
        <v>12839.57</v>
      </c>
      <c r="H18" s="9"/>
      <c r="L18" s="10">
        <f t="shared" si="0"/>
        <v>17047.009999999998</v>
      </c>
    </row>
    <row r="19" spans="2:12" x14ac:dyDescent="0.25">
      <c r="B19" s="13"/>
      <c r="C19" s="4" t="s">
        <v>19</v>
      </c>
      <c r="D19" s="9"/>
      <c r="E19" s="9"/>
      <c r="F19" s="9">
        <v>5079.59</v>
      </c>
      <c r="G19" s="9">
        <v>11535.67</v>
      </c>
      <c r="H19" s="9"/>
      <c r="L19" s="10">
        <f t="shared" si="0"/>
        <v>16615.260000000002</v>
      </c>
    </row>
    <row r="20" spans="2:12" x14ac:dyDescent="0.25">
      <c r="B20" s="13"/>
      <c r="C20" s="4" t="s">
        <v>20</v>
      </c>
      <c r="D20" s="9">
        <v>2571.85</v>
      </c>
      <c r="E20" s="9"/>
      <c r="F20" s="9">
        <v>5728.12</v>
      </c>
      <c r="G20" s="9">
        <v>12123.02</v>
      </c>
      <c r="H20" s="9"/>
      <c r="L20" s="10">
        <f t="shared" si="0"/>
        <v>20422.989999999998</v>
      </c>
    </row>
    <row r="21" spans="2:12" x14ac:dyDescent="0.25">
      <c r="B21" s="13"/>
      <c r="C21" s="4" t="s">
        <v>21</v>
      </c>
      <c r="D21" s="9">
        <v>11858.65</v>
      </c>
      <c r="E21" s="9">
        <v>13422.369999999999</v>
      </c>
      <c r="F21" s="9">
        <v>9280.07</v>
      </c>
      <c r="G21" s="9">
        <v>9515.69</v>
      </c>
      <c r="H21" s="9">
        <v>1600.02</v>
      </c>
      <c r="L21" s="10">
        <f t="shared" si="0"/>
        <v>45676.799999999996</v>
      </c>
    </row>
    <row r="22" spans="2:12" x14ac:dyDescent="0.25">
      <c r="B22" s="13"/>
      <c r="C22" s="4" t="s">
        <v>22</v>
      </c>
      <c r="D22" s="9">
        <v>13385.420000000002</v>
      </c>
      <c r="E22" s="9"/>
      <c r="F22" s="9"/>
      <c r="G22" s="9">
        <v>22410.18</v>
      </c>
      <c r="H22" s="9">
        <v>6999.94</v>
      </c>
      <c r="L22" s="10">
        <f t="shared" si="0"/>
        <v>42795.540000000008</v>
      </c>
    </row>
    <row r="23" spans="2:12" x14ac:dyDescent="0.25">
      <c r="B23" s="13"/>
      <c r="C23" s="4" t="s">
        <v>24</v>
      </c>
      <c r="D23" s="9">
        <v>6123.17</v>
      </c>
      <c r="E23" s="9">
        <v>5901.45</v>
      </c>
      <c r="F23" s="9">
        <v>3950.1600000000003</v>
      </c>
      <c r="G23" s="9">
        <v>6551.19</v>
      </c>
      <c r="H23" s="9"/>
      <c r="L23" s="10">
        <f t="shared" si="0"/>
        <v>22525.969999999998</v>
      </c>
    </row>
    <row r="24" spans="2:12" x14ac:dyDescent="0.25">
      <c r="B24" s="13"/>
      <c r="C24" s="4" t="s">
        <v>25</v>
      </c>
      <c r="D24" s="9">
        <v>3381.3199999999997</v>
      </c>
      <c r="E24" s="9">
        <v>4776.6099999999997</v>
      </c>
      <c r="F24" s="9">
        <v>10836.740000000002</v>
      </c>
      <c r="G24" s="9">
        <v>2145.35</v>
      </c>
      <c r="H24" s="9"/>
      <c r="L24" s="10">
        <f t="shared" si="0"/>
        <v>21140.02</v>
      </c>
    </row>
    <row r="25" spans="2:12" x14ac:dyDescent="0.25">
      <c r="B25" s="13"/>
      <c r="C25" s="4" t="s">
        <v>26</v>
      </c>
      <c r="D25" s="9">
        <v>10736.47</v>
      </c>
      <c r="E25" s="9">
        <v>11105.31</v>
      </c>
      <c r="F25" s="9">
        <v>10766.829999999998</v>
      </c>
      <c r="G25" s="9">
        <v>9601.44</v>
      </c>
      <c r="H25" s="9"/>
      <c r="L25" s="10">
        <f t="shared" si="0"/>
        <v>42210.049999999996</v>
      </c>
    </row>
    <row r="26" spans="2:12" x14ac:dyDescent="0.25">
      <c r="B26" s="13"/>
      <c r="C26" s="4" t="s">
        <v>27</v>
      </c>
      <c r="D26" s="9">
        <v>9994.2699999999986</v>
      </c>
      <c r="E26" s="9">
        <v>10300.120000000001</v>
      </c>
      <c r="F26" s="9">
        <v>8055.5400000000009</v>
      </c>
      <c r="G26" s="9">
        <v>9411.3900000000012</v>
      </c>
      <c r="H26" s="9"/>
      <c r="L26" s="10">
        <f t="shared" si="0"/>
        <v>37761.32</v>
      </c>
    </row>
    <row r="27" spans="2:12" x14ac:dyDescent="0.25">
      <c r="B27" s="13"/>
      <c r="C27" s="4" t="s">
        <v>28</v>
      </c>
      <c r="D27" s="9">
        <v>4087.27</v>
      </c>
      <c r="E27" s="9">
        <v>4105.62</v>
      </c>
      <c r="F27" s="9">
        <v>3275.2099999999996</v>
      </c>
      <c r="G27" s="9">
        <v>2937.15</v>
      </c>
      <c r="H27" s="9"/>
      <c r="L27" s="10">
        <f t="shared" si="0"/>
        <v>14405.249999999998</v>
      </c>
    </row>
    <row r="28" spans="2:12" x14ac:dyDescent="0.25">
      <c r="B28" s="13"/>
      <c r="C28" s="4" t="s">
        <v>29</v>
      </c>
      <c r="D28" s="9">
        <v>15130.27</v>
      </c>
      <c r="E28" s="9">
        <v>19021.04</v>
      </c>
      <c r="F28" s="9">
        <v>15353.169999999998</v>
      </c>
      <c r="G28" s="9">
        <v>18947.89</v>
      </c>
      <c r="H28" s="9"/>
      <c r="L28" s="10">
        <f t="shared" si="0"/>
        <v>68452.37</v>
      </c>
    </row>
    <row r="29" spans="2:12" x14ac:dyDescent="0.25">
      <c r="B29" s="13"/>
      <c r="C29" s="4" t="s">
        <v>43</v>
      </c>
      <c r="D29" s="9">
        <v>902.76</v>
      </c>
      <c r="E29" s="9"/>
      <c r="F29" s="9">
        <v>376.47</v>
      </c>
      <c r="G29" s="9">
        <v>249.59</v>
      </c>
      <c r="H29" s="9"/>
      <c r="L29" s="10">
        <f t="shared" si="0"/>
        <v>1528.82</v>
      </c>
    </row>
    <row r="30" spans="2:12" x14ac:dyDescent="0.25">
      <c r="B30" s="13"/>
      <c r="C30" s="4" t="s">
        <v>30</v>
      </c>
      <c r="D30" s="9">
        <v>18953.150000000001</v>
      </c>
      <c r="E30" s="9">
        <v>10196.19</v>
      </c>
      <c r="F30" s="9">
        <v>14077.2</v>
      </c>
      <c r="G30" s="9">
        <v>20951.190000000002</v>
      </c>
      <c r="H30" s="9"/>
      <c r="L30" s="10">
        <f t="shared" si="0"/>
        <v>64177.73000000001</v>
      </c>
    </row>
    <row r="31" spans="2:12" x14ac:dyDescent="0.25">
      <c r="B31" s="13"/>
      <c r="C31" s="4" t="s">
        <v>31</v>
      </c>
      <c r="D31" s="9">
        <v>41620.569999999992</v>
      </c>
      <c r="E31" s="9">
        <v>46706.049999999996</v>
      </c>
      <c r="F31" s="9">
        <v>39665.279999999999</v>
      </c>
      <c r="G31" s="9">
        <v>55767.77</v>
      </c>
      <c r="H31" s="9"/>
      <c r="L31" s="10">
        <f t="shared" si="0"/>
        <v>183759.66999999998</v>
      </c>
    </row>
    <row r="32" spans="2:12" x14ac:dyDescent="0.25">
      <c r="B32" s="13"/>
      <c r="C32" s="4" t="s">
        <v>32</v>
      </c>
      <c r="D32" s="9">
        <v>8755.69</v>
      </c>
      <c r="E32" s="9">
        <v>1642.77</v>
      </c>
      <c r="F32" s="9"/>
      <c r="G32" s="9"/>
      <c r="H32" s="9"/>
      <c r="L32" s="10">
        <f t="shared" si="0"/>
        <v>10398.460000000001</v>
      </c>
    </row>
    <row r="33" spans="2:12" x14ac:dyDescent="0.25">
      <c r="B33" s="13"/>
      <c r="C33" s="4" t="s">
        <v>68</v>
      </c>
      <c r="D33" s="9">
        <v>3949.4099999999994</v>
      </c>
      <c r="E33" s="9">
        <v>18067.93</v>
      </c>
      <c r="F33" s="9">
        <v>6692.7199999999993</v>
      </c>
      <c r="G33" s="9">
        <v>2585.62</v>
      </c>
      <c r="H33" s="9"/>
      <c r="L33" s="10">
        <f t="shared" si="0"/>
        <v>31295.679999999997</v>
      </c>
    </row>
    <row r="34" spans="2:12" x14ac:dyDescent="0.25">
      <c r="B34" s="13"/>
      <c r="C34" s="4" t="s">
        <v>61</v>
      </c>
      <c r="D34" s="9"/>
      <c r="E34" s="9"/>
      <c r="F34" s="9"/>
      <c r="G34" s="9">
        <v>-793.68725000675909</v>
      </c>
      <c r="H34" s="9"/>
      <c r="L34" s="10">
        <f t="shared" si="0"/>
        <v>-793.68725000675909</v>
      </c>
    </row>
    <row r="35" spans="2:12" x14ac:dyDescent="0.25">
      <c r="B35" s="3" t="s">
        <v>33</v>
      </c>
      <c r="C35" s="6"/>
      <c r="D35" s="11">
        <f>SUM(D4:D34)</f>
        <v>183743.9</v>
      </c>
      <c r="E35" s="11">
        <f t="shared" ref="E35:K35" si="1">SUM(E4:E34)</f>
        <v>176320.71999999997</v>
      </c>
      <c r="F35" s="11">
        <f t="shared" si="1"/>
        <v>192372.47000000003</v>
      </c>
      <c r="G35" s="11">
        <f t="shared" si="1"/>
        <v>228624.32274999321</v>
      </c>
      <c r="H35" s="11">
        <f t="shared" si="1"/>
        <v>9099.86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790161.27274999325</v>
      </c>
    </row>
    <row r="36" spans="2:12" x14ac:dyDescent="0.25">
      <c r="B36" s="13"/>
      <c r="C36" s="4"/>
      <c r="D36" s="9"/>
      <c r="E36" s="9"/>
      <c r="F36" s="9"/>
      <c r="G36" s="9"/>
      <c r="L36" s="10"/>
    </row>
    <row r="37" spans="2:12" x14ac:dyDescent="0.25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25">
      <c r="B38" s="13"/>
      <c r="C38" s="7" t="s">
        <v>86</v>
      </c>
      <c r="D38" s="11">
        <v>4</v>
      </c>
      <c r="E38" s="11">
        <v>3</v>
      </c>
      <c r="F38" s="11"/>
      <c r="G38" s="11">
        <v>6</v>
      </c>
      <c r="H38" s="11"/>
      <c r="L38" s="10">
        <f t="shared" si="0"/>
        <v>13</v>
      </c>
    </row>
    <row r="39" spans="2:12" x14ac:dyDescent="0.25">
      <c r="B39" s="13"/>
      <c r="C39" s="4" t="s">
        <v>11</v>
      </c>
      <c r="D39" s="9">
        <v>13</v>
      </c>
      <c r="E39" s="9">
        <v>16</v>
      </c>
      <c r="F39" s="9">
        <v>17</v>
      </c>
      <c r="G39" s="9">
        <v>26</v>
      </c>
      <c r="H39" s="9"/>
      <c r="L39" s="10">
        <f t="shared" si="0"/>
        <v>72</v>
      </c>
    </row>
    <row r="40" spans="2:12" x14ac:dyDescent="0.25">
      <c r="B40" s="13"/>
      <c r="C40" s="4" t="s">
        <v>87</v>
      </c>
      <c r="D40" s="9">
        <v>1</v>
      </c>
      <c r="E40" s="9">
        <v>-3</v>
      </c>
      <c r="F40" s="9"/>
      <c r="G40" s="9"/>
      <c r="H40" s="9"/>
      <c r="L40" s="10">
        <f t="shared" si="0"/>
        <v>-2</v>
      </c>
    </row>
    <row r="41" spans="2:12" x14ac:dyDescent="0.25">
      <c r="B41" s="13"/>
      <c r="C41" s="4" t="s">
        <v>12</v>
      </c>
      <c r="D41" s="9"/>
      <c r="E41" s="9">
        <v>0</v>
      </c>
      <c r="F41" s="9">
        <v>3</v>
      </c>
      <c r="G41" s="9"/>
      <c r="H41" s="9"/>
      <c r="L41" s="10">
        <f t="shared" si="0"/>
        <v>3</v>
      </c>
    </row>
    <row r="42" spans="2:12" x14ac:dyDescent="0.25">
      <c r="B42" s="13"/>
      <c r="C42" s="4" t="s">
        <v>38</v>
      </c>
      <c r="D42" s="9">
        <v>9</v>
      </c>
      <c r="E42" s="9">
        <v>3</v>
      </c>
      <c r="F42" s="9"/>
      <c r="G42" s="9">
        <v>2</v>
      </c>
      <c r="H42" s="9"/>
      <c r="L42" s="10">
        <f t="shared" si="0"/>
        <v>14</v>
      </c>
    </row>
    <row r="43" spans="2:12" x14ac:dyDescent="0.25">
      <c r="B43" s="13"/>
      <c r="C43" s="4" t="s">
        <v>64</v>
      </c>
      <c r="D43" s="9">
        <v>2</v>
      </c>
      <c r="E43" s="9">
        <v>2</v>
      </c>
      <c r="F43" s="9"/>
      <c r="G43" s="9"/>
      <c r="H43" s="9"/>
      <c r="L43" s="10">
        <f t="shared" si="0"/>
        <v>4</v>
      </c>
    </row>
    <row r="44" spans="2:12" x14ac:dyDescent="0.25">
      <c r="B44" s="13"/>
      <c r="C44" s="4" t="s">
        <v>50</v>
      </c>
      <c r="D44" s="9">
        <v>2</v>
      </c>
      <c r="E44" s="9">
        <v>-3</v>
      </c>
      <c r="F44" s="9"/>
      <c r="G44" s="9"/>
      <c r="H44" s="9"/>
      <c r="L44" s="10">
        <f t="shared" si="0"/>
        <v>-1</v>
      </c>
    </row>
    <row r="45" spans="2:12" x14ac:dyDescent="0.25">
      <c r="B45" s="13"/>
      <c r="C45" s="4" t="s">
        <v>39</v>
      </c>
      <c r="D45" s="9"/>
      <c r="E45" s="9">
        <v>15</v>
      </c>
      <c r="F45" s="9">
        <v>8</v>
      </c>
      <c r="G45" s="9">
        <v>5</v>
      </c>
      <c r="H45" s="9"/>
      <c r="L45" s="10">
        <f t="shared" si="0"/>
        <v>28</v>
      </c>
    </row>
    <row r="46" spans="2:12" x14ac:dyDescent="0.25">
      <c r="B46" s="13"/>
      <c r="C46" s="4" t="s">
        <v>40</v>
      </c>
      <c r="D46" s="9">
        <v>30</v>
      </c>
      <c r="E46" s="9">
        <v>130</v>
      </c>
      <c r="F46" s="9">
        <v>75</v>
      </c>
      <c r="G46" s="9">
        <v>104</v>
      </c>
      <c r="H46" s="9">
        <v>20</v>
      </c>
      <c r="L46" s="10">
        <f t="shared" si="0"/>
        <v>359</v>
      </c>
    </row>
    <row r="47" spans="2:12" x14ac:dyDescent="0.25">
      <c r="B47" s="13"/>
      <c r="C47" s="4" t="s">
        <v>13</v>
      </c>
      <c r="D47" s="9">
        <v>4</v>
      </c>
      <c r="E47" s="9">
        <v>6</v>
      </c>
      <c r="F47" s="9">
        <v>11</v>
      </c>
      <c r="G47" s="9">
        <v>16</v>
      </c>
      <c r="H47" s="9"/>
      <c r="L47" s="10">
        <f t="shared" si="0"/>
        <v>37</v>
      </c>
    </row>
    <row r="48" spans="2:12" x14ac:dyDescent="0.25">
      <c r="B48" s="13"/>
      <c r="C48" s="4" t="s">
        <v>14</v>
      </c>
      <c r="D48" s="9">
        <v>12</v>
      </c>
      <c r="E48" s="9">
        <v>11</v>
      </c>
      <c r="F48" s="9">
        <v>26</v>
      </c>
      <c r="G48" s="9"/>
      <c r="H48" s="9"/>
      <c r="L48" s="10">
        <f t="shared" si="0"/>
        <v>49</v>
      </c>
    </row>
    <row r="49" spans="2:12" x14ac:dyDescent="0.25">
      <c r="B49" s="13"/>
      <c r="C49" s="4" t="s">
        <v>15</v>
      </c>
      <c r="D49" s="9">
        <v>12</v>
      </c>
      <c r="E49" s="9">
        <v>6</v>
      </c>
      <c r="F49" s="9">
        <v>107</v>
      </c>
      <c r="G49" s="9">
        <v>0</v>
      </c>
      <c r="H49" s="9"/>
      <c r="L49" s="10">
        <f t="shared" si="0"/>
        <v>125</v>
      </c>
    </row>
    <row r="50" spans="2:12" x14ac:dyDescent="0.25">
      <c r="B50" s="13"/>
      <c r="C50" s="4" t="s">
        <v>42</v>
      </c>
      <c r="D50" s="9">
        <v>4</v>
      </c>
      <c r="E50" s="9">
        <v>10</v>
      </c>
      <c r="F50" s="9">
        <v>1</v>
      </c>
      <c r="G50" s="9"/>
      <c r="H50" s="9"/>
      <c r="L50" s="10">
        <f t="shared" si="0"/>
        <v>15</v>
      </c>
    </row>
    <row r="51" spans="2:12" x14ac:dyDescent="0.25">
      <c r="B51" s="13"/>
      <c r="C51" s="4" t="s">
        <v>16</v>
      </c>
      <c r="D51" s="9">
        <v>141</v>
      </c>
      <c r="E51" s="9">
        <v>90</v>
      </c>
      <c r="F51" s="9">
        <v>95</v>
      </c>
      <c r="G51" s="9">
        <v>80</v>
      </c>
      <c r="H51" s="9"/>
      <c r="L51" s="10">
        <f t="shared" si="0"/>
        <v>406</v>
      </c>
    </row>
    <row r="52" spans="2:12" x14ac:dyDescent="0.25">
      <c r="B52" s="13"/>
      <c r="C52" s="4" t="s">
        <v>17</v>
      </c>
      <c r="D52" s="9"/>
      <c r="E52" s="9">
        <v>-3</v>
      </c>
      <c r="F52" s="9">
        <v>50</v>
      </c>
      <c r="G52" s="9">
        <v>118</v>
      </c>
      <c r="H52" s="9"/>
      <c r="L52" s="10">
        <f t="shared" si="0"/>
        <v>165</v>
      </c>
    </row>
    <row r="53" spans="2:12" x14ac:dyDescent="0.25">
      <c r="B53" s="13"/>
      <c r="C53" s="4" t="s">
        <v>19</v>
      </c>
      <c r="D53" s="9"/>
      <c r="E53" s="9"/>
      <c r="F53" s="9">
        <v>52</v>
      </c>
      <c r="G53" s="9">
        <v>111</v>
      </c>
      <c r="H53" s="9"/>
      <c r="L53" s="10">
        <f t="shared" si="0"/>
        <v>163</v>
      </c>
    </row>
    <row r="54" spans="2:12" x14ac:dyDescent="0.25">
      <c r="B54" s="13"/>
      <c r="C54" s="4" t="s">
        <v>20</v>
      </c>
      <c r="D54" s="9">
        <v>1</v>
      </c>
      <c r="E54" s="9"/>
      <c r="F54" s="9">
        <v>55</v>
      </c>
      <c r="G54" s="9">
        <v>114</v>
      </c>
      <c r="H54" s="9"/>
      <c r="L54" s="10">
        <f t="shared" si="0"/>
        <v>170</v>
      </c>
    </row>
    <row r="55" spans="2:12" x14ac:dyDescent="0.25">
      <c r="B55" s="13"/>
      <c r="C55" s="4" t="s">
        <v>21</v>
      </c>
      <c r="D55" s="9">
        <v>44</v>
      </c>
      <c r="E55" s="9">
        <v>50</v>
      </c>
      <c r="F55" s="9">
        <v>32</v>
      </c>
      <c r="G55" s="9">
        <v>33</v>
      </c>
      <c r="H55" s="9">
        <v>5</v>
      </c>
      <c r="L55" s="10">
        <f t="shared" si="0"/>
        <v>164</v>
      </c>
    </row>
    <row r="56" spans="2:12" x14ac:dyDescent="0.25">
      <c r="B56" s="13"/>
      <c r="C56" s="4" t="s">
        <v>22</v>
      </c>
      <c r="D56" s="9">
        <v>45</v>
      </c>
      <c r="E56" s="9"/>
      <c r="F56" s="9"/>
      <c r="G56" s="9">
        <v>100</v>
      </c>
      <c r="H56" s="9">
        <v>20</v>
      </c>
      <c r="L56" s="10">
        <f t="shared" si="0"/>
        <v>165</v>
      </c>
    </row>
    <row r="57" spans="2:12" x14ac:dyDescent="0.25">
      <c r="B57" s="13"/>
      <c r="C57" s="4" t="s">
        <v>24</v>
      </c>
      <c r="D57" s="9">
        <v>21</v>
      </c>
      <c r="E57" s="9">
        <v>20</v>
      </c>
      <c r="F57" s="9">
        <v>13</v>
      </c>
      <c r="G57" s="9">
        <v>21</v>
      </c>
      <c r="H57" s="9"/>
      <c r="L57" s="10">
        <f t="shared" si="0"/>
        <v>75</v>
      </c>
    </row>
    <row r="58" spans="2:12" x14ac:dyDescent="0.25">
      <c r="B58" s="13"/>
      <c r="C58" s="4" t="s">
        <v>25</v>
      </c>
      <c r="D58" s="9">
        <v>19</v>
      </c>
      <c r="E58" s="9">
        <v>27</v>
      </c>
      <c r="F58" s="9">
        <v>57</v>
      </c>
      <c r="G58" s="9">
        <v>11</v>
      </c>
      <c r="H58" s="9"/>
      <c r="L58" s="10">
        <f t="shared" si="0"/>
        <v>114</v>
      </c>
    </row>
    <row r="59" spans="2:12" x14ac:dyDescent="0.25">
      <c r="B59" s="13"/>
      <c r="C59" s="4" t="s">
        <v>26</v>
      </c>
      <c r="D59" s="9">
        <v>459</v>
      </c>
      <c r="E59" s="9">
        <v>425</v>
      </c>
      <c r="F59" s="9">
        <v>388</v>
      </c>
      <c r="G59" s="9">
        <v>355</v>
      </c>
      <c r="H59" s="9"/>
      <c r="L59" s="10">
        <f t="shared" si="0"/>
        <v>1627</v>
      </c>
    </row>
    <row r="60" spans="2:12" x14ac:dyDescent="0.25">
      <c r="B60" s="13"/>
      <c r="C60" s="4" t="s">
        <v>27</v>
      </c>
      <c r="D60" s="9">
        <v>304</v>
      </c>
      <c r="E60" s="9">
        <v>290</v>
      </c>
      <c r="F60" s="9">
        <v>218</v>
      </c>
      <c r="G60" s="9">
        <v>256</v>
      </c>
      <c r="H60" s="9"/>
      <c r="L60" s="10">
        <f t="shared" si="0"/>
        <v>1068</v>
      </c>
    </row>
    <row r="61" spans="2:12" x14ac:dyDescent="0.25">
      <c r="B61" s="13"/>
      <c r="C61" s="4" t="s">
        <v>28</v>
      </c>
      <c r="D61" s="9">
        <v>32</v>
      </c>
      <c r="E61" s="9">
        <v>31</v>
      </c>
      <c r="F61" s="9">
        <v>23</v>
      </c>
      <c r="G61" s="9">
        <v>20</v>
      </c>
      <c r="H61" s="9"/>
      <c r="L61" s="10">
        <f t="shared" si="0"/>
        <v>106</v>
      </c>
    </row>
    <row r="62" spans="2:12" x14ac:dyDescent="0.25">
      <c r="B62" s="13"/>
      <c r="C62" s="4" t="s">
        <v>29</v>
      </c>
      <c r="D62" s="9">
        <v>75</v>
      </c>
      <c r="E62" s="9">
        <v>94</v>
      </c>
      <c r="F62" s="9">
        <v>68</v>
      </c>
      <c r="G62" s="9">
        <v>86</v>
      </c>
      <c r="H62" s="9"/>
      <c r="L62" s="10">
        <f t="shared" si="0"/>
        <v>323</v>
      </c>
    </row>
    <row r="63" spans="2:12" x14ac:dyDescent="0.25">
      <c r="B63" s="13"/>
      <c r="C63" s="4" t="s">
        <v>43</v>
      </c>
      <c r="D63" s="9">
        <v>8</v>
      </c>
      <c r="E63" s="9"/>
      <c r="F63" s="9">
        <v>3</v>
      </c>
      <c r="G63" s="9">
        <v>2</v>
      </c>
      <c r="H63" s="9"/>
      <c r="L63" s="10">
        <f t="shared" si="0"/>
        <v>13</v>
      </c>
    </row>
    <row r="64" spans="2:12" x14ac:dyDescent="0.25">
      <c r="B64" s="13"/>
      <c r="C64" s="4" t="s">
        <v>30</v>
      </c>
      <c r="D64" s="9">
        <v>81</v>
      </c>
      <c r="E64" s="9">
        <v>55</v>
      </c>
      <c r="F64" s="9">
        <v>69</v>
      </c>
      <c r="G64" s="9">
        <v>104</v>
      </c>
      <c r="H64" s="9"/>
      <c r="L64" s="10">
        <f t="shared" si="0"/>
        <v>309</v>
      </c>
    </row>
    <row r="65" spans="2:12" x14ac:dyDescent="0.25">
      <c r="B65" s="13"/>
      <c r="C65" s="4" t="s">
        <v>31</v>
      </c>
      <c r="D65" s="9">
        <v>1182</v>
      </c>
      <c r="E65" s="9">
        <v>1311</v>
      </c>
      <c r="F65" s="9">
        <v>1012</v>
      </c>
      <c r="G65" s="9">
        <v>1391</v>
      </c>
      <c r="H65" s="9"/>
      <c r="L65" s="10">
        <f t="shared" si="0"/>
        <v>4896</v>
      </c>
    </row>
    <row r="66" spans="2:12" x14ac:dyDescent="0.25">
      <c r="B66" s="13"/>
      <c r="C66" s="4" t="s">
        <v>32</v>
      </c>
      <c r="D66" s="9">
        <v>138</v>
      </c>
      <c r="E66" s="9">
        <v>26</v>
      </c>
      <c r="F66" s="9"/>
      <c r="G66" s="9"/>
      <c r="H66" s="9"/>
      <c r="L66" s="10">
        <f t="shared" si="0"/>
        <v>164</v>
      </c>
    </row>
    <row r="67" spans="2:12" x14ac:dyDescent="0.25">
      <c r="B67" s="13"/>
      <c r="C67" s="4" t="s">
        <v>68</v>
      </c>
      <c r="D67" s="9">
        <v>7</v>
      </c>
      <c r="E67" s="9">
        <v>37</v>
      </c>
      <c r="F67" s="9">
        <v>13</v>
      </c>
      <c r="G67" s="9">
        <v>5</v>
      </c>
      <c r="H67" s="9"/>
      <c r="L67" s="10">
        <f t="shared" si="0"/>
        <v>62</v>
      </c>
    </row>
    <row r="68" spans="2:12" x14ac:dyDescent="0.25">
      <c r="B68" s="13"/>
      <c r="C68" s="4" t="s">
        <v>61</v>
      </c>
      <c r="D68" s="9"/>
      <c r="E68" s="9"/>
      <c r="F68" s="9"/>
      <c r="G68" s="9">
        <v>0</v>
      </c>
      <c r="H68" s="9"/>
      <c r="L68" s="10">
        <f t="shared" si="0"/>
        <v>0</v>
      </c>
    </row>
    <row r="69" spans="2:12" x14ac:dyDescent="0.25">
      <c r="B69" s="8" t="s">
        <v>45</v>
      </c>
      <c r="C69" s="23"/>
      <c r="D69" s="11">
        <f>SUM(D38:D68)</f>
        <v>2650</v>
      </c>
      <c r="E69" s="11">
        <f t="shared" ref="E69:K69" si="2">SUM(E38:E68)</f>
        <v>2649</v>
      </c>
      <c r="F69" s="11">
        <f t="shared" si="2"/>
        <v>2396</v>
      </c>
      <c r="G69" s="11">
        <f t="shared" si="2"/>
        <v>2966</v>
      </c>
      <c r="H69" s="11">
        <f t="shared" si="2"/>
        <v>45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10706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E424-F659-43AA-AD1D-3496F44B765F}">
  <dimension ref="B2:L69"/>
  <sheetViews>
    <sheetView workbookViewId="0">
      <selection activeCell="A2" sqref="A2:XFD3"/>
    </sheetView>
  </sheetViews>
  <sheetFormatPr defaultRowHeight="15" x14ac:dyDescent="0.25"/>
  <cols>
    <col min="2" max="2" width="12.85546875" customWidth="1"/>
    <col min="3" max="3" width="16.285156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88</v>
      </c>
      <c r="C4" s="7" t="s">
        <v>11</v>
      </c>
      <c r="D4" s="9">
        <v>1289.1199999999999</v>
      </c>
      <c r="E4" s="9">
        <v>1363.94</v>
      </c>
      <c r="F4" s="9">
        <v>648.41999999999996</v>
      </c>
      <c r="G4" s="9">
        <v>1326.66</v>
      </c>
      <c r="H4" s="9"/>
      <c r="L4" s="10">
        <f>SUM(D4:K4)</f>
        <v>4628.1400000000003</v>
      </c>
    </row>
    <row r="5" spans="2:12" x14ac:dyDescent="0.25">
      <c r="B5" s="13"/>
      <c r="C5" s="4" t="s">
        <v>87</v>
      </c>
      <c r="D5" s="9"/>
      <c r="E5" s="9">
        <v>-305.5</v>
      </c>
      <c r="F5" s="9"/>
      <c r="G5" s="9"/>
      <c r="H5" s="9"/>
      <c r="L5" s="10">
        <f t="shared" ref="L5:L68" si="0">SUM(D5:K5)</f>
        <v>-305.5</v>
      </c>
    </row>
    <row r="6" spans="2:12" x14ac:dyDescent="0.25">
      <c r="B6" s="13"/>
      <c r="C6" s="4" t="s">
        <v>12</v>
      </c>
      <c r="D6" s="9"/>
      <c r="E6" s="9">
        <v>0</v>
      </c>
      <c r="F6" s="9">
        <v>731.64</v>
      </c>
      <c r="G6" s="9">
        <v>356.07</v>
      </c>
      <c r="H6" s="9"/>
      <c r="L6" s="10">
        <f t="shared" si="0"/>
        <v>1087.71</v>
      </c>
    </row>
    <row r="7" spans="2:12" x14ac:dyDescent="0.25">
      <c r="B7" s="13"/>
      <c r="C7" s="4" t="s">
        <v>38</v>
      </c>
      <c r="D7" s="9"/>
      <c r="E7" s="9"/>
      <c r="F7" s="9">
        <v>213.88</v>
      </c>
      <c r="G7" s="9">
        <v>-644.70000000000005</v>
      </c>
      <c r="H7" s="9"/>
      <c r="L7" s="10">
        <f t="shared" si="0"/>
        <v>-430.82000000000005</v>
      </c>
    </row>
    <row r="8" spans="2:12" x14ac:dyDescent="0.25">
      <c r="B8" s="13"/>
      <c r="C8" s="4" t="s">
        <v>50</v>
      </c>
      <c r="D8" s="9">
        <v>126.49</v>
      </c>
      <c r="E8" s="9"/>
      <c r="F8" s="9"/>
      <c r="G8" s="9">
        <v>374.52</v>
      </c>
      <c r="H8" s="9"/>
      <c r="L8" s="10">
        <f t="shared" si="0"/>
        <v>501.01</v>
      </c>
    </row>
    <row r="9" spans="2:12" x14ac:dyDescent="0.25">
      <c r="B9" s="13"/>
      <c r="C9" s="4" t="s">
        <v>39</v>
      </c>
      <c r="D9" s="9"/>
      <c r="E9" s="9">
        <v>807.56</v>
      </c>
      <c r="F9" s="9">
        <v>198.66</v>
      </c>
      <c r="G9" s="9">
        <v>803.73</v>
      </c>
      <c r="H9" s="9">
        <v>110</v>
      </c>
      <c r="L9" s="10">
        <f t="shared" si="0"/>
        <v>1919.9499999999998</v>
      </c>
    </row>
    <row r="10" spans="2:12" x14ac:dyDescent="0.25">
      <c r="B10" s="13"/>
      <c r="C10" s="4" t="s">
        <v>40</v>
      </c>
      <c r="D10" s="9">
        <v>814.04</v>
      </c>
      <c r="E10" s="9">
        <v>517.07000000000005</v>
      </c>
      <c r="F10" s="9">
        <v>360.54999999999995</v>
      </c>
      <c r="G10" s="9">
        <v>640.02</v>
      </c>
      <c r="H10" s="9"/>
      <c r="L10" s="10">
        <f t="shared" si="0"/>
        <v>2331.6800000000003</v>
      </c>
    </row>
    <row r="11" spans="2:12" x14ac:dyDescent="0.25">
      <c r="B11" s="13"/>
      <c r="C11" s="4" t="s">
        <v>13</v>
      </c>
      <c r="D11" s="9">
        <v>1662.1</v>
      </c>
      <c r="E11" s="9">
        <v>1402.3000000000002</v>
      </c>
      <c r="F11" s="9">
        <v>521.04</v>
      </c>
      <c r="G11" s="9">
        <v>1041.5999999999999</v>
      </c>
      <c r="H11" s="9"/>
      <c r="L11" s="10">
        <f t="shared" si="0"/>
        <v>4627.04</v>
      </c>
    </row>
    <row r="12" spans="2:12" x14ac:dyDescent="0.25">
      <c r="B12" s="13"/>
      <c r="C12" s="4" t="s">
        <v>41</v>
      </c>
      <c r="D12" s="9">
        <v>216.97</v>
      </c>
      <c r="E12" s="9">
        <v>1135.4000000000001</v>
      </c>
      <c r="F12" s="9">
        <v>499.18999999999994</v>
      </c>
      <c r="G12" s="9">
        <v>564.15</v>
      </c>
      <c r="H12" s="9"/>
      <c r="L12" s="10">
        <f t="shared" si="0"/>
        <v>2415.71</v>
      </c>
    </row>
    <row r="13" spans="2:12" x14ac:dyDescent="0.25">
      <c r="B13" s="13"/>
      <c r="C13" s="4" t="s">
        <v>15</v>
      </c>
      <c r="D13" s="9"/>
      <c r="E13" s="9">
        <v>-13114.84</v>
      </c>
      <c r="F13" s="9">
        <v>43433.409999999996</v>
      </c>
      <c r="G13" s="9">
        <v>5225.3500000000004</v>
      </c>
      <c r="H13" s="9">
        <v>-5640.1</v>
      </c>
      <c r="L13" s="10">
        <f t="shared" si="0"/>
        <v>29903.82</v>
      </c>
    </row>
    <row r="14" spans="2:12" x14ac:dyDescent="0.25">
      <c r="B14" s="13"/>
      <c r="C14" s="4" t="s">
        <v>42</v>
      </c>
      <c r="D14" s="9">
        <v>34681.480000000003</v>
      </c>
      <c r="E14" s="9">
        <v>12994.159999999998</v>
      </c>
      <c r="F14" s="9">
        <v>5070.41</v>
      </c>
      <c r="G14" s="9">
        <v>7306.42</v>
      </c>
      <c r="H14" s="9"/>
      <c r="L14" s="10">
        <f t="shared" si="0"/>
        <v>60052.47</v>
      </c>
    </row>
    <row r="15" spans="2:12" x14ac:dyDescent="0.25">
      <c r="B15" s="13"/>
      <c r="C15" s="4" t="s">
        <v>16</v>
      </c>
      <c r="D15" s="9">
        <v>545.41</v>
      </c>
      <c r="E15" s="9">
        <v>610.81000000000006</v>
      </c>
      <c r="F15" s="9">
        <v>489.86</v>
      </c>
      <c r="G15" s="9">
        <v>798.38</v>
      </c>
      <c r="H15" s="9"/>
      <c r="L15" s="10">
        <f t="shared" si="0"/>
        <v>2444.46</v>
      </c>
    </row>
    <row r="16" spans="2:12" x14ac:dyDescent="0.25">
      <c r="B16" s="13"/>
      <c r="C16" s="4" t="s">
        <v>89</v>
      </c>
      <c r="D16" s="9">
        <v>1575.35</v>
      </c>
      <c r="E16" s="9">
        <v>590.08000000000004</v>
      </c>
      <c r="F16" s="9">
        <v>387.13</v>
      </c>
      <c r="G16" s="9">
        <v>786.85</v>
      </c>
      <c r="H16" s="9"/>
      <c r="L16" s="10">
        <f t="shared" si="0"/>
        <v>3339.41</v>
      </c>
    </row>
    <row r="17" spans="2:12" x14ac:dyDescent="0.25">
      <c r="B17" s="13"/>
      <c r="C17" s="4" t="s">
        <v>17</v>
      </c>
      <c r="D17" s="9">
        <v>965.11</v>
      </c>
      <c r="E17" s="9">
        <v>441.07000000000005</v>
      </c>
      <c r="F17" s="9"/>
      <c r="G17" s="9">
        <v>819.88000000000011</v>
      </c>
      <c r="H17" s="9"/>
      <c r="L17" s="10">
        <f t="shared" si="0"/>
        <v>2226.0600000000004</v>
      </c>
    </row>
    <row r="18" spans="2:12" x14ac:dyDescent="0.25">
      <c r="B18" s="13"/>
      <c r="C18" s="4" t="s">
        <v>18</v>
      </c>
      <c r="D18" s="9">
        <v>1831.5900000000001</v>
      </c>
      <c r="E18" s="9">
        <v>845.70999999999992</v>
      </c>
      <c r="F18" s="9">
        <v>1091.4299999999998</v>
      </c>
      <c r="G18" s="9">
        <v>1300.69</v>
      </c>
      <c r="H18" s="9"/>
      <c r="L18" s="10">
        <f t="shared" si="0"/>
        <v>5069.42</v>
      </c>
    </row>
    <row r="19" spans="2:12" x14ac:dyDescent="0.25">
      <c r="B19" s="13"/>
      <c r="C19" s="4" t="s">
        <v>19</v>
      </c>
      <c r="D19" s="9">
        <v>583.21</v>
      </c>
      <c r="E19" s="9">
        <v>777.54</v>
      </c>
      <c r="F19" s="9">
        <v>629.76</v>
      </c>
      <c r="G19" s="9">
        <v>1462.8400000000001</v>
      </c>
      <c r="H19" s="9"/>
      <c r="L19" s="10">
        <f t="shared" si="0"/>
        <v>3453.3500000000004</v>
      </c>
    </row>
    <row r="20" spans="2:12" x14ac:dyDescent="0.25">
      <c r="B20" s="13"/>
      <c r="C20" s="4" t="s">
        <v>20</v>
      </c>
      <c r="D20" s="9">
        <v>2333.61</v>
      </c>
      <c r="E20" s="9">
        <v>1376.9099999999999</v>
      </c>
      <c r="F20" s="9">
        <v>836.58999999999992</v>
      </c>
      <c r="G20" s="9">
        <v>1969.15</v>
      </c>
      <c r="H20" s="9"/>
      <c r="L20" s="10">
        <f t="shared" si="0"/>
        <v>6516.26</v>
      </c>
    </row>
    <row r="21" spans="2:12" x14ac:dyDescent="0.25">
      <c r="B21" s="13"/>
      <c r="C21" s="4" t="s">
        <v>21</v>
      </c>
      <c r="D21" s="9">
        <v>7575.7099999999991</v>
      </c>
      <c r="E21" s="9">
        <v>10428.27</v>
      </c>
      <c r="F21" s="9">
        <v>10090.290000000001</v>
      </c>
      <c r="G21" s="9">
        <v>11372.820000000002</v>
      </c>
      <c r="H21" s="9">
        <v>640.01</v>
      </c>
      <c r="L21" s="10">
        <f t="shared" si="0"/>
        <v>40107.100000000006</v>
      </c>
    </row>
    <row r="22" spans="2:12" x14ac:dyDescent="0.25">
      <c r="B22" s="13"/>
      <c r="C22" s="4" t="s">
        <v>22</v>
      </c>
      <c r="D22" s="9">
        <v>160880.92000000001</v>
      </c>
      <c r="E22" s="9">
        <v>14053.1</v>
      </c>
      <c r="F22" s="9"/>
      <c r="G22" s="9">
        <v>4773.76</v>
      </c>
      <c r="H22" s="9">
        <v>9449.91</v>
      </c>
      <c r="L22" s="10">
        <f t="shared" si="0"/>
        <v>189157.69000000003</v>
      </c>
    </row>
    <row r="23" spans="2:12" x14ac:dyDescent="0.25">
      <c r="B23" s="13"/>
      <c r="C23" s="4" t="s">
        <v>24</v>
      </c>
      <c r="D23" s="9">
        <v>921.54</v>
      </c>
      <c r="E23" s="9">
        <v>584.6099999999999</v>
      </c>
      <c r="F23" s="9">
        <v>1234.3899999999999</v>
      </c>
      <c r="G23" s="9"/>
      <c r="H23" s="9"/>
      <c r="L23" s="10">
        <f t="shared" si="0"/>
        <v>2740.54</v>
      </c>
    </row>
    <row r="24" spans="2:12" x14ac:dyDescent="0.25">
      <c r="B24" s="13"/>
      <c r="C24" s="4" t="s">
        <v>25</v>
      </c>
      <c r="D24" s="9">
        <v>200.61</v>
      </c>
      <c r="E24" s="9">
        <v>361.88</v>
      </c>
      <c r="F24" s="9">
        <v>1563.07</v>
      </c>
      <c r="G24" s="9">
        <v>594.58000000000004</v>
      </c>
      <c r="H24" s="9"/>
      <c r="L24" s="10">
        <f t="shared" si="0"/>
        <v>2720.14</v>
      </c>
    </row>
    <row r="25" spans="2:12" x14ac:dyDescent="0.25">
      <c r="B25" s="13"/>
      <c r="C25" s="4" t="s">
        <v>26</v>
      </c>
      <c r="D25" s="9">
        <v>3212.63</v>
      </c>
      <c r="E25" s="9">
        <v>2876.1600000000003</v>
      </c>
      <c r="F25" s="9">
        <v>1970.13</v>
      </c>
      <c r="G25" s="9">
        <v>3239.5699999999997</v>
      </c>
      <c r="H25" s="9"/>
      <c r="L25" s="10">
        <f t="shared" si="0"/>
        <v>11298.490000000002</v>
      </c>
    </row>
    <row r="26" spans="2:12" x14ac:dyDescent="0.25">
      <c r="B26" s="13"/>
      <c r="C26" s="4" t="s">
        <v>27</v>
      </c>
      <c r="D26" s="9">
        <v>560.79</v>
      </c>
      <c r="E26" s="9">
        <v>799.94</v>
      </c>
      <c r="F26" s="9">
        <v>541.44000000000005</v>
      </c>
      <c r="G26" s="9">
        <v>743.22</v>
      </c>
      <c r="H26" s="9"/>
      <c r="L26" s="10">
        <f t="shared" si="0"/>
        <v>2645.3900000000003</v>
      </c>
    </row>
    <row r="27" spans="2:12" x14ac:dyDescent="0.25">
      <c r="B27" s="13"/>
      <c r="C27" s="4" t="s">
        <v>28</v>
      </c>
      <c r="D27" s="9">
        <v>2280.98</v>
      </c>
      <c r="E27" s="9">
        <v>2405.5700000000002</v>
      </c>
      <c r="F27" s="9">
        <v>1327.9099999999999</v>
      </c>
      <c r="G27" s="9">
        <v>2068.7799999999997</v>
      </c>
      <c r="H27" s="9"/>
      <c r="L27" s="10">
        <f t="shared" si="0"/>
        <v>8083.24</v>
      </c>
    </row>
    <row r="28" spans="2:12" x14ac:dyDescent="0.25">
      <c r="B28" s="13"/>
      <c r="C28" s="4" t="s">
        <v>29</v>
      </c>
      <c r="D28" s="9">
        <v>10546.71</v>
      </c>
      <c r="E28" s="9">
        <v>3197.75</v>
      </c>
      <c r="F28" s="9">
        <v>7686.17</v>
      </c>
      <c r="G28" s="9">
        <v>4103.92</v>
      </c>
      <c r="H28" s="9"/>
      <c r="L28" s="10">
        <f t="shared" si="0"/>
        <v>25534.549999999996</v>
      </c>
    </row>
    <row r="29" spans="2:12" x14ac:dyDescent="0.25">
      <c r="B29" s="13"/>
      <c r="C29" s="4" t="s">
        <v>43</v>
      </c>
      <c r="D29" s="9">
        <v>11094.4</v>
      </c>
      <c r="E29" s="9">
        <v>124.49</v>
      </c>
      <c r="F29" s="9"/>
      <c r="G29" s="9">
        <v>250.61</v>
      </c>
      <c r="H29" s="9"/>
      <c r="L29" s="10">
        <f t="shared" si="0"/>
        <v>11469.5</v>
      </c>
    </row>
    <row r="30" spans="2:12" x14ac:dyDescent="0.25">
      <c r="B30" s="13"/>
      <c r="C30" s="4" t="s">
        <v>30</v>
      </c>
      <c r="D30" s="9">
        <v>582.91999999999996</v>
      </c>
      <c r="E30" s="9">
        <v>188.74</v>
      </c>
      <c r="F30" s="9">
        <v>833.49</v>
      </c>
      <c r="G30" s="9">
        <v>207.56</v>
      </c>
      <c r="H30" s="9"/>
      <c r="L30" s="10">
        <f t="shared" si="0"/>
        <v>1812.71</v>
      </c>
    </row>
    <row r="31" spans="2:12" x14ac:dyDescent="0.25">
      <c r="B31" s="13"/>
      <c r="C31" s="4" t="s">
        <v>31</v>
      </c>
      <c r="D31" s="9">
        <v>7977.84</v>
      </c>
      <c r="E31" s="9">
        <v>5433.4</v>
      </c>
      <c r="F31" s="9">
        <v>841.46</v>
      </c>
      <c r="G31" s="9">
        <v>8692.9</v>
      </c>
      <c r="H31" s="9"/>
      <c r="L31" s="10">
        <f t="shared" si="0"/>
        <v>22945.599999999999</v>
      </c>
    </row>
    <row r="32" spans="2:12" x14ac:dyDescent="0.25">
      <c r="B32" s="13"/>
      <c r="C32" s="4" t="s">
        <v>32</v>
      </c>
      <c r="D32" s="9">
        <v>1607.71</v>
      </c>
      <c r="E32" s="9">
        <v>13860.99</v>
      </c>
      <c r="F32" s="9"/>
      <c r="G32" s="9"/>
      <c r="H32" s="9"/>
      <c r="L32" s="10">
        <f t="shared" si="0"/>
        <v>15468.7</v>
      </c>
    </row>
    <row r="33" spans="2:12" x14ac:dyDescent="0.25">
      <c r="B33" s="13"/>
      <c r="C33" s="4" t="s">
        <v>68</v>
      </c>
      <c r="D33" s="9">
        <v>-1030.4399999999998</v>
      </c>
      <c r="E33" s="9">
        <v>2539.81</v>
      </c>
      <c r="F33" s="9">
        <v>1558.5700000000002</v>
      </c>
      <c r="G33" s="9">
        <v>516.92999999999995</v>
      </c>
      <c r="H33" s="9"/>
      <c r="L33" s="10">
        <f t="shared" si="0"/>
        <v>3584.8700000000003</v>
      </c>
    </row>
    <row r="34" spans="2:12" x14ac:dyDescent="0.25">
      <c r="B34" s="13"/>
      <c r="C34" s="4" t="s">
        <v>61</v>
      </c>
      <c r="D34" s="9"/>
      <c r="E34" s="9"/>
      <c r="F34" s="9"/>
      <c r="G34" s="9">
        <v>-32731.250000000004</v>
      </c>
      <c r="H34" s="9"/>
      <c r="L34" s="10">
        <f t="shared" si="0"/>
        <v>-32731.250000000004</v>
      </c>
    </row>
    <row r="35" spans="2:12" x14ac:dyDescent="0.25">
      <c r="B35" s="3" t="s">
        <v>33</v>
      </c>
      <c r="C35" s="6"/>
      <c r="D35" s="11">
        <f>SUM(D4:D34)</f>
        <v>253036.80000000002</v>
      </c>
      <c r="E35" s="11">
        <f t="shared" ref="E35:K35" si="1">SUM(E4:E34)</f>
        <v>66296.92</v>
      </c>
      <c r="F35" s="11">
        <f t="shared" si="1"/>
        <v>82758.890000000029</v>
      </c>
      <c r="G35" s="11">
        <f t="shared" si="1"/>
        <v>27965.01</v>
      </c>
      <c r="H35" s="11">
        <f t="shared" si="1"/>
        <v>4559.82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434617.44000000006</v>
      </c>
    </row>
    <row r="36" spans="2:12" x14ac:dyDescent="0.25">
      <c r="B36" s="13"/>
      <c r="C36" s="4"/>
      <c r="D36" s="9"/>
      <c r="E36" s="9"/>
      <c r="F36" s="9"/>
      <c r="G36" s="9"/>
      <c r="L36" s="10"/>
    </row>
    <row r="37" spans="2:12" x14ac:dyDescent="0.25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25">
      <c r="B38" s="13"/>
      <c r="C38" s="7" t="s">
        <v>11</v>
      </c>
      <c r="D38" s="11">
        <v>2</v>
      </c>
      <c r="E38" s="11">
        <v>2</v>
      </c>
      <c r="F38" s="11">
        <v>1</v>
      </c>
      <c r="G38" s="11">
        <v>2</v>
      </c>
      <c r="H38" s="11"/>
      <c r="L38" s="10">
        <f t="shared" si="0"/>
        <v>7</v>
      </c>
    </row>
    <row r="39" spans="2:12" x14ac:dyDescent="0.25">
      <c r="B39" s="13"/>
      <c r="C39" s="4" t="s">
        <v>87</v>
      </c>
      <c r="D39" s="9"/>
      <c r="E39" s="9">
        <v>-1</v>
      </c>
      <c r="F39" s="9"/>
      <c r="G39" s="9"/>
      <c r="H39" s="9"/>
      <c r="L39" s="10">
        <f t="shared" si="0"/>
        <v>-1</v>
      </c>
    </row>
    <row r="40" spans="2:12" x14ac:dyDescent="0.25">
      <c r="B40" s="13"/>
      <c r="C40" s="4" t="s">
        <v>12</v>
      </c>
      <c r="D40" s="9"/>
      <c r="E40" s="9">
        <v>0</v>
      </c>
      <c r="F40" s="9">
        <v>2</v>
      </c>
      <c r="G40" s="9">
        <v>1</v>
      </c>
      <c r="H40" s="9"/>
      <c r="L40" s="10">
        <f t="shared" si="0"/>
        <v>3</v>
      </c>
    </row>
    <row r="41" spans="2:12" x14ac:dyDescent="0.25">
      <c r="B41" s="13"/>
      <c r="C41" s="4" t="s">
        <v>38</v>
      </c>
      <c r="D41" s="9"/>
      <c r="E41" s="9"/>
      <c r="F41" s="9">
        <v>1</v>
      </c>
      <c r="G41" s="9">
        <v>-3</v>
      </c>
      <c r="H41" s="9"/>
      <c r="L41" s="10">
        <f t="shared" si="0"/>
        <v>-2</v>
      </c>
    </row>
    <row r="42" spans="2:12" x14ac:dyDescent="0.25">
      <c r="B42" s="13"/>
      <c r="C42" s="4" t="s">
        <v>50</v>
      </c>
      <c r="D42" s="9">
        <v>1</v>
      </c>
      <c r="E42" s="9"/>
      <c r="F42" s="9"/>
      <c r="G42" s="9">
        <v>3</v>
      </c>
      <c r="H42" s="9"/>
      <c r="L42" s="10">
        <f t="shared" si="0"/>
        <v>4</v>
      </c>
    </row>
    <row r="43" spans="2:12" x14ac:dyDescent="0.25">
      <c r="B43" s="13"/>
      <c r="C43" s="4" t="s">
        <v>39</v>
      </c>
      <c r="D43" s="9"/>
      <c r="E43" s="9">
        <v>8</v>
      </c>
      <c r="F43" s="9">
        <v>2</v>
      </c>
      <c r="G43" s="9">
        <v>8</v>
      </c>
      <c r="H43" s="9">
        <v>1</v>
      </c>
      <c r="L43" s="10">
        <f t="shared" si="0"/>
        <v>19</v>
      </c>
    </row>
    <row r="44" spans="2:12" x14ac:dyDescent="0.25">
      <c r="B44" s="13"/>
      <c r="C44" s="4" t="s">
        <v>40</v>
      </c>
      <c r="D44" s="9">
        <v>35</v>
      </c>
      <c r="E44" s="9">
        <v>23</v>
      </c>
      <c r="F44" s="9">
        <v>16</v>
      </c>
      <c r="G44" s="9">
        <v>28</v>
      </c>
      <c r="H44" s="9"/>
      <c r="L44" s="10">
        <f t="shared" si="0"/>
        <v>102</v>
      </c>
    </row>
    <row r="45" spans="2:12" x14ac:dyDescent="0.25">
      <c r="B45" s="13"/>
      <c r="C45" s="4" t="s">
        <v>13</v>
      </c>
      <c r="D45" s="9">
        <v>9</v>
      </c>
      <c r="E45" s="9">
        <v>8</v>
      </c>
      <c r="F45" s="9">
        <v>3</v>
      </c>
      <c r="G45" s="9">
        <v>6</v>
      </c>
      <c r="H45" s="9"/>
      <c r="L45" s="10">
        <f t="shared" si="0"/>
        <v>26</v>
      </c>
    </row>
    <row r="46" spans="2:12" x14ac:dyDescent="0.25">
      <c r="B46" s="13"/>
      <c r="C46" s="4" t="s">
        <v>41</v>
      </c>
      <c r="D46" s="9">
        <v>3</v>
      </c>
      <c r="E46" s="9">
        <v>16</v>
      </c>
      <c r="F46" s="9">
        <v>7</v>
      </c>
      <c r="G46" s="9">
        <v>8</v>
      </c>
      <c r="H46" s="9"/>
      <c r="L46" s="10">
        <f t="shared" si="0"/>
        <v>34</v>
      </c>
    </row>
    <row r="47" spans="2:12" x14ac:dyDescent="0.25">
      <c r="B47" s="13"/>
      <c r="C47" s="4" t="s">
        <v>15</v>
      </c>
      <c r="D47" s="9"/>
      <c r="E47" s="9">
        <v>-60</v>
      </c>
      <c r="F47" s="9">
        <v>199</v>
      </c>
      <c r="G47" s="9">
        <v>24</v>
      </c>
      <c r="H47" s="9">
        <v>-24</v>
      </c>
      <c r="L47" s="10">
        <f t="shared" si="0"/>
        <v>139</v>
      </c>
    </row>
    <row r="48" spans="2:12" x14ac:dyDescent="0.25">
      <c r="B48" s="13"/>
      <c r="C48" s="4" t="s">
        <v>42</v>
      </c>
      <c r="D48" s="9">
        <v>77</v>
      </c>
      <c r="E48" s="9">
        <v>29</v>
      </c>
      <c r="F48" s="9">
        <v>11</v>
      </c>
      <c r="G48" s="9">
        <v>16</v>
      </c>
      <c r="H48" s="9"/>
      <c r="L48" s="10">
        <f t="shared" si="0"/>
        <v>133</v>
      </c>
    </row>
    <row r="49" spans="2:12" x14ac:dyDescent="0.25">
      <c r="B49" s="13"/>
      <c r="C49" s="4" t="s">
        <v>16</v>
      </c>
      <c r="D49" s="9">
        <v>4</v>
      </c>
      <c r="E49" s="9">
        <v>7</v>
      </c>
      <c r="F49" s="9">
        <v>5</v>
      </c>
      <c r="G49" s="9">
        <v>7</v>
      </c>
      <c r="H49" s="9"/>
      <c r="L49" s="10">
        <f t="shared" si="0"/>
        <v>23</v>
      </c>
    </row>
    <row r="50" spans="2:12" x14ac:dyDescent="0.25">
      <c r="B50" s="13"/>
      <c r="C50" s="4" t="s">
        <v>89</v>
      </c>
      <c r="D50" s="9">
        <v>8</v>
      </c>
      <c r="E50" s="9">
        <v>3</v>
      </c>
      <c r="F50" s="9">
        <v>2</v>
      </c>
      <c r="G50" s="9">
        <v>4</v>
      </c>
      <c r="H50" s="9"/>
      <c r="L50" s="10">
        <f t="shared" si="0"/>
        <v>17</v>
      </c>
    </row>
    <row r="51" spans="2:12" x14ac:dyDescent="0.25">
      <c r="B51" s="13"/>
      <c r="C51" s="4" t="s">
        <v>17</v>
      </c>
      <c r="D51" s="9">
        <v>5</v>
      </c>
      <c r="E51" s="9">
        <v>2</v>
      </c>
      <c r="F51" s="9"/>
      <c r="G51" s="9">
        <v>4</v>
      </c>
      <c r="H51" s="9"/>
      <c r="L51" s="10">
        <f t="shared" si="0"/>
        <v>11</v>
      </c>
    </row>
    <row r="52" spans="2:12" x14ac:dyDescent="0.25">
      <c r="B52" s="13"/>
      <c r="C52" s="4" t="s">
        <v>18</v>
      </c>
      <c r="D52" s="9">
        <v>9</v>
      </c>
      <c r="E52" s="9">
        <v>4</v>
      </c>
      <c r="F52" s="9">
        <v>5</v>
      </c>
      <c r="G52" s="9">
        <v>6</v>
      </c>
      <c r="H52" s="9"/>
      <c r="L52" s="10">
        <f t="shared" si="0"/>
        <v>24</v>
      </c>
    </row>
    <row r="53" spans="2:12" x14ac:dyDescent="0.25">
      <c r="B53" s="13"/>
      <c r="C53" s="4" t="s">
        <v>19</v>
      </c>
      <c r="D53" s="9">
        <v>3</v>
      </c>
      <c r="E53" s="9">
        <v>4</v>
      </c>
      <c r="F53" s="9">
        <v>3</v>
      </c>
      <c r="G53" s="9">
        <v>7</v>
      </c>
      <c r="H53" s="9"/>
      <c r="L53" s="10">
        <f t="shared" si="0"/>
        <v>17</v>
      </c>
    </row>
    <row r="54" spans="2:12" x14ac:dyDescent="0.25">
      <c r="B54" s="13"/>
      <c r="C54" s="4" t="s">
        <v>20</v>
      </c>
      <c r="D54" s="9">
        <v>12</v>
      </c>
      <c r="E54" s="9">
        <v>7</v>
      </c>
      <c r="F54" s="9">
        <v>4</v>
      </c>
      <c r="G54" s="9">
        <v>10</v>
      </c>
      <c r="H54" s="9"/>
      <c r="L54" s="10">
        <f t="shared" si="0"/>
        <v>33</v>
      </c>
    </row>
    <row r="55" spans="2:12" x14ac:dyDescent="0.25">
      <c r="B55" s="13"/>
      <c r="C55" s="4" t="s">
        <v>21</v>
      </c>
      <c r="D55" s="9">
        <v>27</v>
      </c>
      <c r="E55" s="9">
        <v>37</v>
      </c>
      <c r="F55" s="9">
        <v>34</v>
      </c>
      <c r="G55" s="9">
        <v>39</v>
      </c>
      <c r="H55" s="9">
        <v>2</v>
      </c>
      <c r="L55" s="10">
        <f t="shared" si="0"/>
        <v>139</v>
      </c>
    </row>
    <row r="56" spans="2:12" x14ac:dyDescent="0.25">
      <c r="B56" s="13"/>
      <c r="C56" s="4" t="s">
        <v>22</v>
      </c>
      <c r="D56" s="9">
        <v>524</v>
      </c>
      <c r="E56" s="9">
        <v>46</v>
      </c>
      <c r="F56" s="9"/>
      <c r="G56" s="9">
        <v>15</v>
      </c>
      <c r="H56" s="9">
        <v>27</v>
      </c>
      <c r="L56" s="10">
        <f t="shared" si="0"/>
        <v>612</v>
      </c>
    </row>
    <row r="57" spans="2:12" x14ac:dyDescent="0.25">
      <c r="B57" s="13"/>
      <c r="C57" s="4" t="s">
        <v>24</v>
      </c>
      <c r="D57" s="9">
        <v>3</v>
      </c>
      <c r="E57" s="9">
        <v>2</v>
      </c>
      <c r="F57" s="9">
        <v>4</v>
      </c>
      <c r="G57" s="9"/>
      <c r="H57" s="9"/>
      <c r="L57" s="10">
        <f t="shared" si="0"/>
        <v>9</v>
      </c>
    </row>
    <row r="58" spans="2:12" x14ac:dyDescent="0.25">
      <c r="B58" s="13"/>
      <c r="C58" s="4" t="s">
        <v>25</v>
      </c>
      <c r="D58" s="9">
        <v>1</v>
      </c>
      <c r="E58" s="9">
        <v>2</v>
      </c>
      <c r="F58" s="9">
        <v>8</v>
      </c>
      <c r="G58" s="9">
        <v>3</v>
      </c>
      <c r="H58" s="9"/>
      <c r="L58" s="10">
        <f t="shared" si="0"/>
        <v>14</v>
      </c>
    </row>
    <row r="59" spans="2:12" x14ac:dyDescent="0.25">
      <c r="B59" s="13"/>
      <c r="C59" s="4" t="s">
        <v>26</v>
      </c>
      <c r="D59" s="9">
        <v>80</v>
      </c>
      <c r="E59" s="9">
        <v>86</v>
      </c>
      <c r="F59" s="9">
        <v>68</v>
      </c>
      <c r="G59" s="9">
        <v>90</v>
      </c>
      <c r="H59" s="9"/>
      <c r="L59" s="10">
        <f t="shared" si="0"/>
        <v>324</v>
      </c>
    </row>
    <row r="60" spans="2:12" x14ac:dyDescent="0.25">
      <c r="B60" s="13"/>
      <c r="C60" s="4" t="s">
        <v>27</v>
      </c>
      <c r="D60" s="9">
        <v>10</v>
      </c>
      <c r="E60" s="9">
        <v>19</v>
      </c>
      <c r="F60" s="9">
        <v>10</v>
      </c>
      <c r="G60" s="9">
        <v>13</v>
      </c>
      <c r="H60" s="9"/>
      <c r="L60" s="10">
        <f t="shared" si="0"/>
        <v>52</v>
      </c>
    </row>
    <row r="61" spans="2:12" x14ac:dyDescent="0.25">
      <c r="B61" s="13"/>
      <c r="C61" s="4" t="s">
        <v>28</v>
      </c>
      <c r="D61" s="9">
        <v>11</v>
      </c>
      <c r="E61" s="9">
        <v>14</v>
      </c>
      <c r="F61" s="9">
        <v>7</v>
      </c>
      <c r="G61" s="9">
        <v>10</v>
      </c>
      <c r="H61" s="9"/>
      <c r="L61" s="10">
        <f t="shared" si="0"/>
        <v>42</v>
      </c>
    </row>
    <row r="62" spans="2:12" x14ac:dyDescent="0.25">
      <c r="B62" s="13"/>
      <c r="C62" s="4" t="s">
        <v>29</v>
      </c>
      <c r="D62" s="9">
        <v>50</v>
      </c>
      <c r="E62" s="9">
        <v>15</v>
      </c>
      <c r="F62" s="9">
        <v>33</v>
      </c>
      <c r="G62" s="9">
        <v>18</v>
      </c>
      <c r="H62" s="9"/>
      <c r="L62" s="10">
        <f t="shared" si="0"/>
        <v>116</v>
      </c>
    </row>
    <row r="63" spans="2:12" x14ac:dyDescent="0.25">
      <c r="B63" s="13"/>
      <c r="C63" s="4" t="s">
        <v>43</v>
      </c>
      <c r="D63" s="9">
        <v>95</v>
      </c>
      <c r="E63" s="9">
        <v>1</v>
      </c>
      <c r="F63" s="9"/>
      <c r="G63" s="9">
        <v>2</v>
      </c>
      <c r="H63" s="9"/>
      <c r="L63" s="10">
        <f t="shared" si="0"/>
        <v>98</v>
      </c>
    </row>
    <row r="64" spans="2:12" x14ac:dyDescent="0.25">
      <c r="B64" s="13"/>
      <c r="C64" s="4" t="s">
        <v>30</v>
      </c>
      <c r="D64" s="9">
        <v>3</v>
      </c>
      <c r="E64" s="9">
        <v>1</v>
      </c>
      <c r="F64" s="9">
        <v>4</v>
      </c>
      <c r="G64" s="9">
        <v>1</v>
      </c>
      <c r="H64" s="9"/>
      <c r="L64" s="10">
        <f t="shared" si="0"/>
        <v>9</v>
      </c>
    </row>
    <row r="65" spans="2:12" x14ac:dyDescent="0.25">
      <c r="B65" s="13"/>
      <c r="C65" s="4" t="s">
        <v>31</v>
      </c>
      <c r="D65" s="9">
        <v>133</v>
      </c>
      <c r="E65" s="9">
        <v>128</v>
      </c>
      <c r="F65" s="9">
        <v>20</v>
      </c>
      <c r="G65" s="9">
        <v>182</v>
      </c>
      <c r="H65" s="9"/>
      <c r="L65" s="10">
        <f t="shared" si="0"/>
        <v>463</v>
      </c>
    </row>
    <row r="66" spans="2:12" x14ac:dyDescent="0.25">
      <c r="B66" s="13"/>
      <c r="C66" s="4" t="s">
        <v>32</v>
      </c>
      <c r="D66" s="9">
        <v>24</v>
      </c>
      <c r="E66" s="9">
        <v>239</v>
      </c>
      <c r="F66" s="9"/>
      <c r="G66" s="9"/>
      <c r="H66" s="9"/>
      <c r="L66" s="10">
        <f t="shared" si="0"/>
        <v>263</v>
      </c>
    </row>
    <row r="67" spans="2:12" x14ac:dyDescent="0.25">
      <c r="B67" s="13"/>
      <c r="C67" s="4" t="s">
        <v>68</v>
      </c>
      <c r="D67" s="9">
        <v>-2</v>
      </c>
      <c r="E67" s="9">
        <v>5</v>
      </c>
      <c r="F67" s="9">
        <v>3</v>
      </c>
      <c r="G67" s="9">
        <v>1</v>
      </c>
      <c r="H67" s="9"/>
      <c r="L67" s="10">
        <f t="shared" si="0"/>
        <v>7</v>
      </c>
    </row>
    <row r="68" spans="2:12" x14ac:dyDescent="0.25">
      <c r="B68" s="13"/>
      <c r="C68" s="4" t="s">
        <v>61</v>
      </c>
      <c r="D68" s="9"/>
      <c r="E68" s="9"/>
      <c r="F68" s="9"/>
      <c r="G68" s="9">
        <v>0</v>
      </c>
      <c r="H68" s="9"/>
      <c r="L68" s="10">
        <f t="shared" si="0"/>
        <v>0</v>
      </c>
    </row>
    <row r="69" spans="2:12" x14ac:dyDescent="0.25">
      <c r="B69" s="8" t="s">
        <v>45</v>
      </c>
      <c r="C69" s="23"/>
      <c r="D69" s="11">
        <f>SUM(D38:D68)</f>
        <v>1127</v>
      </c>
      <c r="E69" s="11">
        <f t="shared" ref="E69:K69" si="2">SUM(E38:E68)</f>
        <v>647</v>
      </c>
      <c r="F69" s="11">
        <f t="shared" si="2"/>
        <v>452</v>
      </c>
      <c r="G69" s="11">
        <f t="shared" si="2"/>
        <v>505</v>
      </c>
      <c r="H69" s="11">
        <f t="shared" si="2"/>
        <v>6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2737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53C5-D07C-4F91-B9AD-E366998AA462}">
  <dimension ref="B2:L59"/>
  <sheetViews>
    <sheetView topLeftCell="B46" workbookViewId="0">
      <selection activeCell="B2" sqref="A2:XFD3"/>
    </sheetView>
  </sheetViews>
  <sheetFormatPr defaultRowHeight="15" x14ac:dyDescent="0.25"/>
  <cols>
    <col min="2" max="2" width="14.28515625" customWidth="1"/>
    <col min="3" max="3" width="21.42578125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90</v>
      </c>
      <c r="C4" s="7" t="s">
        <v>91</v>
      </c>
      <c r="D4" s="9"/>
      <c r="E4" s="9"/>
      <c r="F4" s="9">
        <v>803.92</v>
      </c>
      <c r="G4" s="9"/>
      <c r="H4" s="9"/>
      <c r="L4" s="10">
        <f>SUM(D4:K4)</f>
        <v>803.92</v>
      </c>
    </row>
    <row r="5" spans="2:12" x14ac:dyDescent="0.25">
      <c r="B5" s="13"/>
      <c r="C5" s="4" t="s">
        <v>12</v>
      </c>
      <c r="D5" s="9">
        <v>355.6</v>
      </c>
      <c r="E5" s="9">
        <v>343.1</v>
      </c>
      <c r="F5" s="9"/>
      <c r="G5" s="9">
        <v>770.9</v>
      </c>
      <c r="H5" s="9"/>
      <c r="L5" s="10">
        <f t="shared" ref="L5:L58" si="0">SUM(D5:K5)</f>
        <v>1469.6</v>
      </c>
    </row>
    <row r="6" spans="2:12" x14ac:dyDescent="0.25">
      <c r="B6" s="13"/>
      <c r="C6" s="4" t="s">
        <v>50</v>
      </c>
      <c r="D6" s="9"/>
      <c r="E6" s="9">
        <v>252.44</v>
      </c>
      <c r="F6" s="9"/>
      <c r="G6" s="9"/>
      <c r="H6" s="9"/>
      <c r="L6" s="10">
        <f t="shared" si="0"/>
        <v>252.44</v>
      </c>
    </row>
    <row r="7" spans="2:12" x14ac:dyDescent="0.25">
      <c r="B7" s="13"/>
      <c r="C7" s="4" t="s">
        <v>39</v>
      </c>
      <c r="D7" s="9"/>
      <c r="E7" s="9">
        <v>194.94</v>
      </c>
      <c r="F7" s="9"/>
      <c r="G7" s="9">
        <v>121.76</v>
      </c>
      <c r="H7" s="9"/>
      <c r="L7" s="10">
        <f t="shared" si="0"/>
        <v>316.7</v>
      </c>
    </row>
    <row r="8" spans="2:12" x14ac:dyDescent="0.25">
      <c r="B8" s="13"/>
      <c r="C8" s="4" t="s">
        <v>40</v>
      </c>
      <c r="D8" s="9">
        <v>187.78</v>
      </c>
      <c r="E8" s="9">
        <v>485.12</v>
      </c>
      <c r="F8" s="9">
        <v>371.81</v>
      </c>
      <c r="G8" s="9">
        <v>353.21999999999997</v>
      </c>
      <c r="H8" s="9">
        <v>175.47</v>
      </c>
      <c r="L8" s="10">
        <f t="shared" si="0"/>
        <v>1573.4</v>
      </c>
    </row>
    <row r="9" spans="2:12" x14ac:dyDescent="0.25">
      <c r="B9" s="13"/>
      <c r="C9" s="4" t="s">
        <v>13</v>
      </c>
      <c r="D9" s="9">
        <v>4538.0200000000004</v>
      </c>
      <c r="E9" s="9">
        <v>1393.05</v>
      </c>
      <c r="F9" s="9">
        <v>-26.159999999999997</v>
      </c>
      <c r="G9" s="9">
        <v>558.65</v>
      </c>
      <c r="H9" s="9"/>
      <c r="L9" s="10">
        <f t="shared" si="0"/>
        <v>6463.56</v>
      </c>
    </row>
    <row r="10" spans="2:12" x14ac:dyDescent="0.25">
      <c r="B10" s="13"/>
      <c r="C10" s="4" t="s">
        <v>92</v>
      </c>
      <c r="D10" s="9"/>
      <c r="E10" s="9"/>
      <c r="F10" s="9">
        <v>1085.0899999999999</v>
      </c>
      <c r="G10" s="9"/>
      <c r="H10" s="9"/>
      <c r="L10" s="10">
        <f t="shared" si="0"/>
        <v>1085.0899999999999</v>
      </c>
    </row>
    <row r="11" spans="2:12" x14ac:dyDescent="0.25">
      <c r="B11" s="13"/>
      <c r="C11" s="4" t="s">
        <v>41</v>
      </c>
      <c r="D11" s="9">
        <v>-364.76</v>
      </c>
      <c r="E11" s="9">
        <v>-156.69999999999999</v>
      </c>
      <c r="F11" s="9"/>
      <c r="G11" s="9"/>
      <c r="H11" s="9"/>
      <c r="L11" s="10">
        <f t="shared" si="0"/>
        <v>-521.46</v>
      </c>
    </row>
    <row r="12" spans="2:12" x14ac:dyDescent="0.25">
      <c r="B12" s="13"/>
      <c r="C12" s="4" t="s">
        <v>14</v>
      </c>
      <c r="D12" s="9"/>
      <c r="E12" s="9"/>
      <c r="F12" s="9">
        <v>231.72</v>
      </c>
      <c r="G12" s="9"/>
      <c r="H12" s="9"/>
      <c r="L12" s="10">
        <f t="shared" si="0"/>
        <v>231.72</v>
      </c>
    </row>
    <row r="13" spans="2:12" x14ac:dyDescent="0.25">
      <c r="B13" s="13"/>
      <c r="C13" s="4" t="s">
        <v>15</v>
      </c>
      <c r="D13" s="9">
        <v>1446.0800000000002</v>
      </c>
      <c r="E13" s="9"/>
      <c r="F13" s="9">
        <v>36334.800000000003</v>
      </c>
      <c r="G13" s="9"/>
      <c r="H13" s="9">
        <v>1175.02</v>
      </c>
      <c r="L13" s="10">
        <f t="shared" si="0"/>
        <v>38955.9</v>
      </c>
    </row>
    <row r="14" spans="2:12" x14ac:dyDescent="0.25">
      <c r="B14" s="13"/>
      <c r="C14" s="4" t="s">
        <v>42</v>
      </c>
      <c r="D14" s="9">
        <v>15614.77</v>
      </c>
      <c r="E14" s="9">
        <v>6274.25</v>
      </c>
      <c r="F14" s="9">
        <v>10568.55</v>
      </c>
      <c r="G14" s="9"/>
      <c r="H14" s="9"/>
      <c r="L14" s="10">
        <f t="shared" si="0"/>
        <v>32457.57</v>
      </c>
    </row>
    <row r="15" spans="2:12" x14ac:dyDescent="0.25">
      <c r="B15" s="13"/>
      <c r="C15" s="4" t="s">
        <v>17</v>
      </c>
      <c r="D15" s="9"/>
      <c r="E15" s="9">
        <v>-728.71</v>
      </c>
      <c r="F15" s="9">
        <v>437.8</v>
      </c>
      <c r="G15" s="9">
        <v>-195.99999999999997</v>
      </c>
      <c r="H15" s="9"/>
      <c r="L15" s="10">
        <f t="shared" si="0"/>
        <v>-486.90999999999997</v>
      </c>
    </row>
    <row r="16" spans="2:12" x14ac:dyDescent="0.25">
      <c r="B16" s="13"/>
      <c r="C16" s="4" t="s">
        <v>19</v>
      </c>
      <c r="D16" s="9">
        <v>-334.44000000000005</v>
      </c>
      <c r="E16" s="9">
        <v>-538.65</v>
      </c>
      <c r="F16" s="9">
        <v>437.8</v>
      </c>
      <c r="G16" s="9">
        <v>-88.759999999999991</v>
      </c>
      <c r="H16" s="9"/>
      <c r="L16" s="10">
        <f t="shared" si="0"/>
        <v>-524.04999999999995</v>
      </c>
    </row>
    <row r="17" spans="2:12" x14ac:dyDescent="0.25">
      <c r="B17" s="13"/>
      <c r="C17" s="4" t="s">
        <v>20</v>
      </c>
      <c r="D17" s="9">
        <v>573.72</v>
      </c>
      <c r="E17" s="9">
        <v>189.79</v>
      </c>
      <c r="F17" s="9">
        <v>6319.9699999999993</v>
      </c>
      <c r="G17" s="9">
        <v>-195.99999999999997</v>
      </c>
      <c r="H17" s="9"/>
      <c r="L17" s="10">
        <f t="shared" si="0"/>
        <v>6887.48</v>
      </c>
    </row>
    <row r="18" spans="2:12" x14ac:dyDescent="0.25">
      <c r="B18" s="13"/>
      <c r="C18" s="4" t="s">
        <v>21</v>
      </c>
      <c r="D18" s="9">
        <v>7579.7699999999995</v>
      </c>
      <c r="E18" s="9">
        <v>8538.5299999999988</v>
      </c>
      <c r="F18" s="9">
        <v>2439.9500000000003</v>
      </c>
      <c r="G18" s="9">
        <v>4282.67</v>
      </c>
      <c r="H18" s="9">
        <v>1561.1699999999998</v>
      </c>
      <c r="L18" s="10">
        <f t="shared" si="0"/>
        <v>24402.089999999997</v>
      </c>
    </row>
    <row r="19" spans="2:12" x14ac:dyDescent="0.25">
      <c r="B19" s="13"/>
      <c r="C19" s="4" t="s">
        <v>22</v>
      </c>
      <c r="D19" s="9">
        <v>91862.31</v>
      </c>
      <c r="E19" s="9">
        <v>2433.4</v>
      </c>
      <c r="F19" s="9">
        <v>1687.6</v>
      </c>
      <c r="G19" s="9">
        <v>3318.21</v>
      </c>
      <c r="H19" s="9">
        <v>10809.939999999999</v>
      </c>
      <c r="L19" s="10">
        <f t="shared" si="0"/>
        <v>110111.46</v>
      </c>
    </row>
    <row r="20" spans="2:12" x14ac:dyDescent="0.25">
      <c r="B20" s="13"/>
      <c r="C20" s="4" t="s">
        <v>24</v>
      </c>
      <c r="D20" s="9">
        <v>298.70999999999998</v>
      </c>
      <c r="E20" s="9">
        <v>832.5</v>
      </c>
      <c r="F20" s="9">
        <v>3350.89</v>
      </c>
      <c r="G20" s="9">
        <v>67.31</v>
      </c>
      <c r="H20" s="9"/>
      <c r="L20" s="10">
        <f t="shared" si="0"/>
        <v>4549.4100000000008</v>
      </c>
    </row>
    <row r="21" spans="2:12" x14ac:dyDescent="0.25">
      <c r="B21" s="13"/>
      <c r="C21" s="4" t="s">
        <v>25</v>
      </c>
      <c r="D21" s="9">
        <v>-134.05999999999997</v>
      </c>
      <c r="E21" s="9">
        <v>0.25999999999999091</v>
      </c>
      <c r="F21" s="9">
        <v>2100.71</v>
      </c>
      <c r="G21" s="9">
        <v>1009.88</v>
      </c>
      <c r="H21" s="9"/>
      <c r="L21" s="10">
        <f t="shared" si="0"/>
        <v>2976.79</v>
      </c>
    </row>
    <row r="22" spans="2:12" x14ac:dyDescent="0.25">
      <c r="B22" s="13"/>
      <c r="C22" s="4" t="s">
        <v>26</v>
      </c>
      <c r="D22" s="9"/>
      <c r="E22" s="9">
        <v>337.82</v>
      </c>
      <c r="F22" s="9">
        <v>162.65</v>
      </c>
      <c r="G22" s="9"/>
      <c r="H22" s="9"/>
      <c r="L22" s="10">
        <f t="shared" si="0"/>
        <v>500.47</v>
      </c>
    </row>
    <row r="23" spans="2:12" x14ac:dyDescent="0.25">
      <c r="B23" s="13"/>
      <c r="C23" s="4" t="s">
        <v>29</v>
      </c>
      <c r="D23" s="9">
        <v>8039.5199999999986</v>
      </c>
      <c r="E23" s="9">
        <v>6296.2999999999993</v>
      </c>
      <c r="F23" s="9">
        <v>3034.4700000000003</v>
      </c>
      <c r="G23" s="9">
        <v>3930.3599999999997</v>
      </c>
      <c r="H23" s="9"/>
      <c r="L23" s="10">
        <f t="shared" si="0"/>
        <v>21300.649999999998</v>
      </c>
    </row>
    <row r="24" spans="2:12" x14ac:dyDescent="0.25">
      <c r="B24" s="13"/>
      <c r="C24" s="4" t="s">
        <v>43</v>
      </c>
      <c r="D24" s="9">
        <v>944</v>
      </c>
      <c r="E24" s="9"/>
      <c r="F24" s="9"/>
      <c r="G24" s="9"/>
      <c r="H24" s="9"/>
      <c r="L24" s="10">
        <f t="shared" si="0"/>
        <v>944</v>
      </c>
    </row>
    <row r="25" spans="2:12" x14ac:dyDescent="0.25">
      <c r="B25" s="13"/>
      <c r="C25" s="4" t="s">
        <v>30</v>
      </c>
      <c r="D25" s="9">
        <v>2200.91</v>
      </c>
      <c r="E25" s="9">
        <v>2111.5400000000004</v>
      </c>
      <c r="F25" s="9">
        <v>3050.2900000000004</v>
      </c>
      <c r="G25" s="9">
        <v>3180.18</v>
      </c>
      <c r="H25" s="9"/>
      <c r="L25" s="10">
        <f t="shared" si="0"/>
        <v>10542.920000000002</v>
      </c>
    </row>
    <row r="26" spans="2:12" x14ac:dyDescent="0.25">
      <c r="B26" s="13"/>
      <c r="C26" s="4" t="s">
        <v>31</v>
      </c>
      <c r="D26" s="9"/>
      <c r="E26" s="9">
        <v>216.22</v>
      </c>
      <c r="F26" s="9">
        <v>236.21</v>
      </c>
      <c r="G26" s="9"/>
      <c r="H26" s="9"/>
      <c r="L26" s="10">
        <f t="shared" si="0"/>
        <v>452.43</v>
      </c>
    </row>
    <row r="27" spans="2:12" x14ac:dyDescent="0.25">
      <c r="B27" s="13"/>
      <c r="C27" s="4" t="s">
        <v>32</v>
      </c>
      <c r="D27" s="9">
        <v>2886.83</v>
      </c>
      <c r="E27" s="9">
        <v>1958.6999999999998</v>
      </c>
      <c r="F27" s="9"/>
      <c r="G27" s="9">
        <v>1430.8</v>
      </c>
      <c r="H27" s="9"/>
      <c r="L27" s="10">
        <f t="shared" si="0"/>
        <v>6276.33</v>
      </c>
    </row>
    <row r="28" spans="2:12" x14ac:dyDescent="0.25">
      <c r="B28" s="13"/>
      <c r="C28" s="4" t="s">
        <v>68</v>
      </c>
      <c r="D28" s="9">
        <v>-517.72</v>
      </c>
      <c r="E28" s="9"/>
      <c r="F28" s="9"/>
      <c r="G28" s="9">
        <v>424.1</v>
      </c>
      <c r="H28" s="9"/>
      <c r="L28" s="10">
        <f t="shared" si="0"/>
        <v>-93.62</v>
      </c>
    </row>
    <row r="29" spans="2:12" x14ac:dyDescent="0.25">
      <c r="B29" s="13"/>
      <c r="C29" s="4" t="s">
        <v>61</v>
      </c>
      <c r="D29" s="9"/>
      <c r="E29" s="9"/>
      <c r="F29" s="9"/>
      <c r="G29" s="9">
        <v>-9073.7800000000007</v>
      </c>
      <c r="H29" s="9"/>
      <c r="L29" s="10">
        <f t="shared" si="0"/>
        <v>-9073.7800000000007</v>
      </c>
    </row>
    <row r="30" spans="2:12" x14ac:dyDescent="0.25">
      <c r="B30" s="3" t="s">
        <v>33</v>
      </c>
      <c r="C30" s="6"/>
      <c r="D30" s="11">
        <f>SUM(D4:D29)</f>
        <v>135177.04</v>
      </c>
      <c r="E30" s="11">
        <f t="shared" ref="E30:K30" si="1">SUM(E4:E29)</f>
        <v>30433.9</v>
      </c>
      <c r="F30" s="11">
        <f t="shared" si="1"/>
        <v>72628.069999999992</v>
      </c>
      <c r="G30" s="11">
        <f t="shared" si="1"/>
        <v>9893.4999999999945</v>
      </c>
      <c r="H30" s="11">
        <f t="shared" si="1"/>
        <v>13721.599999999999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10">
        <f>SUM(D30:K30)</f>
        <v>261854.11000000002</v>
      </c>
    </row>
    <row r="31" spans="2:12" x14ac:dyDescent="0.25">
      <c r="B31" s="13"/>
      <c r="C31" s="4"/>
      <c r="D31" s="9"/>
      <c r="E31" s="9"/>
      <c r="F31" s="9"/>
      <c r="G31" s="9"/>
      <c r="L31" s="10"/>
    </row>
    <row r="32" spans="2:12" x14ac:dyDescent="0.25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25">
      <c r="B33" s="13"/>
      <c r="C33" s="7" t="s">
        <v>91</v>
      </c>
      <c r="D33" s="11"/>
      <c r="E33" s="11"/>
      <c r="F33" s="11">
        <v>1</v>
      </c>
      <c r="G33" s="11"/>
      <c r="H33" s="11"/>
      <c r="L33" s="10">
        <f t="shared" si="0"/>
        <v>1</v>
      </c>
    </row>
    <row r="34" spans="2:12" x14ac:dyDescent="0.25">
      <c r="B34" s="13"/>
      <c r="C34" s="4" t="s">
        <v>12</v>
      </c>
      <c r="D34" s="9">
        <v>1</v>
      </c>
      <c r="E34" s="9">
        <v>1</v>
      </c>
      <c r="F34" s="9"/>
      <c r="G34" s="9">
        <v>3</v>
      </c>
      <c r="H34" s="9"/>
      <c r="L34" s="10">
        <f t="shared" si="0"/>
        <v>5</v>
      </c>
    </row>
    <row r="35" spans="2:12" x14ac:dyDescent="0.25">
      <c r="B35" s="13"/>
      <c r="C35" s="4" t="s">
        <v>50</v>
      </c>
      <c r="D35" s="9"/>
      <c r="E35" s="9">
        <v>2</v>
      </c>
      <c r="F35" s="9"/>
      <c r="G35" s="9"/>
      <c r="H35" s="9"/>
      <c r="L35" s="10">
        <f t="shared" si="0"/>
        <v>2</v>
      </c>
    </row>
    <row r="36" spans="2:12" x14ac:dyDescent="0.25">
      <c r="B36" s="13"/>
      <c r="C36" s="4" t="s">
        <v>39</v>
      </c>
      <c r="D36" s="9"/>
      <c r="E36" s="9">
        <v>2</v>
      </c>
      <c r="F36" s="9"/>
      <c r="G36" s="9">
        <v>2</v>
      </c>
      <c r="H36" s="9"/>
      <c r="L36" s="10">
        <f t="shared" si="0"/>
        <v>4</v>
      </c>
    </row>
    <row r="37" spans="2:12" x14ac:dyDescent="0.25">
      <c r="B37" s="13"/>
      <c r="C37" s="4" t="s">
        <v>40</v>
      </c>
      <c r="D37" s="9">
        <v>8</v>
      </c>
      <c r="E37" s="9">
        <v>22</v>
      </c>
      <c r="F37" s="9">
        <v>16</v>
      </c>
      <c r="G37" s="9">
        <v>19</v>
      </c>
      <c r="H37" s="9">
        <v>7</v>
      </c>
      <c r="L37" s="10">
        <f t="shared" si="0"/>
        <v>72</v>
      </c>
    </row>
    <row r="38" spans="2:12" x14ac:dyDescent="0.25">
      <c r="B38" s="13"/>
      <c r="C38" s="4" t="s">
        <v>13</v>
      </c>
      <c r="D38" s="9">
        <v>27</v>
      </c>
      <c r="E38" s="9">
        <v>8</v>
      </c>
      <c r="F38" s="9">
        <v>0</v>
      </c>
      <c r="G38" s="9">
        <v>4</v>
      </c>
      <c r="H38" s="9"/>
      <c r="L38" s="10">
        <f t="shared" si="0"/>
        <v>39</v>
      </c>
    </row>
    <row r="39" spans="2:12" x14ac:dyDescent="0.25">
      <c r="B39" s="13"/>
      <c r="C39" s="4" t="s">
        <v>92</v>
      </c>
      <c r="D39" s="9"/>
      <c r="E39" s="9"/>
      <c r="F39" s="9">
        <v>4</v>
      </c>
      <c r="G39" s="9"/>
      <c r="H39" s="9"/>
      <c r="L39" s="10">
        <f t="shared" si="0"/>
        <v>4</v>
      </c>
    </row>
    <row r="40" spans="2:12" x14ac:dyDescent="0.25">
      <c r="B40" s="13"/>
      <c r="C40" s="4" t="s">
        <v>41</v>
      </c>
      <c r="D40" s="9">
        <v>-5</v>
      </c>
      <c r="E40" s="9">
        <v>-2</v>
      </c>
      <c r="F40" s="9"/>
      <c r="G40" s="9"/>
      <c r="H40" s="9"/>
      <c r="L40" s="10">
        <f t="shared" si="0"/>
        <v>-7</v>
      </c>
    </row>
    <row r="41" spans="2:12" x14ac:dyDescent="0.25">
      <c r="B41" s="13"/>
      <c r="C41" s="4" t="s">
        <v>14</v>
      </c>
      <c r="D41" s="9"/>
      <c r="E41" s="9"/>
      <c r="F41" s="9">
        <v>1</v>
      </c>
      <c r="G41" s="9"/>
      <c r="H41" s="9"/>
      <c r="L41" s="10">
        <f t="shared" si="0"/>
        <v>1</v>
      </c>
    </row>
    <row r="42" spans="2:12" x14ac:dyDescent="0.25">
      <c r="B42" s="13"/>
      <c r="C42" s="4" t="s">
        <v>15</v>
      </c>
      <c r="D42" s="9">
        <v>7</v>
      </c>
      <c r="E42" s="9"/>
      <c r="F42" s="9">
        <v>195</v>
      </c>
      <c r="G42" s="9"/>
      <c r="H42" s="9">
        <v>5</v>
      </c>
      <c r="L42" s="10">
        <f t="shared" si="0"/>
        <v>207</v>
      </c>
    </row>
    <row r="43" spans="2:12" x14ac:dyDescent="0.25">
      <c r="B43" s="13"/>
      <c r="C43" s="4" t="s">
        <v>42</v>
      </c>
      <c r="D43" s="9">
        <v>34</v>
      </c>
      <c r="E43" s="9">
        <v>14</v>
      </c>
      <c r="F43" s="9">
        <v>22</v>
      </c>
      <c r="G43" s="9"/>
      <c r="H43" s="9"/>
      <c r="L43" s="10">
        <f t="shared" si="0"/>
        <v>70</v>
      </c>
    </row>
    <row r="44" spans="2:12" x14ac:dyDescent="0.25">
      <c r="B44" s="13"/>
      <c r="C44" s="4" t="s">
        <v>17</v>
      </c>
      <c r="D44" s="9"/>
      <c r="E44" s="9">
        <v>-4</v>
      </c>
      <c r="F44" s="9">
        <v>2</v>
      </c>
      <c r="G44" s="9">
        <v>-1</v>
      </c>
      <c r="H44" s="9"/>
      <c r="L44" s="10">
        <f t="shared" si="0"/>
        <v>-3</v>
      </c>
    </row>
    <row r="45" spans="2:12" x14ac:dyDescent="0.25">
      <c r="B45" s="13"/>
      <c r="C45" s="4" t="s">
        <v>19</v>
      </c>
      <c r="D45" s="9">
        <v>-2</v>
      </c>
      <c r="E45" s="9">
        <v>-3</v>
      </c>
      <c r="F45" s="9">
        <v>2</v>
      </c>
      <c r="G45" s="9">
        <v>-1</v>
      </c>
      <c r="H45" s="9"/>
      <c r="L45" s="10">
        <f t="shared" si="0"/>
        <v>-4</v>
      </c>
    </row>
    <row r="46" spans="2:12" x14ac:dyDescent="0.25">
      <c r="B46" s="13"/>
      <c r="C46" s="4" t="s">
        <v>20</v>
      </c>
      <c r="D46" s="9">
        <v>3</v>
      </c>
      <c r="E46" s="9">
        <v>1</v>
      </c>
      <c r="F46" s="9">
        <v>54</v>
      </c>
      <c r="G46" s="9">
        <v>-1</v>
      </c>
      <c r="H46" s="9"/>
      <c r="L46" s="10">
        <f t="shared" si="0"/>
        <v>57</v>
      </c>
    </row>
    <row r="47" spans="2:12" x14ac:dyDescent="0.25">
      <c r="B47" s="13"/>
      <c r="C47" s="4" t="s">
        <v>21</v>
      </c>
      <c r="D47" s="9">
        <v>29</v>
      </c>
      <c r="E47" s="9">
        <v>31</v>
      </c>
      <c r="F47" s="9">
        <v>8</v>
      </c>
      <c r="G47" s="9">
        <v>16</v>
      </c>
      <c r="H47" s="9">
        <v>5</v>
      </c>
      <c r="L47" s="10">
        <f t="shared" si="0"/>
        <v>89</v>
      </c>
    </row>
    <row r="48" spans="2:12" x14ac:dyDescent="0.25">
      <c r="B48" s="13"/>
      <c r="C48" s="4" t="s">
        <v>22</v>
      </c>
      <c r="D48" s="9">
        <v>295</v>
      </c>
      <c r="E48" s="9">
        <v>8</v>
      </c>
      <c r="F48" s="9">
        <v>5</v>
      </c>
      <c r="G48" s="9">
        <v>10</v>
      </c>
      <c r="H48" s="9">
        <v>31</v>
      </c>
      <c r="L48" s="10">
        <f t="shared" si="0"/>
        <v>349</v>
      </c>
    </row>
    <row r="49" spans="2:12" x14ac:dyDescent="0.25">
      <c r="B49" s="13"/>
      <c r="C49" s="4" t="s">
        <v>24</v>
      </c>
      <c r="D49" s="9">
        <v>1</v>
      </c>
      <c r="E49" s="9">
        <v>3</v>
      </c>
      <c r="F49" s="9">
        <v>12</v>
      </c>
      <c r="G49" s="9">
        <v>1</v>
      </c>
      <c r="H49" s="9"/>
      <c r="L49" s="10">
        <f t="shared" si="0"/>
        <v>17</v>
      </c>
    </row>
    <row r="50" spans="2:12" x14ac:dyDescent="0.25">
      <c r="B50" s="13"/>
      <c r="C50" s="4" t="s">
        <v>25</v>
      </c>
      <c r="D50" s="9">
        <v>-1</v>
      </c>
      <c r="E50" s="9">
        <v>0</v>
      </c>
      <c r="F50" s="9">
        <v>10</v>
      </c>
      <c r="G50" s="9">
        <v>5</v>
      </c>
      <c r="H50" s="9"/>
      <c r="L50" s="10">
        <f t="shared" si="0"/>
        <v>14</v>
      </c>
    </row>
    <row r="51" spans="2:12" x14ac:dyDescent="0.25">
      <c r="B51" s="13"/>
      <c r="C51" s="4" t="s">
        <v>26</v>
      </c>
      <c r="D51" s="9"/>
      <c r="E51" s="9">
        <v>15</v>
      </c>
      <c r="F51" s="9">
        <v>10</v>
      </c>
      <c r="G51" s="9"/>
      <c r="H51" s="9"/>
      <c r="L51" s="10">
        <f t="shared" si="0"/>
        <v>25</v>
      </c>
    </row>
    <row r="52" spans="2:12" x14ac:dyDescent="0.25">
      <c r="B52" s="13"/>
      <c r="C52" s="4" t="s">
        <v>29</v>
      </c>
      <c r="D52" s="9">
        <v>39</v>
      </c>
      <c r="E52" s="9">
        <v>31</v>
      </c>
      <c r="F52" s="9">
        <v>13</v>
      </c>
      <c r="G52" s="9">
        <v>17</v>
      </c>
      <c r="H52" s="9"/>
      <c r="L52" s="10">
        <f t="shared" si="0"/>
        <v>100</v>
      </c>
    </row>
    <row r="53" spans="2:12" x14ac:dyDescent="0.25">
      <c r="B53" s="13"/>
      <c r="C53" s="4" t="s">
        <v>43</v>
      </c>
      <c r="D53" s="9">
        <v>8</v>
      </c>
      <c r="E53" s="9"/>
      <c r="F53" s="9"/>
      <c r="G53" s="9"/>
      <c r="H53" s="9"/>
      <c r="L53" s="10">
        <f t="shared" si="0"/>
        <v>8</v>
      </c>
    </row>
    <row r="54" spans="2:12" x14ac:dyDescent="0.25">
      <c r="B54" s="13"/>
      <c r="C54" s="4" t="s">
        <v>30</v>
      </c>
      <c r="D54" s="9">
        <v>12</v>
      </c>
      <c r="E54" s="9">
        <v>11</v>
      </c>
      <c r="F54" s="9">
        <v>15</v>
      </c>
      <c r="G54" s="9">
        <v>17</v>
      </c>
      <c r="H54" s="9"/>
      <c r="L54" s="10">
        <f t="shared" si="0"/>
        <v>55</v>
      </c>
    </row>
    <row r="55" spans="2:12" x14ac:dyDescent="0.25">
      <c r="B55" s="13"/>
      <c r="C55" s="4" t="s">
        <v>31</v>
      </c>
      <c r="D55" s="9"/>
      <c r="E55" s="9">
        <v>6</v>
      </c>
      <c r="F55" s="9">
        <v>10</v>
      </c>
      <c r="G55" s="9"/>
      <c r="H55" s="9"/>
      <c r="L55" s="10">
        <f t="shared" si="0"/>
        <v>16</v>
      </c>
    </row>
    <row r="56" spans="2:12" x14ac:dyDescent="0.25">
      <c r="B56" s="13"/>
      <c r="C56" s="4" t="s">
        <v>32</v>
      </c>
      <c r="D56" s="9">
        <v>46</v>
      </c>
      <c r="E56" s="9">
        <v>31</v>
      </c>
      <c r="F56" s="9"/>
      <c r="G56" s="9">
        <v>21</v>
      </c>
      <c r="H56" s="9"/>
      <c r="L56" s="10">
        <f t="shared" si="0"/>
        <v>98</v>
      </c>
    </row>
    <row r="57" spans="2:12" x14ac:dyDescent="0.25">
      <c r="B57" s="13"/>
      <c r="C57" s="4" t="s">
        <v>68</v>
      </c>
      <c r="D57" s="9">
        <v>-1</v>
      </c>
      <c r="E57" s="9"/>
      <c r="F57" s="9"/>
      <c r="G57" s="9">
        <v>1</v>
      </c>
      <c r="H57" s="9"/>
      <c r="L57" s="10">
        <f t="shared" si="0"/>
        <v>0</v>
      </c>
    </row>
    <row r="58" spans="2:12" x14ac:dyDescent="0.25">
      <c r="B58" s="13"/>
      <c r="C58" s="4" t="s">
        <v>61</v>
      </c>
      <c r="D58" s="9"/>
      <c r="E58" s="9"/>
      <c r="F58" s="9"/>
      <c r="G58" s="9">
        <v>0</v>
      </c>
      <c r="H58" s="9"/>
      <c r="L58" s="10">
        <f t="shared" si="0"/>
        <v>0</v>
      </c>
    </row>
    <row r="59" spans="2:12" x14ac:dyDescent="0.25">
      <c r="B59" s="8" t="s">
        <v>45</v>
      </c>
      <c r="C59" s="23"/>
      <c r="D59" s="11">
        <f>SUM(D33:D58)</f>
        <v>501</v>
      </c>
      <c r="E59" s="11">
        <f t="shared" ref="E59:K59" si="2">SUM(E33:E58)</f>
        <v>177</v>
      </c>
      <c r="F59" s="11">
        <f t="shared" si="2"/>
        <v>380</v>
      </c>
      <c r="G59" s="11">
        <f t="shared" si="2"/>
        <v>113</v>
      </c>
      <c r="H59" s="11">
        <f t="shared" si="2"/>
        <v>48</v>
      </c>
      <c r="I59" s="11">
        <f t="shared" si="2"/>
        <v>0</v>
      </c>
      <c r="J59" s="11">
        <f t="shared" si="2"/>
        <v>0</v>
      </c>
      <c r="K59" s="11">
        <f t="shared" si="2"/>
        <v>0</v>
      </c>
      <c r="L59" s="11">
        <f>SUM(D59:K59)</f>
        <v>1219</v>
      </c>
    </row>
  </sheetData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L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E95C-488C-46B8-A6F1-DBB226673117}">
  <dimension ref="B2:L59"/>
  <sheetViews>
    <sheetView topLeftCell="A43" workbookViewId="0">
      <selection activeCell="A59" sqref="A59:XFD59"/>
    </sheetView>
  </sheetViews>
  <sheetFormatPr defaultRowHeight="15" x14ac:dyDescent="0.25"/>
  <cols>
    <col min="2" max="2" width="20" customWidth="1"/>
    <col min="3" max="3" width="16.285156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93</v>
      </c>
      <c r="C4" s="7" t="s">
        <v>11</v>
      </c>
      <c r="D4" s="9"/>
      <c r="E4" s="9">
        <v>-538.02</v>
      </c>
      <c r="F4" s="9"/>
      <c r="G4" s="9"/>
      <c r="H4" s="9"/>
      <c r="L4" s="10">
        <f>SUM(D4:K4)</f>
        <v>-538.02</v>
      </c>
    </row>
    <row r="5" spans="2:12" x14ac:dyDescent="0.25">
      <c r="B5" s="13"/>
      <c r="C5" s="4" t="s">
        <v>39</v>
      </c>
      <c r="D5" s="9"/>
      <c r="E5" s="9">
        <v>101.33</v>
      </c>
      <c r="F5" s="9">
        <v>596.67000000000007</v>
      </c>
      <c r="G5" s="9">
        <v>97.71</v>
      </c>
      <c r="H5" s="9">
        <v>219.99</v>
      </c>
      <c r="L5" s="10">
        <f t="shared" ref="L5:L58" si="0">SUM(D5:K5)</f>
        <v>1015.7000000000002</v>
      </c>
    </row>
    <row r="6" spans="2:12" x14ac:dyDescent="0.25">
      <c r="B6" s="13"/>
      <c r="C6" s="4" t="s">
        <v>40</v>
      </c>
      <c r="D6" s="9">
        <v>457.27</v>
      </c>
      <c r="E6" s="9">
        <v>979.23</v>
      </c>
      <c r="F6" s="9">
        <v>630.91</v>
      </c>
      <c r="G6" s="9">
        <v>536.28000000000009</v>
      </c>
      <c r="H6" s="9">
        <v>199.95</v>
      </c>
      <c r="L6" s="10">
        <f t="shared" si="0"/>
        <v>2803.64</v>
      </c>
    </row>
    <row r="7" spans="2:12" x14ac:dyDescent="0.25">
      <c r="B7" s="13"/>
      <c r="C7" s="4" t="s">
        <v>13</v>
      </c>
      <c r="D7" s="9">
        <v>869.2</v>
      </c>
      <c r="E7" s="9"/>
      <c r="F7" s="9">
        <v>-528.01</v>
      </c>
      <c r="G7" s="9">
        <v>-343.93</v>
      </c>
      <c r="H7" s="9"/>
      <c r="L7" s="10">
        <f t="shared" si="0"/>
        <v>-2.7399999999999523</v>
      </c>
    </row>
    <row r="8" spans="2:12" x14ac:dyDescent="0.25">
      <c r="B8" s="13"/>
      <c r="C8" s="4" t="s">
        <v>41</v>
      </c>
      <c r="D8" s="9">
        <v>-219.62</v>
      </c>
      <c r="E8" s="9"/>
      <c r="F8" s="9"/>
      <c r="G8" s="9"/>
      <c r="H8" s="9"/>
      <c r="L8" s="10">
        <f t="shared" si="0"/>
        <v>-219.62</v>
      </c>
    </row>
    <row r="9" spans="2:12" x14ac:dyDescent="0.25">
      <c r="B9" s="13"/>
      <c r="C9" s="4" t="s">
        <v>15</v>
      </c>
      <c r="D9" s="9"/>
      <c r="E9" s="9"/>
      <c r="F9" s="9">
        <v>4935.2599999999993</v>
      </c>
      <c r="G9" s="9">
        <v>3795.26</v>
      </c>
      <c r="H9" s="9">
        <v>705.01</v>
      </c>
      <c r="L9" s="10">
        <f t="shared" si="0"/>
        <v>9435.5300000000007</v>
      </c>
    </row>
    <row r="10" spans="2:12" x14ac:dyDescent="0.25">
      <c r="B10" s="13"/>
      <c r="C10" s="4" t="s">
        <v>42</v>
      </c>
      <c r="D10" s="9"/>
      <c r="E10" s="9">
        <v>1379.23</v>
      </c>
      <c r="F10" s="9">
        <v>940.54</v>
      </c>
      <c r="G10" s="9"/>
      <c r="H10" s="9"/>
      <c r="L10" s="10">
        <f t="shared" si="0"/>
        <v>2319.77</v>
      </c>
    </row>
    <row r="11" spans="2:12" x14ac:dyDescent="0.25">
      <c r="B11" s="13"/>
      <c r="C11" s="4" t="s">
        <v>16</v>
      </c>
      <c r="D11" s="9">
        <v>513.47</v>
      </c>
      <c r="E11" s="9">
        <v>392.6</v>
      </c>
      <c r="F11" s="9"/>
      <c r="G11" s="9">
        <v>456.53</v>
      </c>
      <c r="H11" s="9"/>
      <c r="L11" s="10">
        <f t="shared" si="0"/>
        <v>1362.6</v>
      </c>
    </row>
    <row r="12" spans="2:12" x14ac:dyDescent="0.25">
      <c r="B12" s="13"/>
      <c r="C12" s="4" t="s">
        <v>89</v>
      </c>
      <c r="D12" s="9"/>
      <c r="E12" s="9"/>
      <c r="F12" s="9"/>
      <c r="G12" s="9">
        <v>-196.58</v>
      </c>
      <c r="H12" s="9"/>
      <c r="L12" s="10">
        <f t="shared" si="0"/>
        <v>-196.58</v>
      </c>
    </row>
    <row r="13" spans="2:12" x14ac:dyDescent="0.25">
      <c r="B13" s="13"/>
      <c r="C13" s="4" t="s">
        <v>17</v>
      </c>
      <c r="D13" s="9">
        <v>588.04999999999995</v>
      </c>
      <c r="E13" s="9">
        <v>1203.33</v>
      </c>
      <c r="F13" s="9">
        <v>-562.36</v>
      </c>
      <c r="G13" s="9">
        <v>652.58999999999992</v>
      </c>
      <c r="H13" s="9"/>
      <c r="L13" s="10">
        <f t="shared" si="0"/>
        <v>1881.61</v>
      </c>
    </row>
    <row r="14" spans="2:12" x14ac:dyDescent="0.25">
      <c r="B14" s="13"/>
      <c r="C14" s="4" t="s">
        <v>19</v>
      </c>
      <c r="D14" s="9"/>
      <c r="E14" s="9">
        <v>782.61</v>
      </c>
      <c r="F14" s="9"/>
      <c r="G14" s="9">
        <v>-193.95</v>
      </c>
      <c r="H14" s="9"/>
      <c r="L14" s="10">
        <f t="shared" si="0"/>
        <v>588.66000000000008</v>
      </c>
    </row>
    <row r="15" spans="2:12" x14ac:dyDescent="0.25">
      <c r="B15" s="13"/>
      <c r="C15" s="4" t="s">
        <v>20</v>
      </c>
      <c r="D15" s="9">
        <v>784.06999999999994</v>
      </c>
      <c r="E15" s="9">
        <v>1810.9900000000002</v>
      </c>
      <c r="F15" s="9">
        <v>427.52</v>
      </c>
      <c r="G15" s="9"/>
      <c r="H15" s="9"/>
      <c r="L15" s="10">
        <f t="shared" si="0"/>
        <v>3022.5800000000004</v>
      </c>
    </row>
    <row r="16" spans="2:12" x14ac:dyDescent="0.25">
      <c r="B16" s="13"/>
      <c r="C16" s="4" t="s">
        <v>21</v>
      </c>
      <c r="D16" s="9">
        <v>4260.59</v>
      </c>
      <c r="E16" s="9">
        <v>3723.21</v>
      </c>
      <c r="F16" s="9">
        <v>1533.62</v>
      </c>
      <c r="G16" s="9">
        <v>3930.92</v>
      </c>
      <c r="H16" s="9">
        <v>4480.07</v>
      </c>
      <c r="L16" s="10">
        <f t="shared" si="0"/>
        <v>17928.41</v>
      </c>
    </row>
    <row r="17" spans="2:12" x14ac:dyDescent="0.25">
      <c r="B17" s="13"/>
      <c r="C17" s="4" t="s">
        <v>22</v>
      </c>
      <c r="D17" s="9">
        <v>56988.44000000001</v>
      </c>
      <c r="E17" s="9">
        <v>1879.4</v>
      </c>
      <c r="F17" s="9">
        <v>2300.08</v>
      </c>
      <c r="G17" s="9">
        <v>327.72</v>
      </c>
      <c r="H17" s="9">
        <v>16039.88</v>
      </c>
      <c r="L17" s="10">
        <f t="shared" si="0"/>
        <v>77535.520000000019</v>
      </c>
    </row>
    <row r="18" spans="2:12" x14ac:dyDescent="0.25">
      <c r="B18" s="13"/>
      <c r="C18" s="4" t="s">
        <v>24</v>
      </c>
      <c r="D18" s="9">
        <v>629.54</v>
      </c>
      <c r="E18" s="9"/>
      <c r="F18" s="9"/>
      <c r="G18" s="9">
        <v>310.39999999999998</v>
      </c>
      <c r="H18" s="9"/>
      <c r="L18" s="10">
        <f t="shared" si="0"/>
        <v>939.93999999999994</v>
      </c>
    </row>
    <row r="19" spans="2:12" x14ac:dyDescent="0.25">
      <c r="B19" s="13"/>
      <c r="C19" s="4" t="s">
        <v>25</v>
      </c>
      <c r="D19" s="9">
        <v>16.449999999999989</v>
      </c>
      <c r="E19" s="9">
        <v>560.25</v>
      </c>
      <c r="F19" s="9">
        <v>-1179.6099999999999</v>
      </c>
      <c r="G19" s="9">
        <v>199.5</v>
      </c>
      <c r="H19" s="9">
        <v>210</v>
      </c>
      <c r="L19" s="10">
        <f t="shared" si="0"/>
        <v>-193.40999999999985</v>
      </c>
    </row>
    <row r="20" spans="2:12" x14ac:dyDescent="0.25">
      <c r="B20" s="13"/>
      <c r="C20" s="4" t="s">
        <v>26</v>
      </c>
      <c r="D20" s="9">
        <v>3972.19</v>
      </c>
      <c r="E20" s="9">
        <v>2262.1799999999998</v>
      </c>
      <c r="F20" s="9">
        <v>1026.71</v>
      </c>
      <c r="G20" s="9">
        <v>1869.75</v>
      </c>
      <c r="H20" s="9"/>
      <c r="L20" s="10">
        <f t="shared" si="0"/>
        <v>9130.83</v>
      </c>
    </row>
    <row r="21" spans="2:12" x14ac:dyDescent="0.25">
      <c r="B21" s="13"/>
      <c r="C21" s="4" t="s">
        <v>27</v>
      </c>
      <c r="D21" s="9">
        <v>1873.62</v>
      </c>
      <c r="E21" s="9">
        <v>1583.61</v>
      </c>
      <c r="F21" s="9">
        <v>461.51</v>
      </c>
      <c r="G21" s="9">
        <v>692.21</v>
      </c>
      <c r="H21" s="9"/>
      <c r="L21" s="10">
        <f t="shared" si="0"/>
        <v>4610.95</v>
      </c>
    </row>
    <row r="22" spans="2:12" x14ac:dyDescent="0.25">
      <c r="B22" s="13"/>
      <c r="C22" s="4" t="s">
        <v>28</v>
      </c>
      <c r="D22" s="9">
        <v>156.56</v>
      </c>
      <c r="E22" s="9"/>
      <c r="F22" s="9"/>
      <c r="G22" s="9">
        <v>167.27</v>
      </c>
      <c r="H22" s="9"/>
      <c r="L22" s="10">
        <f t="shared" si="0"/>
        <v>323.83000000000004</v>
      </c>
    </row>
    <row r="23" spans="2:12" x14ac:dyDescent="0.25">
      <c r="B23" s="13"/>
      <c r="C23" s="4" t="s">
        <v>29</v>
      </c>
      <c r="D23" s="9">
        <v>7719.0500000000011</v>
      </c>
      <c r="E23" s="9">
        <v>5320.78</v>
      </c>
      <c r="F23" s="9">
        <v>1191.3900000000001</v>
      </c>
      <c r="G23" s="9">
        <v>4876.4000000000005</v>
      </c>
      <c r="H23" s="9"/>
      <c r="L23" s="10">
        <f t="shared" si="0"/>
        <v>19107.620000000003</v>
      </c>
    </row>
    <row r="24" spans="2:12" x14ac:dyDescent="0.25">
      <c r="B24" s="13"/>
      <c r="C24" s="4" t="s">
        <v>43</v>
      </c>
      <c r="D24" s="9">
        <v>4053.89</v>
      </c>
      <c r="E24" s="9">
        <v>125.16</v>
      </c>
      <c r="F24" s="9"/>
      <c r="G24" s="9">
        <v>-2121.38</v>
      </c>
      <c r="H24" s="9"/>
      <c r="L24" s="10">
        <f t="shared" si="0"/>
        <v>2057.67</v>
      </c>
    </row>
    <row r="25" spans="2:12" x14ac:dyDescent="0.25">
      <c r="B25" s="13"/>
      <c r="C25" s="4" t="s">
        <v>30</v>
      </c>
      <c r="D25" s="9">
        <v>812.39</v>
      </c>
      <c r="E25" s="9">
        <v>806.69</v>
      </c>
      <c r="F25" s="9">
        <v>409.1</v>
      </c>
      <c r="G25" s="9"/>
      <c r="H25" s="9"/>
      <c r="L25" s="10">
        <f t="shared" si="0"/>
        <v>2028.1799999999998</v>
      </c>
    </row>
    <row r="26" spans="2:12" x14ac:dyDescent="0.25">
      <c r="B26" s="13"/>
      <c r="C26" s="4" t="s">
        <v>31</v>
      </c>
      <c r="D26" s="9">
        <v>4368.93</v>
      </c>
      <c r="E26" s="9">
        <v>2905.37</v>
      </c>
      <c r="F26" s="9">
        <v>3315.85</v>
      </c>
      <c r="G26" s="9">
        <v>5243.03</v>
      </c>
      <c r="H26" s="9"/>
      <c r="L26" s="10">
        <f t="shared" si="0"/>
        <v>15833.18</v>
      </c>
    </row>
    <row r="27" spans="2:12" x14ac:dyDescent="0.25">
      <c r="B27" s="13"/>
      <c r="C27" s="4" t="s">
        <v>32</v>
      </c>
      <c r="D27" s="9">
        <v>178.75</v>
      </c>
      <c r="E27" s="9">
        <v>567.22</v>
      </c>
      <c r="F27" s="9">
        <v>199.66</v>
      </c>
      <c r="G27" s="9">
        <v>638.95000000000005</v>
      </c>
      <c r="H27" s="9"/>
      <c r="L27" s="10">
        <f t="shared" si="0"/>
        <v>1584.58</v>
      </c>
    </row>
    <row r="28" spans="2:12" x14ac:dyDescent="0.25">
      <c r="B28" s="13"/>
      <c r="C28" s="4" t="s">
        <v>68</v>
      </c>
      <c r="D28" s="9">
        <v>488.93</v>
      </c>
      <c r="E28" s="9">
        <v>494.73</v>
      </c>
      <c r="F28" s="9"/>
      <c r="G28" s="9">
        <v>1034.67</v>
      </c>
      <c r="H28" s="9"/>
      <c r="L28" s="10">
        <f t="shared" si="0"/>
        <v>2018.3300000000002</v>
      </c>
    </row>
    <row r="29" spans="2:12" x14ac:dyDescent="0.25">
      <c r="B29" s="13"/>
      <c r="C29" s="4" t="s">
        <v>61</v>
      </c>
      <c r="D29" s="9"/>
      <c r="E29" s="9"/>
      <c r="F29" s="9"/>
      <c r="G29" s="9">
        <v>-9285.031552070679</v>
      </c>
      <c r="H29" s="9"/>
      <c r="L29" s="10">
        <f t="shared" si="0"/>
        <v>-9285.031552070679</v>
      </c>
    </row>
    <row r="30" spans="2:12" x14ac:dyDescent="0.25">
      <c r="B30" s="3" t="s">
        <v>33</v>
      </c>
      <c r="C30" s="6"/>
      <c r="D30" s="11">
        <f>SUM(D4:D29)</f>
        <v>88511.76999999999</v>
      </c>
      <c r="E30" s="11">
        <f t="shared" ref="E30:K30" si="1">SUM(E4:E29)</f>
        <v>26339.899999999998</v>
      </c>
      <c r="F30" s="11">
        <f t="shared" si="1"/>
        <v>15698.839999999998</v>
      </c>
      <c r="G30" s="11">
        <f t="shared" si="1"/>
        <v>12688.31844792932</v>
      </c>
      <c r="H30" s="11">
        <f t="shared" si="1"/>
        <v>21854.899999999998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10">
        <f>SUM(D30:K30)</f>
        <v>165093.72844792929</v>
      </c>
    </row>
    <row r="31" spans="2:12" x14ac:dyDescent="0.25">
      <c r="B31" s="13"/>
      <c r="C31" s="4"/>
      <c r="D31" s="9"/>
      <c r="E31" s="9"/>
      <c r="F31" s="9"/>
      <c r="G31" s="9"/>
      <c r="L31" s="10"/>
    </row>
    <row r="32" spans="2:12" x14ac:dyDescent="0.25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25">
      <c r="B33" s="13"/>
      <c r="C33" s="7" t="s">
        <v>11</v>
      </c>
      <c r="D33" s="11"/>
      <c r="E33" s="11">
        <v>-1</v>
      </c>
      <c r="F33" s="11"/>
      <c r="G33" s="11"/>
      <c r="H33" s="11"/>
      <c r="L33" s="10">
        <f t="shared" si="0"/>
        <v>-1</v>
      </c>
    </row>
    <row r="34" spans="2:12" x14ac:dyDescent="0.25">
      <c r="B34" s="13"/>
      <c r="C34" s="4" t="s">
        <v>39</v>
      </c>
      <c r="D34" s="9"/>
      <c r="E34" s="9">
        <v>1</v>
      </c>
      <c r="F34" s="9">
        <v>6</v>
      </c>
      <c r="G34" s="9">
        <v>1</v>
      </c>
      <c r="H34" s="9">
        <v>2</v>
      </c>
      <c r="L34" s="10">
        <f t="shared" si="0"/>
        <v>10</v>
      </c>
    </row>
    <row r="35" spans="2:12" x14ac:dyDescent="0.25">
      <c r="B35" s="13"/>
      <c r="C35" s="4" t="s">
        <v>40</v>
      </c>
      <c r="D35" s="9">
        <v>20</v>
      </c>
      <c r="E35" s="9">
        <v>43</v>
      </c>
      <c r="F35" s="9">
        <v>28</v>
      </c>
      <c r="G35" s="9">
        <v>24</v>
      </c>
      <c r="H35" s="9">
        <v>8</v>
      </c>
      <c r="L35" s="10">
        <f t="shared" si="0"/>
        <v>123</v>
      </c>
    </row>
    <row r="36" spans="2:12" x14ac:dyDescent="0.25">
      <c r="B36" s="13"/>
      <c r="C36" s="4" t="s">
        <v>13</v>
      </c>
      <c r="D36" s="9">
        <v>5</v>
      </c>
      <c r="E36" s="9"/>
      <c r="F36" s="9">
        <v>-3</v>
      </c>
      <c r="G36" s="9">
        <v>-2</v>
      </c>
      <c r="H36" s="9"/>
      <c r="L36" s="10">
        <f t="shared" si="0"/>
        <v>0</v>
      </c>
    </row>
    <row r="37" spans="2:12" x14ac:dyDescent="0.25">
      <c r="B37" s="13"/>
      <c r="C37" s="4" t="s">
        <v>41</v>
      </c>
      <c r="D37" s="9">
        <v>-3</v>
      </c>
      <c r="E37" s="9"/>
      <c r="F37" s="9"/>
      <c r="G37" s="9"/>
      <c r="H37" s="9"/>
      <c r="L37" s="10">
        <f t="shared" si="0"/>
        <v>-3</v>
      </c>
    </row>
    <row r="38" spans="2:12" x14ac:dyDescent="0.25">
      <c r="B38" s="13"/>
      <c r="C38" s="4" t="s">
        <v>15</v>
      </c>
      <c r="D38" s="9"/>
      <c r="E38" s="9"/>
      <c r="F38" s="9">
        <v>22</v>
      </c>
      <c r="G38" s="9">
        <v>17</v>
      </c>
      <c r="H38" s="9">
        <v>3</v>
      </c>
      <c r="L38" s="10">
        <f t="shared" si="0"/>
        <v>42</v>
      </c>
    </row>
    <row r="39" spans="2:12" x14ac:dyDescent="0.25">
      <c r="B39" s="13"/>
      <c r="C39" s="4" t="s">
        <v>42</v>
      </c>
      <c r="D39" s="9"/>
      <c r="E39" s="9">
        <v>3</v>
      </c>
      <c r="F39" s="9">
        <v>2</v>
      </c>
      <c r="G39" s="9"/>
      <c r="H39" s="9"/>
      <c r="L39" s="10">
        <f t="shared" si="0"/>
        <v>5</v>
      </c>
    </row>
    <row r="40" spans="2:12" x14ac:dyDescent="0.25">
      <c r="B40" s="13"/>
      <c r="C40" s="4" t="s">
        <v>16</v>
      </c>
      <c r="D40" s="9">
        <v>5</v>
      </c>
      <c r="E40" s="9">
        <v>4</v>
      </c>
      <c r="F40" s="9"/>
      <c r="G40" s="9">
        <v>4</v>
      </c>
      <c r="H40" s="9"/>
      <c r="L40" s="10">
        <f t="shared" si="0"/>
        <v>13</v>
      </c>
    </row>
    <row r="41" spans="2:12" x14ac:dyDescent="0.25">
      <c r="B41" s="13"/>
      <c r="C41" s="4" t="s">
        <v>89</v>
      </c>
      <c r="D41" s="9"/>
      <c r="E41" s="9"/>
      <c r="F41" s="9"/>
      <c r="G41" s="9">
        <v>-1</v>
      </c>
      <c r="H41" s="9"/>
      <c r="L41" s="10">
        <f t="shared" si="0"/>
        <v>-1</v>
      </c>
    </row>
    <row r="42" spans="2:12" x14ac:dyDescent="0.25">
      <c r="B42" s="13"/>
      <c r="C42" s="4" t="s">
        <v>17</v>
      </c>
      <c r="D42" s="9">
        <v>3</v>
      </c>
      <c r="E42" s="9">
        <v>6</v>
      </c>
      <c r="F42" s="9">
        <v>-3</v>
      </c>
      <c r="G42" s="9">
        <v>3</v>
      </c>
      <c r="H42" s="9"/>
      <c r="L42" s="10">
        <f t="shared" si="0"/>
        <v>9</v>
      </c>
    </row>
    <row r="43" spans="2:12" x14ac:dyDescent="0.25">
      <c r="B43" s="13"/>
      <c r="C43" s="4" t="s">
        <v>19</v>
      </c>
      <c r="D43" s="9"/>
      <c r="E43" s="9">
        <v>4</v>
      </c>
      <c r="F43" s="9"/>
      <c r="G43" s="9">
        <v>-1</v>
      </c>
      <c r="H43" s="9"/>
      <c r="L43" s="10">
        <f t="shared" si="0"/>
        <v>3</v>
      </c>
    </row>
    <row r="44" spans="2:12" x14ac:dyDescent="0.25">
      <c r="B44" s="13"/>
      <c r="C44" s="4" t="s">
        <v>20</v>
      </c>
      <c r="D44" s="9">
        <v>4</v>
      </c>
      <c r="E44" s="9">
        <v>9</v>
      </c>
      <c r="F44" s="9">
        <v>2</v>
      </c>
      <c r="G44" s="9"/>
      <c r="H44" s="9"/>
      <c r="L44" s="10">
        <f t="shared" si="0"/>
        <v>15</v>
      </c>
    </row>
    <row r="45" spans="2:12" x14ac:dyDescent="0.25">
      <c r="B45" s="13"/>
      <c r="C45" s="4" t="s">
        <v>21</v>
      </c>
      <c r="D45" s="9">
        <v>15</v>
      </c>
      <c r="E45" s="9">
        <v>13</v>
      </c>
      <c r="F45" s="9">
        <v>5</v>
      </c>
      <c r="G45" s="9">
        <v>13</v>
      </c>
      <c r="H45" s="9">
        <v>14</v>
      </c>
      <c r="L45" s="10">
        <f t="shared" si="0"/>
        <v>60</v>
      </c>
    </row>
    <row r="46" spans="2:12" x14ac:dyDescent="0.25">
      <c r="B46" s="13"/>
      <c r="C46" s="4" t="s">
        <v>22</v>
      </c>
      <c r="D46" s="9">
        <v>182</v>
      </c>
      <c r="E46" s="9">
        <v>6</v>
      </c>
      <c r="F46" s="9">
        <v>7</v>
      </c>
      <c r="G46" s="9">
        <v>1</v>
      </c>
      <c r="H46" s="9">
        <v>46</v>
      </c>
      <c r="L46" s="10">
        <f t="shared" si="0"/>
        <v>242</v>
      </c>
    </row>
    <row r="47" spans="2:12" x14ac:dyDescent="0.25">
      <c r="B47" s="13"/>
      <c r="C47" s="4" t="s">
        <v>24</v>
      </c>
      <c r="D47" s="9">
        <v>2</v>
      </c>
      <c r="E47" s="9"/>
      <c r="F47" s="9"/>
      <c r="G47" s="9">
        <v>1</v>
      </c>
      <c r="H47" s="9"/>
      <c r="L47" s="10">
        <f t="shared" si="0"/>
        <v>3</v>
      </c>
    </row>
    <row r="48" spans="2:12" x14ac:dyDescent="0.25">
      <c r="B48" s="13"/>
      <c r="C48" s="4" t="s">
        <v>25</v>
      </c>
      <c r="D48" s="9">
        <v>0</v>
      </c>
      <c r="E48" s="9">
        <v>3</v>
      </c>
      <c r="F48" s="9">
        <v>-6</v>
      </c>
      <c r="G48" s="9">
        <v>1</v>
      </c>
      <c r="H48" s="9">
        <v>1</v>
      </c>
      <c r="L48" s="10">
        <f t="shared" si="0"/>
        <v>-1</v>
      </c>
    </row>
    <row r="49" spans="2:12" x14ac:dyDescent="0.25">
      <c r="B49" s="13"/>
      <c r="C49" s="4" t="s">
        <v>26</v>
      </c>
      <c r="D49" s="9">
        <v>125</v>
      </c>
      <c r="E49" s="9">
        <v>70</v>
      </c>
      <c r="F49" s="9">
        <v>30</v>
      </c>
      <c r="G49" s="9">
        <v>55</v>
      </c>
      <c r="H49" s="9"/>
      <c r="L49" s="10">
        <f t="shared" si="0"/>
        <v>280</v>
      </c>
    </row>
    <row r="50" spans="2:12" x14ac:dyDescent="0.25">
      <c r="B50" s="13"/>
      <c r="C50" s="4" t="s">
        <v>27</v>
      </c>
      <c r="D50" s="9">
        <v>41</v>
      </c>
      <c r="E50" s="9">
        <v>35</v>
      </c>
      <c r="F50" s="9">
        <v>10</v>
      </c>
      <c r="G50" s="9">
        <v>15</v>
      </c>
      <c r="H50" s="9"/>
      <c r="L50" s="10">
        <f t="shared" si="0"/>
        <v>101</v>
      </c>
    </row>
    <row r="51" spans="2:12" x14ac:dyDescent="0.25">
      <c r="B51" s="13"/>
      <c r="C51" s="4" t="s">
        <v>28</v>
      </c>
      <c r="D51" s="9">
        <v>1</v>
      </c>
      <c r="E51" s="9"/>
      <c r="F51" s="9"/>
      <c r="G51" s="9">
        <v>1</v>
      </c>
      <c r="H51" s="9"/>
      <c r="L51" s="10">
        <f t="shared" si="0"/>
        <v>2</v>
      </c>
    </row>
    <row r="52" spans="2:12" x14ac:dyDescent="0.25">
      <c r="B52" s="13"/>
      <c r="C52" s="4" t="s">
        <v>29</v>
      </c>
      <c r="D52" s="9">
        <v>36</v>
      </c>
      <c r="E52" s="9">
        <v>25</v>
      </c>
      <c r="F52" s="9">
        <v>5</v>
      </c>
      <c r="G52" s="9">
        <v>21</v>
      </c>
      <c r="H52" s="9"/>
      <c r="L52" s="10">
        <f t="shared" si="0"/>
        <v>87</v>
      </c>
    </row>
    <row r="53" spans="2:12" x14ac:dyDescent="0.25">
      <c r="B53" s="13"/>
      <c r="C53" s="4" t="s">
        <v>43</v>
      </c>
      <c r="D53" s="9">
        <v>34</v>
      </c>
      <c r="E53" s="9">
        <v>1</v>
      </c>
      <c r="F53" s="9"/>
      <c r="G53" s="9">
        <v>-18</v>
      </c>
      <c r="H53" s="9"/>
      <c r="L53" s="10">
        <f t="shared" si="0"/>
        <v>17</v>
      </c>
    </row>
    <row r="54" spans="2:12" x14ac:dyDescent="0.25">
      <c r="B54" s="13"/>
      <c r="C54" s="4" t="s">
        <v>30</v>
      </c>
      <c r="D54" s="9">
        <v>4</v>
      </c>
      <c r="E54" s="9">
        <v>4</v>
      </c>
      <c r="F54" s="9">
        <v>2</v>
      </c>
      <c r="G54" s="9"/>
      <c r="H54" s="9"/>
      <c r="L54" s="10">
        <f t="shared" si="0"/>
        <v>10</v>
      </c>
    </row>
    <row r="55" spans="2:12" x14ac:dyDescent="0.25">
      <c r="B55" s="13"/>
      <c r="C55" s="4" t="s">
        <v>31</v>
      </c>
      <c r="D55" s="9">
        <v>85</v>
      </c>
      <c r="E55" s="9">
        <v>62</v>
      </c>
      <c r="F55" s="9">
        <v>60</v>
      </c>
      <c r="G55" s="9">
        <v>97</v>
      </c>
      <c r="H55" s="9"/>
      <c r="L55" s="10">
        <f t="shared" si="0"/>
        <v>304</v>
      </c>
    </row>
    <row r="56" spans="2:12" x14ac:dyDescent="0.25">
      <c r="B56" s="13"/>
      <c r="C56" s="4" t="s">
        <v>32</v>
      </c>
      <c r="D56" s="9">
        <v>3</v>
      </c>
      <c r="E56" s="9">
        <v>8</v>
      </c>
      <c r="F56" s="9">
        <v>3</v>
      </c>
      <c r="G56" s="9">
        <v>9</v>
      </c>
      <c r="H56" s="9"/>
      <c r="L56" s="10">
        <f t="shared" si="0"/>
        <v>23</v>
      </c>
    </row>
    <row r="57" spans="2:12" x14ac:dyDescent="0.25">
      <c r="B57" s="13"/>
      <c r="C57" s="4" t="s">
        <v>68</v>
      </c>
      <c r="D57" s="9">
        <v>1</v>
      </c>
      <c r="E57" s="9">
        <v>1</v>
      </c>
      <c r="F57" s="9"/>
      <c r="G57" s="9">
        <v>2</v>
      </c>
      <c r="H57" s="9"/>
      <c r="L57" s="10">
        <f t="shared" si="0"/>
        <v>4</v>
      </c>
    </row>
    <row r="58" spans="2:12" x14ac:dyDescent="0.25">
      <c r="B58" s="13"/>
      <c r="C58" s="4" t="s">
        <v>61</v>
      </c>
      <c r="D58" s="9"/>
      <c r="E58" s="9"/>
      <c r="F58" s="9"/>
      <c r="G58" s="9">
        <v>0</v>
      </c>
      <c r="H58" s="9"/>
      <c r="L58" s="10">
        <f t="shared" si="0"/>
        <v>0</v>
      </c>
    </row>
    <row r="59" spans="2:12" x14ac:dyDescent="0.25">
      <c r="B59" s="8" t="s">
        <v>45</v>
      </c>
      <c r="C59" s="23"/>
      <c r="D59" s="11">
        <f>SUM(D33:D58)</f>
        <v>563</v>
      </c>
      <c r="E59" s="11">
        <f t="shared" ref="E59:K59" si="2">SUM(E33:E58)</f>
        <v>297</v>
      </c>
      <c r="F59" s="11">
        <f t="shared" si="2"/>
        <v>170</v>
      </c>
      <c r="G59" s="11">
        <f t="shared" si="2"/>
        <v>243</v>
      </c>
      <c r="H59" s="11">
        <f t="shared" si="2"/>
        <v>74</v>
      </c>
      <c r="I59" s="11">
        <f t="shared" si="2"/>
        <v>0</v>
      </c>
      <c r="J59" s="11">
        <f t="shared" si="2"/>
        <v>0</v>
      </c>
      <c r="K59" s="11">
        <f t="shared" si="2"/>
        <v>0</v>
      </c>
      <c r="L59" s="11">
        <f>SUM(D59:K59)</f>
        <v>1347</v>
      </c>
    </row>
  </sheetData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L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EEC4-01EA-4B5A-B9B5-ED0E4ABE281B}">
  <dimension ref="B2:L61"/>
  <sheetViews>
    <sheetView topLeftCell="A42" workbookViewId="0">
      <selection activeCell="G58" sqref="G58"/>
    </sheetView>
  </sheetViews>
  <sheetFormatPr defaultRowHeight="15" x14ac:dyDescent="0.25"/>
  <cols>
    <col min="2" max="2" width="18" customWidth="1"/>
    <col min="3" max="3" width="16.28515625" bestFit="1" customWidth="1"/>
    <col min="8" max="8" width="6.7109375" bestFit="1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94</v>
      </c>
      <c r="C4" s="7" t="s">
        <v>11</v>
      </c>
      <c r="D4" s="9">
        <v>27407.530000000002</v>
      </c>
      <c r="E4" s="9">
        <v>16203.439999999999</v>
      </c>
      <c r="F4" s="9">
        <v>17113.349999999999</v>
      </c>
      <c r="G4" s="9">
        <v>12804.82</v>
      </c>
      <c r="H4" s="9"/>
      <c r="L4" s="10">
        <f>SUM(D4:K4)</f>
        <v>73529.14</v>
      </c>
    </row>
    <row r="5" spans="2:12" x14ac:dyDescent="0.25">
      <c r="B5" s="13"/>
      <c r="C5" s="4" t="s">
        <v>12</v>
      </c>
      <c r="D5" s="9"/>
      <c r="E5" s="9">
        <v>1445.7800000000002</v>
      </c>
      <c r="F5" s="9">
        <v>0</v>
      </c>
      <c r="G5" s="9"/>
      <c r="H5" s="9"/>
      <c r="L5" s="10">
        <f t="shared" ref="L5:L60" si="0">SUM(D5:K5)</f>
        <v>1445.7800000000002</v>
      </c>
    </row>
    <row r="6" spans="2:12" x14ac:dyDescent="0.25">
      <c r="B6" s="13"/>
      <c r="C6" s="4" t="s">
        <v>38</v>
      </c>
      <c r="D6" s="9">
        <v>3773.24</v>
      </c>
      <c r="E6" s="9">
        <v>3020.11</v>
      </c>
      <c r="F6" s="9">
        <v>2725.19</v>
      </c>
      <c r="G6" s="9">
        <v>1677.3300000000002</v>
      </c>
      <c r="H6" s="9"/>
      <c r="L6" s="10">
        <f t="shared" si="0"/>
        <v>11195.87</v>
      </c>
    </row>
    <row r="7" spans="2:12" x14ac:dyDescent="0.25">
      <c r="B7" s="13"/>
      <c r="C7" s="4" t="s">
        <v>39</v>
      </c>
      <c r="D7" s="9"/>
      <c r="E7" s="9">
        <v>6572.99</v>
      </c>
      <c r="F7" s="9">
        <v>9405.48</v>
      </c>
      <c r="G7" s="9">
        <v>6756.19</v>
      </c>
      <c r="H7" s="9">
        <v>4399.84</v>
      </c>
      <c r="L7" s="10">
        <f t="shared" si="0"/>
        <v>27134.5</v>
      </c>
    </row>
    <row r="8" spans="2:12" x14ac:dyDescent="0.25">
      <c r="B8" s="13"/>
      <c r="C8" s="4" t="s">
        <v>40</v>
      </c>
      <c r="D8" s="9"/>
      <c r="E8" s="9">
        <v>4032.09</v>
      </c>
      <c r="F8" s="9">
        <v>4800.83</v>
      </c>
      <c r="G8" s="9">
        <v>7696.32</v>
      </c>
      <c r="H8" s="9">
        <v>2749.47</v>
      </c>
      <c r="L8" s="10">
        <f t="shared" si="0"/>
        <v>19278.71</v>
      </c>
    </row>
    <row r="9" spans="2:12" x14ac:dyDescent="0.25">
      <c r="B9" s="13"/>
      <c r="C9" s="4" t="s">
        <v>13</v>
      </c>
      <c r="D9" s="9">
        <v>19914.11</v>
      </c>
      <c r="E9" s="9">
        <v>14577.73</v>
      </c>
      <c r="F9" s="9">
        <v>10540.38</v>
      </c>
      <c r="G9" s="9">
        <v>11365.279999999999</v>
      </c>
      <c r="H9" s="9"/>
      <c r="L9" s="10">
        <f t="shared" si="0"/>
        <v>56397.499999999993</v>
      </c>
    </row>
    <row r="10" spans="2:12" x14ac:dyDescent="0.25">
      <c r="B10" s="13"/>
      <c r="C10" s="4" t="s">
        <v>41</v>
      </c>
      <c r="D10" s="9"/>
      <c r="E10" s="9"/>
      <c r="F10" s="9"/>
      <c r="G10" s="9"/>
      <c r="H10" s="9">
        <v>76.760000000000005</v>
      </c>
      <c r="L10" s="10">
        <f t="shared" si="0"/>
        <v>76.760000000000005</v>
      </c>
    </row>
    <row r="11" spans="2:12" x14ac:dyDescent="0.25">
      <c r="B11" s="13"/>
      <c r="C11" s="4" t="s">
        <v>14</v>
      </c>
      <c r="D11" s="9">
        <v>2033.26</v>
      </c>
      <c r="E11" s="9">
        <v>2481.7199999999998</v>
      </c>
      <c r="F11" s="9">
        <v>430.78</v>
      </c>
      <c r="G11" s="9">
        <v>1248.55</v>
      </c>
      <c r="H11" s="9"/>
      <c r="L11" s="10">
        <f t="shared" si="0"/>
        <v>6194.3099999999995</v>
      </c>
    </row>
    <row r="12" spans="2:12" x14ac:dyDescent="0.25">
      <c r="B12" s="13"/>
      <c r="C12" s="4" t="s">
        <v>15</v>
      </c>
      <c r="D12" s="9">
        <v>6894.8799999999992</v>
      </c>
      <c r="E12" s="9">
        <v>966.93</v>
      </c>
      <c r="F12" s="9">
        <v>13144.080000000002</v>
      </c>
      <c r="G12" s="9">
        <v>13623.84</v>
      </c>
      <c r="H12" s="9">
        <v>2350.04</v>
      </c>
      <c r="L12" s="10">
        <f t="shared" si="0"/>
        <v>36979.769999999997</v>
      </c>
    </row>
    <row r="13" spans="2:12" x14ac:dyDescent="0.25">
      <c r="B13" s="13"/>
      <c r="C13" s="4" t="s">
        <v>42</v>
      </c>
      <c r="D13" s="9">
        <v>4961.62</v>
      </c>
      <c r="E13" s="9"/>
      <c r="F13" s="9">
        <v>10346.530000000001</v>
      </c>
      <c r="G13" s="9"/>
      <c r="H13" s="9"/>
      <c r="L13" s="10">
        <f t="shared" si="0"/>
        <v>15308.150000000001</v>
      </c>
    </row>
    <row r="14" spans="2:12" x14ac:dyDescent="0.25">
      <c r="B14" s="13"/>
      <c r="C14" s="4" t="s">
        <v>16</v>
      </c>
      <c r="D14" s="9">
        <v>145983.76</v>
      </c>
      <c r="E14" s="9">
        <v>123205.7</v>
      </c>
      <c r="F14" s="9">
        <v>136431.94999999998</v>
      </c>
      <c r="G14" s="9">
        <v>123821.49000000002</v>
      </c>
      <c r="H14" s="9"/>
      <c r="L14" s="10">
        <f t="shared" si="0"/>
        <v>529442.9</v>
      </c>
    </row>
    <row r="15" spans="2:12" x14ac:dyDescent="0.25">
      <c r="B15" s="13"/>
      <c r="C15" s="4" t="s">
        <v>17</v>
      </c>
      <c r="D15" s="9">
        <v>46221.040000000008</v>
      </c>
      <c r="E15" s="9">
        <v>43050.28</v>
      </c>
      <c r="F15" s="9">
        <v>61328.149999999994</v>
      </c>
      <c r="G15" s="9">
        <v>17792.73</v>
      </c>
      <c r="H15" s="9"/>
      <c r="L15" s="10">
        <f t="shared" si="0"/>
        <v>168392.2</v>
      </c>
    </row>
    <row r="16" spans="2:12" x14ac:dyDescent="0.25">
      <c r="B16" s="13"/>
      <c r="C16" s="4" t="s">
        <v>19</v>
      </c>
      <c r="D16" s="9">
        <v>46221.039999999994</v>
      </c>
      <c r="E16" s="9">
        <v>44056.259999999995</v>
      </c>
      <c r="F16" s="9">
        <v>60545.5</v>
      </c>
      <c r="G16" s="9">
        <v>19769.71</v>
      </c>
      <c r="H16" s="9"/>
      <c r="L16" s="10">
        <f t="shared" si="0"/>
        <v>170592.50999999998</v>
      </c>
    </row>
    <row r="17" spans="2:12" x14ac:dyDescent="0.25">
      <c r="B17" s="13"/>
      <c r="C17" s="4" t="s">
        <v>20</v>
      </c>
      <c r="D17" s="9">
        <v>181.48</v>
      </c>
      <c r="E17" s="9"/>
      <c r="F17" s="9">
        <v>1271.58</v>
      </c>
      <c r="G17" s="9"/>
      <c r="H17" s="9"/>
      <c r="L17" s="10">
        <f t="shared" si="0"/>
        <v>1453.06</v>
      </c>
    </row>
    <row r="18" spans="2:12" x14ac:dyDescent="0.25">
      <c r="B18" s="13"/>
      <c r="C18" s="4" t="s">
        <v>21</v>
      </c>
      <c r="D18" s="9">
        <v>9534.09</v>
      </c>
      <c r="E18" s="9">
        <v>6765.91</v>
      </c>
      <c r="F18" s="9">
        <v>3379.0000000000005</v>
      </c>
      <c r="G18" s="9">
        <v>5293.6100000000006</v>
      </c>
      <c r="H18" s="9">
        <v>1600.03</v>
      </c>
      <c r="L18" s="10">
        <f t="shared" si="0"/>
        <v>26572.639999999999</v>
      </c>
    </row>
    <row r="19" spans="2:12" x14ac:dyDescent="0.25">
      <c r="B19" s="13"/>
      <c r="C19" s="4" t="s">
        <v>22</v>
      </c>
      <c r="D19" s="9">
        <v>53190.720000000001</v>
      </c>
      <c r="E19" s="9"/>
      <c r="F19" s="9"/>
      <c r="G19" s="9"/>
      <c r="H19" s="9">
        <v>10499.91</v>
      </c>
      <c r="L19" s="10">
        <f t="shared" si="0"/>
        <v>63690.630000000005</v>
      </c>
    </row>
    <row r="20" spans="2:12" x14ac:dyDescent="0.25">
      <c r="B20" s="13"/>
      <c r="C20" s="4" t="s">
        <v>24</v>
      </c>
      <c r="D20" s="9">
        <v>2667.2</v>
      </c>
      <c r="E20" s="9">
        <v>3451.66</v>
      </c>
      <c r="F20" s="9">
        <v>5692.29</v>
      </c>
      <c r="G20" s="9">
        <v>570.29</v>
      </c>
      <c r="H20" s="9"/>
      <c r="L20" s="10">
        <f t="shared" si="0"/>
        <v>12381.439999999999</v>
      </c>
    </row>
    <row r="21" spans="2:12" x14ac:dyDescent="0.25">
      <c r="B21" s="13"/>
      <c r="C21" s="4" t="s">
        <v>25</v>
      </c>
      <c r="D21" s="9">
        <v>14175.98</v>
      </c>
      <c r="E21" s="9">
        <v>14831.04</v>
      </c>
      <c r="F21" s="9">
        <v>3692.08</v>
      </c>
      <c r="G21" s="9">
        <v>2954.81</v>
      </c>
      <c r="H21" s="9">
        <v>2435.98</v>
      </c>
      <c r="L21" s="10">
        <f t="shared" si="0"/>
        <v>38089.89</v>
      </c>
    </row>
    <row r="22" spans="2:12" x14ac:dyDescent="0.25">
      <c r="B22" s="13"/>
      <c r="C22" s="4" t="s">
        <v>26</v>
      </c>
      <c r="D22" s="9">
        <v>20715.16</v>
      </c>
      <c r="E22" s="9">
        <v>20418.300000000003</v>
      </c>
      <c r="F22" s="9">
        <v>25404.949999999997</v>
      </c>
      <c r="G22" s="9">
        <v>20515.62</v>
      </c>
      <c r="H22" s="9"/>
      <c r="L22" s="10">
        <f t="shared" si="0"/>
        <v>87054.03</v>
      </c>
    </row>
    <row r="23" spans="2:12" x14ac:dyDescent="0.25">
      <c r="B23" s="13"/>
      <c r="C23" s="4" t="s">
        <v>27</v>
      </c>
      <c r="D23" s="9">
        <v>32093.120000000003</v>
      </c>
      <c r="E23" s="9">
        <v>31824.67</v>
      </c>
      <c r="F23" s="9">
        <v>39570.15</v>
      </c>
      <c r="G23" s="9">
        <v>32836.14</v>
      </c>
      <c r="H23" s="9"/>
      <c r="L23" s="10">
        <f t="shared" si="0"/>
        <v>136324.08000000002</v>
      </c>
    </row>
    <row r="24" spans="2:12" x14ac:dyDescent="0.25">
      <c r="B24" s="13"/>
      <c r="C24" s="4" t="s">
        <v>28</v>
      </c>
      <c r="D24" s="9">
        <v>17239.809999999998</v>
      </c>
      <c r="E24" s="9">
        <v>16203.91</v>
      </c>
      <c r="F24" s="9">
        <v>16237.72</v>
      </c>
      <c r="G24" s="9">
        <v>19028.120000000003</v>
      </c>
      <c r="H24" s="9"/>
      <c r="L24" s="10">
        <f t="shared" si="0"/>
        <v>68709.56</v>
      </c>
    </row>
    <row r="25" spans="2:12" x14ac:dyDescent="0.25">
      <c r="B25" s="13"/>
      <c r="C25" s="4" t="s">
        <v>29</v>
      </c>
      <c r="D25" s="9">
        <v>95778.64</v>
      </c>
      <c r="E25" s="9">
        <v>94767.69</v>
      </c>
      <c r="F25" s="9">
        <v>62698.64</v>
      </c>
      <c r="G25" s="9">
        <v>63150.099999999991</v>
      </c>
      <c r="H25" s="9"/>
      <c r="L25" s="10">
        <f t="shared" si="0"/>
        <v>316395.07</v>
      </c>
    </row>
    <row r="26" spans="2:12" x14ac:dyDescent="0.25">
      <c r="B26" s="13"/>
      <c r="C26" s="4" t="s">
        <v>43</v>
      </c>
      <c r="D26" s="9">
        <v>125.15</v>
      </c>
      <c r="E26" s="9">
        <v>124.71</v>
      </c>
      <c r="F26" s="9"/>
      <c r="G26" s="9"/>
      <c r="H26" s="9"/>
      <c r="L26" s="10">
        <f t="shared" si="0"/>
        <v>249.86</v>
      </c>
    </row>
    <row r="27" spans="2:12" x14ac:dyDescent="0.25">
      <c r="B27" s="13"/>
      <c r="C27" s="4" t="s">
        <v>30</v>
      </c>
      <c r="D27" s="9">
        <v>7253.93</v>
      </c>
      <c r="E27" s="9">
        <v>4590.380000000001</v>
      </c>
      <c r="F27" s="9">
        <v>1582.3200000000002</v>
      </c>
      <c r="G27" s="9">
        <v>2573.3200000000002</v>
      </c>
      <c r="H27" s="9"/>
      <c r="L27" s="10">
        <f t="shared" si="0"/>
        <v>15999.95</v>
      </c>
    </row>
    <row r="28" spans="2:12" x14ac:dyDescent="0.25">
      <c r="B28" s="13"/>
      <c r="C28" s="4" t="s">
        <v>31</v>
      </c>
      <c r="D28" s="9">
        <v>86673.05</v>
      </c>
      <c r="E28" s="9">
        <v>95421.799999999988</v>
      </c>
      <c r="F28" s="9">
        <v>105766.84</v>
      </c>
      <c r="G28" s="9">
        <v>110879.26000000001</v>
      </c>
      <c r="H28" s="9"/>
      <c r="L28" s="10">
        <f t="shared" si="0"/>
        <v>398740.94999999995</v>
      </c>
    </row>
    <row r="29" spans="2:12" x14ac:dyDescent="0.25">
      <c r="B29" s="13"/>
      <c r="C29" s="4" t="s">
        <v>68</v>
      </c>
      <c r="D29" s="9">
        <v>49832.880000000005</v>
      </c>
      <c r="E29" s="9">
        <v>32607.71</v>
      </c>
      <c r="F29" s="9">
        <v>14712.849999999999</v>
      </c>
      <c r="G29" s="9">
        <v>32973.14</v>
      </c>
      <c r="H29" s="9"/>
      <c r="L29" s="10">
        <f t="shared" si="0"/>
        <v>130126.58</v>
      </c>
    </row>
    <row r="30" spans="2:12" x14ac:dyDescent="0.25">
      <c r="B30" s="13"/>
      <c r="C30" s="4" t="s">
        <v>61</v>
      </c>
      <c r="D30" s="9"/>
      <c r="E30" s="9"/>
      <c r="F30" s="9"/>
      <c r="G30" s="9">
        <v>-287746.84999999998</v>
      </c>
      <c r="H30" s="9"/>
      <c r="L30" s="10">
        <f t="shared" si="0"/>
        <v>-287746.84999999998</v>
      </c>
    </row>
    <row r="31" spans="2:12" x14ac:dyDescent="0.25">
      <c r="B31" s="3" t="s">
        <v>33</v>
      </c>
      <c r="C31" s="6"/>
      <c r="D31" s="11">
        <f>SUM(D4:D30)</f>
        <v>692871.69000000006</v>
      </c>
      <c r="E31" s="11">
        <f>SUM(E4:E30)</f>
        <v>580620.80999999982</v>
      </c>
      <c r="F31" s="11">
        <f t="shared" ref="F31:K31" si="1">SUM(F4:F30)</f>
        <v>606820.64</v>
      </c>
      <c r="G31" s="11">
        <f t="shared" si="1"/>
        <v>219583.82</v>
      </c>
      <c r="H31" s="11">
        <f t="shared" si="1"/>
        <v>24112.030000000002</v>
      </c>
      <c r="I31" s="11">
        <f t="shared" si="1"/>
        <v>0</v>
      </c>
      <c r="J31" s="11">
        <f t="shared" si="1"/>
        <v>0</v>
      </c>
      <c r="K31" s="11">
        <f t="shared" si="1"/>
        <v>0</v>
      </c>
      <c r="L31" s="10">
        <f>SUM(D31:K31)</f>
        <v>2124008.9899999998</v>
      </c>
    </row>
    <row r="32" spans="2:12" x14ac:dyDescent="0.25">
      <c r="B32" s="13"/>
      <c r="C32" s="4"/>
      <c r="D32" s="9"/>
      <c r="E32" s="9"/>
      <c r="F32" s="9"/>
      <c r="G32" s="9"/>
      <c r="L32" s="10"/>
    </row>
    <row r="33" spans="2:12" x14ac:dyDescent="0.25">
      <c r="B33" s="8" t="s">
        <v>2</v>
      </c>
      <c r="C33" s="30" t="s">
        <v>3</v>
      </c>
      <c r="D33" s="31" t="s">
        <v>8</v>
      </c>
      <c r="E33" s="31" t="s">
        <v>7</v>
      </c>
      <c r="F33" s="31" t="s">
        <v>6</v>
      </c>
      <c r="G33" s="31" t="s">
        <v>5</v>
      </c>
      <c r="H33" s="30" t="s">
        <v>4</v>
      </c>
      <c r="I33" s="30" t="s">
        <v>34</v>
      </c>
      <c r="J33" s="30" t="s">
        <v>35</v>
      </c>
      <c r="K33" s="30" t="s">
        <v>36</v>
      </c>
      <c r="L33" s="30" t="s">
        <v>9</v>
      </c>
    </row>
    <row r="34" spans="2:12" x14ac:dyDescent="0.25">
      <c r="B34" s="13"/>
      <c r="C34" s="7" t="s">
        <v>11</v>
      </c>
      <c r="D34" s="11">
        <v>45</v>
      </c>
      <c r="E34" s="11">
        <v>26</v>
      </c>
      <c r="F34" s="11">
        <v>28</v>
      </c>
      <c r="G34" s="11">
        <v>21</v>
      </c>
      <c r="H34" s="11"/>
      <c r="L34" s="10">
        <f t="shared" si="0"/>
        <v>120</v>
      </c>
    </row>
    <row r="35" spans="2:12" x14ac:dyDescent="0.25">
      <c r="B35" s="13"/>
      <c r="C35" s="4" t="s">
        <v>12</v>
      </c>
      <c r="D35" s="9"/>
      <c r="E35" s="9">
        <v>4</v>
      </c>
      <c r="F35" s="9">
        <v>0</v>
      </c>
      <c r="G35" s="9"/>
      <c r="H35" s="9"/>
      <c r="L35" s="10">
        <f t="shared" si="0"/>
        <v>4</v>
      </c>
    </row>
    <row r="36" spans="2:12" x14ac:dyDescent="0.25">
      <c r="B36" s="13"/>
      <c r="C36" s="4" t="s">
        <v>38</v>
      </c>
      <c r="D36" s="9">
        <v>18</v>
      </c>
      <c r="E36" s="9">
        <v>14</v>
      </c>
      <c r="F36" s="9">
        <v>13</v>
      </c>
      <c r="G36" s="9">
        <v>8</v>
      </c>
      <c r="H36" s="9"/>
      <c r="L36" s="10">
        <f t="shared" si="0"/>
        <v>53</v>
      </c>
    </row>
    <row r="37" spans="2:12" x14ac:dyDescent="0.25">
      <c r="B37" s="13"/>
      <c r="C37" s="4" t="s">
        <v>39</v>
      </c>
      <c r="D37" s="9"/>
      <c r="E37" s="9">
        <v>87</v>
      </c>
      <c r="F37" s="9">
        <v>103</v>
      </c>
      <c r="G37" s="9">
        <v>74</v>
      </c>
      <c r="H37" s="9">
        <v>40</v>
      </c>
      <c r="L37" s="10">
        <f t="shared" si="0"/>
        <v>304</v>
      </c>
    </row>
    <row r="38" spans="2:12" x14ac:dyDescent="0.25">
      <c r="B38" s="13"/>
      <c r="C38" s="4" t="s">
        <v>40</v>
      </c>
      <c r="D38" s="9"/>
      <c r="E38" s="9">
        <v>221</v>
      </c>
      <c r="F38" s="9">
        <v>234</v>
      </c>
      <c r="G38" s="9">
        <v>374</v>
      </c>
      <c r="H38" s="9">
        <v>110</v>
      </c>
      <c r="L38" s="10">
        <f t="shared" si="0"/>
        <v>939</v>
      </c>
    </row>
    <row r="39" spans="2:12" x14ac:dyDescent="0.25">
      <c r="B39" s="13"/>
      <c r="C39" s="4" t="s">
        <v>13</v>
      </c>
      <c r="D39" s="9">
        <v>117</v>
      </c>
      <c r="E39" s="9">
        <v>96</v>
      </c>
      <c r="F39" s="9">
        <v>66</v>
      </c>
      <c r="G39" s="9">
        <v>71</v>
      </c>
      <c r="H39" s="9"/>
      <c r="L39" s="10">
        <f t="shared" si="0"/>
        <v>350</v>
      </c>
    </row>
    <row r="40" spans="2:12" x14ac:dyDescent="0.25">
      <c r="B40" s="13"/>
      <c r="C40" s="4" t="s">
        <v>41</v>
      </c>
      <c r="D40" s="9"/>
      <c r="E40" s="9"/>
      <c r="F40" s="9"/>
      <c r="G40" s="9"/>
      <c r="H40" s="9">
        <v>1</v>
      </c>
      <c r="L40" s="10">
        <f t="shared" si="0"/>
        <v>1</v>
      </c>
    </row>
    <row r="41" spans="2:12" x14ac:dyDescent="0.25">
      <c r="B41" s="13"/>
      <c r="C41" s="4" t="s">
        <v>14</v>
      </c>
      <c r="D41" s="9">
        <v>9</v>
      </c>
      <c r="E41" s="9">
        <v>11</v>
      </c>
      <c r="F41" s="9">
        <v>2</v>
      </c>
      <c r="G41" s="9">
        <v>6</v>
      </c>
      <c r="H41" s="9"/>
      <c r="L41" s="10">
        <f t="shared" si="0"/>
        <v>28</v>
      </c>
    </row>
    <row r="42" spans="2:12" x14ac:dyDescent="0.25">
      <c r="B42" s="13"/>
      <c r="C42" s="4" t="s">
        <v>15</v>
      </c>
      <c r="D42" s="9">
        <v>43</v>
      </c>
      <c r="E42" s="9">
        <v>5</v>
      </c>
      <c r="F42" s="9">
        <v>71</v>
      </c>
      <c r="G42" s="9">
        <v>66</v>
      </c>
      <c r="H42" s="9">
        <v>10</v>
      </c>
      <c r="L42" s="10">
        <f t="shared" si="0"/>
        <v>195</v>
      </c>
    </row>
    <row r="43" spans="2:12" x14ac:dyDescent="0.25">
      <c r="B43" s="13"/>
      <c r="C43" s="4" t="s">
        <v>42</v>
      </c>
      <c r="D43" s="9">
        <v>15</v>
      </c>
      <c r="E43" s="9"/>
      <c r="F43" s="9">
        <v>28</v>
      </c>
      <c r="G43" s="9"/>
      <c r="H43" s="9"/>
      <c r="L43" s="10">
        <f t="shared" si="0"/>
        <v>43</v>
      </c>
    </row>
    <row r="44" spans="2:12" x14ac:dyDescent="0.25">
      <c r="B44" s="13"/>
      <c r="C44" s="4" t="s">
        <v>16</v>
      </c>
      <c r="D44" s="9">
        <v>2520</v>
      </c>
      <c r="E44" s="9">
        <v>2175</v>
      </c>
      <c r="F44" s="9">
        <v>2175</v>
      </c>
      <c r="G44" s="9">
        <v>1985</v>
      </c>
      <c r="H44" s="9"/>
      <c r="L44" s="10">
        <f t="shared" si="0"/>
        <v>8855</v>
      </c>
    </row>
    <row r="45" spans="2:12" x14ac:dyDescent="0.25">
      <c r="B45" s="13"/>
      <c r="C45" s="4" t="s">
        <v>17</v>
      </c>
      <c r="D45" s="9">
        <v>255</v>
      </c>
      <c r="E45" s="9">
        <v>230</v>
      </c>
      <c r="F45" s="9">
        <v>311</v>
      </c>
      <c r="G45" s="9">
        <v>90</v>
      </c>
      <c r="H45" s="9"/>
      <c r="L45" s="10">
        <f t="shared" si="0"/>
        <v>886</v>
      </c>
    </row>
    <row r="46" spans="2:12" x14ac:dyDescent="0.25">
      <c r="B46" s="13"/>
      <c r="C46" s="4" t="s">
        <v>19</v>
      </c>
      <c r="D46" s="9">
        <v>255</v>
      </c>
      <c r="E46" s="9">
        <v>235</v>
      </c>
      <c r="F46" s="9">
        <v>306</v>
      </c>
      <c r="G46" s="9">
        <v>100</v>
      </c>
      <c r="H46" s="9"/>
      <c r="L46" s="10">
        <f t="shared" si="0"/>
        <v>896</v>
      </c>
    </row>
    <row r="47" spans="2:12" x14ac:dyDescent="0.25">
      <c r="B47" s="13"/>
      <c r="C47" s="4" t="s">
        <v>20</v>
      </c>
      <c r="D47" s="9">
        <v>1</v>
      </c>
      <c r="E47" s="9"/>
      <c r="F47" s="9">
        <v>7</v>
      </c>
      <c r="G47" s="9"/>
      <c r="H47" s="9"/>
      <c r="L47" s="10">
        <f t="shared" si="0"/>
        <v>8</v>
      </c>
    </row>
    <row r="48" spans="2:12" x14ac:dyDescent="0.25">
      <c r="B48" s="13"/>
      <c r="C48" s="4" t="s">
        <v>21</v>
      </c>
      <c r="D48" s="9">
        <v>36</v>
      </c>
      <c r="E48" s="9">
        <v>24</v>
      </c>
      <c r="F48" s="9">
        <v>12</v>
      </c>
      <c r="G48" s="9">
        <v>19</v>
      </c>
      <c r="H48" s="9">
        <v>5</v>
      </c>
      <c r="L48" s="10">
        <f t="shared" si="0"/>
        <v>96</v>
      </c>
    </row>
    <row r="49" spans="2:12" x14ac:dyDescent="0.25">
      <c r="B49" s="13"/>
      <c r="C49" s="4" t="s">
        <v>22</v>
      </c>
      <c r="D49" s="9">
        <v>183</v>
      </c>
      <c r="E49" s="9"/>
      <c r="F49" s="9"/>
      <c r="G49" s="9"/>
      <c r="H49" s="9">
        <v>30</v>
      </c>
      <c r="L49" s="10">
        <f t="shared" si="0"/>
        <v>213</v>
      </c>
    </row>
    <row r="50" spans="2:12" x14ac:dyDescent="0.25">
      <c r="B50" s="13"/>
      <c r="C50" s="4" t="s">
        <v>24</v>
      </c>
      <c r="D50" s="9">
        <v>10</v>
      </c>
      <c r="E50" s="9">
        <v>16</v>
      </c>
      <c r="F50" s="9">
        <v>20</v>
      </c>
      <c r="G50" s="9">
        <v>2</v>
      </c>
      <c r="H50" s="9"/>
      <c r="L50" s="10">
        <f t="shared" si="0"/>
        <v>48</v>
      </c>
    </row>
    <row r="51" spans="2:12" x14ac:dyDescent="0.25">
      <c r="B51" s="13"/>
      <c r="C51" s="4" t="s">
        <v>25</v>
      </c>
      <c r="D51" s="9">
        <v>82</v>
      </c>
      <c r="E51" s="9">
        <v>82</v>
      </c>
      <c r="F51" s="9">
        <v>20</v>
      </c>
      <c r="G51" s="9">
        <v>16</v>
      </c>
      <c r="H51" s="9">
        <v>12</v>
      </c>
      <c r="L51" s="10">
        <f t="shared" si="0"/>
        <v>212</v>
      </c>
    </row>
    <row r="52" spans="2:12" x14ac:dyDescent="0.25">
      <c r="B52" s="13"/>
      <c r="C52" s="4" t="s">
        <v>26</v>
      </c>
      <c r="D52" s="9">
        <v>1220</v>
      </c>
      <c r="E52" s="9">
        <v>1230</v>
      </c>
      <c r="F52" s="9">
        <v>1365</v>
      </c>
      <c r="G52" s="9">
        <v>1105</v>
      </c>
      <c r="H52" s="9"/>
      <c r="L52" s="10">
        <f t="shared" si="0"/>
        <v>4920</v>
      </c>
    </row>
    <row r="53" spans="2:12" x14ac:dyDescent="0.25">
      <c r="B53" s="13"/>
      <c r="C53" s="4" t="s">
        <v>27</v>
      </c>
      <c r="D53" s="9">
        <v>1350</v>
      </c>
      <c r="E53" s="9">
        <v>1370</v>
      </c>
      <c r="F53" s="9">
        <v>1580</v>
      </c>
      <c r="G53" s="9">
        <v>1315</v>
      </c>
      <c r="H53" s="9"/>
      <c r="L53" s="10">
        <f t="shared" si="0"/>
        <v>5615</v>
      </c>
    </row>
    <row r="54" spans="2:12" x14ac:dyDescent="0.25">
      <c r="B54" s="13"/>
      <c r="C54" s="4" t="s">
        <v>28</v>
      </c>
      <c r="D54" s="9">
        <v>195</v>
      </c>
      <c r="E54" s="9">
        <v>186</v>
      </c>
      <c r="F54" s="9">
        <v>175</v>
      </c>
      <c r="G54" s="9">
        <v>205</v>
      </c>
      <c r="H54" s="9"/>
      <c r="L54" s="10">
        <f t="shared" si="0"/>
        <v>761</v>
      </c>
    </row>
    <row r="55" spans="2:12" x14ac:dyDescent="0.25">
      <c r="B55" s="13"/>
      <c r="C55" s="4" t="s">
        <v>29</v>
      </c>
      <c r="D55" s="9">
        <v>486</v>
      </c>
      <c r="E55" s="9">
        <v>465</v>
      </c>
      <c r="F55" s="9">
        <v>285</v>
      </c>
      <c r="G55" s="9">
        <v>288</v>
      </c>
      <c r="H55" s="9"/>
      <c r="L55" s="10">
        <f t="shared" si="0"/>
        <v>1524</v>
      </c>
    </row>
    <row r="56" spans="2:12" x14ac:dyDescent="0.25">
      <c r="B56" s="13"/>
      <c r="C56" s="4" t="s">
        <v>43</v>
      </c>
      <c r="D56" s="9">
        <v>1</v>
      </c>
      <c r="E56" s="9">
        <v>1</v>
      </c>
      <c r="F56" s="9"/>
      <c r="G56" s="9"/>
      <c r="H56" s="9"/>
      <c r="L56" s="10">
        <f t="shared" si="0"/>
        <v>2</v>
      </c>
    </row>
    <row r="57" spans="2:12" x14ac:dyDescent="0.25">
      <c r="B57" s="13"/>
      <c r="C57" s="4" t="s">
        <v>30</v>
      </c>
      <c r="D57" s="9">
        <v>40</v>
      </c>
      <c r="E57" s="9">
        <v>24</v>
      </c>
      <c r="F57" s="9">
        <v>8</v>
      </c>
      <c r="G57" s="9">
        <v>13</v>
      </c>
      <c r="H57" s="9"/>
      <c r="L57" s="10">
        <f t="shared" si="0"/>
        <v>85</v>
      </c>
    </row>
    <row r="58" spans="2:12" x14ac:dyDescent="0.25">
      <c r="B58" s="13"/>
      <c r="C58" s="4" t="s">
        <v>31</v>
      </c>
      <c r="D58" s="9">
        <v>3400</v>
      </c>
      <c r="E58" s="9">
        <v>3825</v>
      </c>
      <c r="F58" s="9">
        <v>3925</v>
      </c>
      <c r="G58" s="9">
        <v>4132</v>
      </c>
      <c r="H58" s="9"/>
      <c r="L58" s="10">
        <f t="shared" si="0"/>
        <v>15282</v>
      </c>
    </row>
    <row r="59" spans="2:12" x14ac:dyDescent="0.25">
      <c r="B59" s="13"/>
      <c r="C59" s="4" t="s">
        <v>68</v>
      </c>
      <c r="D59" s="9">
        <v>110</v>
      </c>
      <c r="E59" s="9">
        <v>82</v>
      </c>
      <c r="F59" s="9">
        <v>31</v>
      </c>
      <c r="G59" s="9">
        <v>69</v>
      </c>
      <c r="H59" s="9"/>
      <c r="L59" s="10">
        <f t="shared" si="0"/>
        <v>292</v>
      </c>
    </row>
    <row r="60" spans="2:12" x14ac:dyDescent="0.25">
      <c r="B60" s="13"/>
      <c r="C60" s="4" t="s">
        <v>61</v>
      </c>
      <c r="D60" s="9"/>
      <c r="E60" s="9"/>
      <c r="F60" s="9"/>
      <c r="G60" s="9">
        <v>0</v>
      </c>
      <c r="H60" s="9"/>
      <c r="L60" s="10">
        <f t="shared" si="0"/>
        <v>0</v>
      </c>
    </row>
    <row r="61" spans="2:12" x14ac:dyDescent="0.25">
      <c r="B61" s="8" t="s">
        <v>45</v>
      </c>
      <c r="C61" s="23"/>
      <c r="D61" s="11">
        <f>SUM(D34:D60)</f>
        <v>10391</v>
      </c>
      <c r="E61" s="11">
        <f>SUM(E34:E60)</f>
        <v>10409</v>
      </c>
      <c r="F61" s="11">
        <f t="shared" ref="F61:K61" si="2">SUM(F34:F60)</f>
        <v>10765</v>
      </c>
      <c r="G61" s="11">
        <f t="shared" si="2"/>
        <v>9959</v>
      </c>
      <c r="H61" s="11">
        <f t="shared" si="2"/>
        <v>208</v>
      </c>
      <c r="I61" s="11">
        <f t="shared" si="2"/>
        <v>0</v>
      </c>
      <c r="J61" s="11">
        <f t="shared" si="2"/>
        <v>0</v>
      </c>
      <c r="K61" s="11">
        <f t="shared" si="2"/>
        <v>0</v>
      </c>
      <c r="L61" s="11">
        <f>SUM(D61:K61)</f>
        <v>41732</v>
      </c>
    </row>
  </sheetData>
  <conditionalFormatting sqref="D31:K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K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L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3F0-580D-45A5-ADEC-FBAD53917BD9}">
  <dimension ref="B2:L61"/>
  <sheetViews>
    <sheetView topLeftCell="A48" workbookViewId="0">
      <selection activeCell="A61" sqref="A61:XFD61"/>
    </sheetView>
  </sheetViews>
  <sheetFormatPr defaultRowHeight="15" x14ac:dyDescent="0.25"/>
  <cols>
    <col min="2" max="2" width="14.7109375" customWidth="1"/>
    <col min="3" max="3" width="16.140625" customWidth="1"/>
    <col min="8" max="8" width="16.14062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95</v>
      </c>
      <c r="C4" s="7" t="s">
        <v>11</v>
      </c>
      <c r="D4" s="9">
        <v>29792.57</v>
      </c>
      <c r="E4" s="9">
        <v>32772.119999999995</v>
      </c>
      <c r="F4" s="9">
        <v>21192.9</v>
      </c>
      <c r="G4" s="9">
        <v>21151.47</v>
      </c>
      <c r="H4" s="9"/>
      <c r="L4" s="10">
        <f>SUM(D4:K4)</f>
        <v>104909.06</v>
      </c>
    </row>
    <row r="5" spans="2:12" x14ac:dyDescent="0.25">
      <c r="B5" s="13"/>
      <c r="C5" s="4" t="s">
        <v>12</v>
      </c>
      <c r="D5" s="9">
        <v>-249.72</v>
      </c>
      <c r="E5" s="9">
        <v>-637.39</v>
      </c>
      <c r="F5" s="9"/>
      <c r="G5" s="9"/>
      <c r="H5" s="9"/>
      <c r="L5" s="10">
        <f t="shared" ref="L5:L60" si="0">SUM(D5:K5)</f>
        <v>-887.11</v>
      </c>
    </row>
    <row r="6" spans="2:12" x14ac:dyDescent="0.25">
      <c r="B6" s="13"/>
      <c r="C6" s="4" t="s">
        <v>50</v>
      </c>
      <c r="D6" s="9">
        <v>1416.5900000000001</v>
      </c>
      <c r="E6" s="9">
        <v>-923.11999999999989</v>
      </c>
      <c r="F6" s="9">
        <v>469.47</v>
      </c>
      <c r="G6" s="9">
        <v>823.43999999999994</v>
      </c>
      <c r="H6" s="9"/>
      <c r="L6" s="10">
        <f t="shared" si="0"/>
        <v>1786.38</v>
      </c>
    </row>
    <row r="7" spans="2:12" x14ac:dyDescent="0.25">
      <c r="B7" s="13"/>
      <c r="C7" s="4" t="s">
        <v>39</v>
      </c>
      <c r="D7" s="9"/>
      <c r="E7" s="9">
        <v>3812.67</v>
      </c>
      <c r="F7" s="9">
        <v>949.66</v>
      </c>
      <c r="G7" s="9">
        <v>1814.67</v>
      </c>
      <c r="H7" s="9">
        <v>1099.96</v>
      </c>
      <c r="L7" s="10">
        <f t="shared" si="0"/>
        <v>7676.96</v>
      </c>
    </row>
    <row r="8" spans="2:12" x14ac:dyDescent="0.25">
      <c r="B8" s="13"/>
      <c r="C8" s="4" t="s">
        <v>40</v>
      </c>
      <c r="D8" s="9">
        <v>434.5</v>
      </c>
      <c r="E8" s="9">
        <v>2378.52</v>
      </c>
      <c r="F8" s="9">
        <v>535.04</v>
      </c>
      <c r="G8" s="9">
        <v>702.81</v>
      </c>
      <c r="H8" s="9">
        <v>999.81</v>
      </c>
      <c r="L8" s="10">
        <f t="shared" si="0"/>
        <v>5050.68</v>
      </c>
    </row>
    <row r="9" spans="2:12" x14ac:dyDescent="0.25">
      <c r="B9" s="13"/>
      <c r="C9" s="4" t="s">
        <v>13</v>
      </c>
      <c r="D9" s="9">
        <v>11773.74</v>
      </c>
      <c r="E9" s="9">
        <v>2497.7600000000002</v>
      </c>
      <c r="F9" s="9">
        <v>2468.1</v>
      </c>
      <c r="G9" s="9">
        <v>833.53</v>
      </c>
      <c r="H9" s="9"/>
      <c r="L9" s="10">
        <f t="shared" si="0"/>
        <v>17573.129999999997</v>
      </c>
    </row>
    <row r="10" spans="2:12" x14ac:dyDescent="0.25">
      <c r="B10" s="13"/>
      <c r="C10" s="4" t="s">
        <v>41</v>
      </c>
      <c r="D10" s="9">
        <v>1004.76</v>
      </c>
      <c r="E10" s="9">
        <v>3002.2</v>
      </c>
      <c r="F10" s="9">
        <v>2676.21</v>
      </c>
      <c r="G10" s="9">
        <v>3699.6500000000005</v>
      </c>
      <c r="H10" s="9"/>
      <c r="L10" s="10">
        <f t="shared" si="0"/>
        <v>10382.82</v>
      </c>
    </row>
    <row r="11" spans="2:12" x14ac:dyDescent="0.25">
      <c r="B11" s="13"/>
      <c r="C11" s="4" t="s">
        <v>14</v>
      </c>
      <c r="D11" s="9"/>
      <c r="E11" s="9">
        <v>4491.43</v>
      </c>
      <c r="F11" s="9">
        <v>5927.55</v>
      </c>
      <c r="G11" s="9">
        <v>8591.0799999999981</v>
      </c>
      <c r="H11" s="9"/>
      <c r="L11" s="10">
        <f t="shared" si="0"/>
        <v>19010.059999999998</v>
      </c>
    </row>
    <row r="12" spans="2:12" x14ac:dyDescent="0.25">
      <c r="B12" s="13"/>
      <c r="C12" s="4" t="s">
        <v>15</v>
      </c>
      <c r="D12" s="9"/>
      <c r="E12" s="9"/>
      <c r="F12" s="9">
        <v>104293.51000000001</v>
      </c>
      <c r="G12" s="9">
        <v>-4175.4799999999996</v>
      </c>
      <c r="H12" s="9"/>
      <c r="L12" s="10">
        <f t="shared" si="0"/>
        <v>100118.03000000001</v>
      </c>
    </row>
    <row r="13" spans="2:12" x14ac:dyDescent="0.25">
      <c r="B13" s="13"/>
      <c r="C13" s="4" t="s">
        <v>42</v>
      </c>
      <c r="D13" s="9">
        <v>63071.63</v>
      </c>
      <c r="E13" s="9">
        <v>33702.129999999997</v>
      </c>
      <c r="F13" s="9">
        <v>38084.01</v>
      </c>
      <c r="G13" s="9">
        <v>42784.69</v>
      </c>
      <c r="H13" s="9"/>
      <c r="L13" s="10">
        <f t="shared" si="0"/>
        <v>177642.46</v>
      </c>
    </row>
    <row r="14" spans="2:12" x14ac:dyDescent="0.25">
      <c r="B14" s="13"/>
      <c r="C14" s="4" t="s">
        <v>16</v>
      </c>
      <c r="D14" s="9">
        <v>7274.17</v>
      </c>
      <c r="E14" s="9">
        <v>12732.91</v>
      </c>
      <c r="F14" s="9">
        <v>11831.65</v>
      </c>
      <c r="G14" s="9">
        <v>15093.130000000001</v>
      </c>
      <c r="H14" s="9"/>
      <c r="L14" s="10">
        <f t="shared" si="0"/>
        <v>46931.86</v>
      </c>
    </row>
    <row r="15" spans="2:12" x14ac:dyDescent="0.25">
      <c r="B15" s="13"/>
      <c r="C15" s="4" t="s">
        <v>17</v>
      </c>
      <c r="D15" s="9">
        <v>3220.5699999999997</v>
      </c>
      <c r="E15" s="9">
        <v>5947.4500000000007</v>
      </c>
      <c r="F15" s="9">
        <v>2936.65</v>
      </c>
      <c r="G15" s="9">
        <v>6854.65</v>
      </c>
      <c r="H15" s="9"/>
      <c r="L15" s="10">
        <f t="shared" si="0"/>
        <v>18959.32</v>
      </c>
    </row>
    <row r="16" spans="2:12" x14ac:dyDescent="0.25">
      <c r="B16" s="13"/>
      <c r="C16" s="4" t="s">
        <v>19</v>
      </c>
      <c r="D16" s="9">
        <v>4475.1499999999996</v>
      </c>
      <c r="E16" s="9">
        <v>5161.43</v>
      </c>
      <c r="F16" s="9">
        <v>6869.8700000000008</v>
      </c>
      <c r="G16" s="9">
        <v>7893.35</v>
      </c>
      <c r="H16" s="9"/>
      <c r="L16" s="10">
        <f t="shared" si="0"/>
        <v>24399.800000000003</v>
      </c>
    </row>
    <row r="17" spans="2:12" x14ac:dyDescent="0.25">
      <c r="B17" s="13"/>
      <c r="C17" s="4" t="s">
        <v>20</v>
      </c>
      <c r="D17" s="9">
        <v>1789.98</v>
      </c>
      <c r="E17" s="9">
        <v>6252.09</v>
      </c>
      <c r="F17" s="9">
        <v>2913.82</v>
      </c>
      <c r="G17" s="9">
        <v>6871.28</v>
      </c>
      <c r="H17" s="9"/>
      <c r="L17" s="10">
        <f t="shared" si="0"/>
        <v>17827.169999999998</v>
      </c>
    </row>
    <row r="18" spans="2:12" x14ac:dyDescent="0.25">
      <c r="B18" s="13"/>
      <c r="C18" s="4" t="s">
        <v>21</v>
      </c>
      <c r="D18" s="9">
        <v>23359.360000000001</v>
      </c>
      <c r="E18" s="9">
        <v>15472.66</v>
      </c>
      <c r="F18" s="9">
        <v>9713.0400000000009</v>
      </c>
      <c r="G18" s="9">
        <v>15563.55</v>
      </c>
      <c r="H18" s="9"/>
      <c r="L18" s="10">
        <f t="shared" si="0"/>
        <v>64108.61</v>
      </c>
    </row>
    <row r="19" spans="2:12" x14ac:dyDescent="0.25">
      <c r="B19" s="13"/>
      <c r="C19" s="4" t="s">
        <v>22</v>
      </c>
      <c r="D19" s="9">
        <v>281030.54000000004</v>
      </c>
      <c r="E19" s="9"/>
      <c r="F19" s="9"/>
      <c r="G19" s="9">
        <v>45326</v>
      </c>
      <c r="H19" s="9">
        <v>51750.01</v>
      </c>
      <c r="L19" s="10">
        <f t="shared" si="0"/>
        <v>378106.55000000005</v>
      </c>
    </row>
    <row r="20" spans="2:12" x14ac:dyDescent="0.25">
      <c r="B20" s="13"/>
      <c r="C20" s="4" t="s">
        <v>24</v>
      </c>
      <c r="D20" s="9">
        <v>2347.88</v>
      </c>
      <c r="E20" s="9">
        <v>3346.29</v>
      </c>
      <c r="F20" s="9">
        <v>-1113.68</v>
      </c>
      <c r="G20" s="9"/>
      <c r="H20" s="9"/>
      <c r="L20" s="10">
        <f t="shared" si="0"/>
        <v>4580.49</v>
      </c>
    </row>
    <row r="21" spans="2:12" x14ac:dyDescent="0.25">
      <c r="B21" s="13"/>
      <c r="C21" s="4" t="s">
        <v>25</v>
      </c>
      <c r="D21" s="9">
        <v>8541.56</v>
      </c>
      <c r="E21" s="9">
        <v>4065.67</v>
      </c>
      <c r="F21" s="9">
        <v>2740.87</v>
      </c>
      <c r="G21" s="9">
        <v>2758.95</v>
      </c>
      <c r="H21" s="9"/>
      <c r="L21" s="10">
        <f t="shared" si="0"/>
        <v>18107.05</v>
      </c>
    </row>
    <row r="22" spans="2:12" x14ac:dyDescent="0.25">
      <c r="B22" s="13"/>
      <c r="C22" s="4" t="s">
        <v>26</v>
      </c>
      <c r="D22" s="9">
        <v>2333.41</v>
      </c>
      <c r="E22" s="9">
        <v>4741.3200000000006</v>
      </c>
      <c r="F22" s="9">
        <v>1147.1199999999999</v>
      </c>
      <c r="G22" s="9">
        <v>5100.43</v>
      </c>
      <c r="H22" s="9"/>
      <c r="L22" s="10">
        <f t="shared" si="0"/>
        <v>13322.28</v>
      </c>
    </row>
    <row r="23" spans="2:12" x14ac:dyDescent="0.25">
      <c r="B23" s="13"/>
      <c r="C23" s="4" t="s">
        <v>27</v>
      </c>
      <c r="D23" s="9">
        <v>2381.23</v>
      </c>
      <c r="E23" s="9">
        <v>2219.06</v>
      </c>
      <c r="F23" s="9">
        <v>2965.1299999999997</v>
      </c>
      <c r="G23" s="9">
        <v>910.53</v>
      </c>
      <c r="H23" s="9"/>
      <c r="L23" s="10">
        <f t="shared" si="0"/>
        <v>8475.9500000000007</v>
      </c>
    </row>
    <row r="24" spans="2:12" x14ac:dyDescent="0.25">
      <c r="B24" s="13"/>
      <c r="C24" s="4" t="s">
        <v>28</v>
      </c>
      <c r="D24" s="9">
        <v>5551.04</v>
      </c>
      <c r="E24" s="9">
        <v>6453.5399999999991</v>
      </c>
      <c r="F24" s="9">
        <v>7025.48</v>
      </c>
      <c r="G24" s="9">
        <v>7098.1399999999994</v>
      </c>
      <c r="H24" s="9"/>
      <c r="L24" s="10">
        <f t="shared" si="0"/>
        <v>26128.199999999997</v>
      </c>
    </row>
    <row r="25" spans="2:12" x14ac:dyDescent="0.25">
      <c r="B25" s="13"/>
      <c r="C25" s="4" t="s">
        <v>29</v>
      </c>
      <c r="D25" s="9">
        <v>25312.25</v>
      </c>
      <c r="E25" s="9">
        <v>131835.46000000002</v>
      </c>
      <c r="F25" s="9"/>
      <c r="G25" s="9">
        <v>80167.260000000009</v>
      </c>
      <c r="H25" s="9"/>
      <c r="L25" s="10">
        <f t="shared" si="0"/>
        <v>237314.97000000003</v>
      </c>
    </row>
    <row r="26" spans="2:12" x14ac:dyDescent="0.25">
      <c r="B26" s="13"/>
      <c r="C26" s="4" t="s">
        <v>43</v>
      </c>
      <c r="D26" s="9">
        <v>544.52</v>
      </c>
      <c r="E26" s="9">
        <v>2299.3199999999997</v>
      </c>
      <c r="F26" s="9">
        <v>1800.15</v>
      </c>
      <c r="G26" s="9">
        <v>1196.97</v>
      </c>
      <c r="H26" s="9"/>
      <c r="L26" s="10">
        <f t="shared" si="0"/>
        <v>5840.96</v>
      </c>
    </row>
    <row r="27" spans="2:12" x14ac:dyDescent="0.25">
      <c r="B27" s="13"/>
      <c r="C27" s="4" t="s">
        <v>30</v>
      </c>
      <c r="D27" s="9"/>
      <c r="E27" s="9">
        <v>578.29</v>
      </c>
      <c r="F27" s="9">
        <v>582.77</v>
      </c>
      <c r="G27" s="9">
        <v>985.35</v>
      </c>
      <c r="H27" s="9"/>
      <c r="L27" s="10">
        <f t="shared" si="0"/>
        <v>2146.41</v>
      </c>
    </row>
    <row r="28" spans="2:12" x14ac:dyDescent="0.25">
      <c r="B28" s="13"/>
      <c r="C28" s="4" t="s">
        <v>31</v>
      </c>
      <c r="D28" s="9">
        <v>12773.869999999999</v>
      </c>
      <c r="E28" s="9">
        <v>35036.32</v>
      </c>
      <c r="F28" s="9">
        <v>16657.96</v>
      </c>
      <c r="G28" s="9">
        <v>33503.32</v>
      </c>
      <c r="H28" s="9"/>
      <c r="L28" s="10">
        <f t="shared" si="0"/>
        <v>97971.47</v>
      </c>
    </row>
    <row r="29" spans="2:12" x14ac:dyDescent="0.25">
      <c r="B29" s="13"/>
      <c r="C29" s="4" t="s">
        <v>32</v>
      </c>
      <c r="D29" s="9">
        <v>1667.36</v>
      </c>
      <c r="E29" s="9"/>
      <c r="F29" s="9">
        <v>1320.38</v>
      </c>
      <c r="G29" s="9">
        <v>1722.32</v>
      </c>
      <c r="H29" s="9"/>
      <c r="L29" s="10">
        <f t="shared" si="0"/>
        <v>4710.0599999999995</v>
      </c>
    </row>
    <row r="30" spans="2:12" x14ac:dyDescent="0.25">
      <c r="B30" s="13"/>
      <c r="C30" s="4" t="s">
        <v>68</v>
      </c>
      <c r="D30" s="9">
        <v>4789.84</v>
      </c>
      <c r="E30" s="9">
        <v>20975.62</v>
      </c>
      <c r="F30" s="9">
        <v>12160.57</v>
      </c>
      <c r="G30" s="9">
        <v>19497.39</v>
      </c>
      <c r="H30" s="9"/>
      <c r="L30" s="10">
        <f t="shared" si="0"/>
        <v>57423.42</v>
      </c>
    </row>
    <row r="31" spans="2:12" x14ac:dyDescent="0.25">
      <c r="B31" s="3" t="s">
        <v>33</v>
      </c>
      <c r="C31" s="6"/>
      <c r="D31" s="11">
        <f>SUM(D4:D30)</f>
        <v>494636.79999999999</v>
      </c>
      <c r="E31" s="11">
        <f>SUM(E4:E30)</f>
        <v>338213.75</v>
      </c>
      <c r="F31" s="11">
        <f t="shared" ref="F31:K31" si="1">SUM(F4:F30)</f>
        <v>256148.23</v>
      </c>
      <c r="G31" s="11">
        <f t="shared" si="1"/>
        <v>326768.48</v>
      </c>
      <c r="H31" s="11">
        <f t="shared" si="1"/>
        <v>53849.78</v>
      </c>
      <c r="I31" s="11">
        <f t="shared" si="1"/>
        <v>0</v>
      </c>
      <c r="J31" s="11">
        <f t="shared" si="1"/>
        <v>0</v>
      </c>
      <c r="K31" s="11">
        <f t="shared" si="1"/>
        <v>0</v>
      </c>
      <c r="L31" s="10">
        <f>SUM(D31:K31)</f>
        <v>1469617.04</v>
      </c>
    </row>
    <row r="32" spans="2:12" x14ac:dyDescent="0.25">
      <c r="B32" s="13"/>
      <c r="C32" s="4"/>
      <c r="D32" s="9"/>
      <c r="E32" s="9"/>
      <c r="F32" s="9"/>
      <c r="G32" s="9"/>
      <c r="L32" s="10"/>
    </row>
    <row r="33" spans="2:12" x14ac:dyDescent="0.25">
      <c r="B33" s="8" t="s">
        <v>2</v>
      </c>
      <c r="C33" s="30" t="s">
        <v>3</v>
      </c>
      <c r="D33" s="31" t="s">
        <v>8</v>
      </c>
      <c r="E33" s="31" t="s">
        <v>7</v>
      </c>
      <c r="F33" s="31" t="s">
        <v>6</v>
      </c>
      <c r="G33" s="31" t="s">
        <v>5</v>
      </c>
      <c r="H33" s="30" t="s">
        <v>4</v>
      </c>
      <c r="I33" s="30" t="s">
        <v>34</v>
      </c>
      <c r="J33" s="30" t="s">
        <v>35</v>
      </c>
      <c r="K33" s="30" t="s">
        <v>36</v>
      </c>
      <c r="L33" s="30" t="s">
        <v>9</v>
      </c>
    </row>
    <row r="34" spans="2:12" x14ac:dyDescent="0.25">
      <c r="B34" s="13"/>
      <c r="C34" s="7" t="s">
        <v>11</v>
      </c>
      <c r="D34" s="11">
        <v>50</v>
      </c>
      <c r="E34" s="11">
        <v>55</v>
      </c>
      <c r="F34" s="11">
        <v>35</v>
      </c>
      <c r="G34" s="11">
        <v>35</v>
      </c>
      <c r="H34" s="11"/>
      <c r="L34" s="10">
        <f t="shared" si="0"/>
        <v>175</v>
      </c>
    </row>
    <row r="35" spans="2:12" x14ac:dyDescent="0.25">
      <c r="B35" s="13"/>
      <c r="C35" s="4" t="s">
        <v>12</v>
      </c>
      <c r="D35" s="9">
        <v>-1</v>
      </c>
      <c r="E35" s="9">
        <v>-2</v>
      </c>
      <c r="F35" s="9"/>
      <c r="G35" s="9"/>
      <c r="H35" s="9"/>
      <c r="L35" s="10">
        <f t="shared" si="0"/>
        <v>-3</v>
      </c>
    </row>
    <row r="36" spans="2:12" x14ac:dyDescent="0.25">
      <c r="B36" s="13"/>
      <c r="C36" s="4" t="s">
        <v>50</v>
      </c>
      <c r="D36" s="9">
        <v>12</v>
      </c>
      <c r="E36" s="9">
        <v>-8</v>
      </c>
      <c r="F36" s="9">
        <v>4</v>
      </c>
      <c r="G36" s="9">
        <v>7</v>
      </c>
      <c r="H36" s="9"/>
      <c r="L36" s="10">
        <f t="shared" si="0"/>
        <v>15</v>
      </c>
    </row>
    <row r="37" spans="2:12" x14ac:dyDescent="0.25">
      <c r="B37" s="13"/>
      <c r="C37" s="4" t="s">
        <v>39</v>
      </c>
      <c r="D37" s="9"/>
      <c r="E37" s="9">
        <v>40</v>
      </c>
      <c r="F37" s="9">
        <v>10</v>
      </c>
      <c r="G37" s="9">
        <v>30</v>
      </c>
      <c r="H37" s="9">
        <v>10</v>
      </c>
      <c r="L37" s="10">
        <f t="shared" si="0"/>
        <v>90</v>
      </c>
    </row>
    <row r="38" spans="2:12" x14ac:dyDescent="0.25">
      <c r="B38" s="13"/>
      <c r="C38" s="4" t="s">
        <v>40</v>
      </c>
      <c r="D38" s="9">
        <v>20</v>
      </c>
      <c r="E38" s="9">
        <v>110</v>
      </c>
      <c r="F38" s="9">
        <v>25</v>
      </c>
      <c r="G38" s="9">
        <v>50</v>
      </c>
      <c r="H38" s="9">
        <v>40</v>
      </c>
      <c r="L38" s="10">
        <f t="shared" si="0"/>
        <v>245</v>
      </c>
    </row>
    <row r="39" spans="2:12" x14ac:dyDescent="0.25">
      <c r="B39" s="13"/>
      <c r="C39" s="4" t="s">
        <v>13</v>
      </c>
      <c r="D39" s="9">
        <v>70</v>
      </c>
      <c r="E39" s="9">
        <v>15</v>
      </c>
      <c r="F39" s="9">
        <v>15</v>
      </c>
      <c r="G39" s="9">
        <v>5</v>
      </c>
      <c r="H39" s="9"/>
      <c r="L39" s="10">
        <f t="shared" si="0"/>
        <v>105</v>
      </c>
    </row>
    <row r="40" spans="2:12" x14ac:dyDescent="0.25">
      <c r="B40" s="13"/>
      <c r="C40" s="4" t="s">
        <v>41</v>
      </c>
      <c r="D40" s="9">
        <v>15</v>
      </c>
      <c r="E40" s="9">
        <v>45</v>
      </c>
      <c r="F40" s="9">
        <v>40</v>
      </c>
      <c r="G40" s="9">
        <v>55</v>
      </c>
      <c r="H40" s="9"/>
      <c r="L40" s="10">
        <f t="shared" si="0"/>
        <v>155</v>
      </c>
    </row>
    <row r="41" spans="2:12" x14ac:dyDescent="0.25">
      <c r="B41" s="13"/>
      <c r="C41" s="4" t="s">
        <v>14</v>
      </c>
      <c r="D41" s="9"/>
      <c r="E41" s="9">
        <v>22</v>
      </c>
      <c r="F41" s="9">
        <v>28</v>
      </c>
      <c r="G41" s="9">
        <v>40</v>
      </c>
      <c r="H41" s="9"/>
      <c r="L41" s="10">
        <f t="shared" si="0"/>
        <v>90</v>
      </c>
    </row>
    <row r="42" spans="2:12" x14ac:dyDescent="0.25">
      <c r="B42" s="13"/>
      <c r="C42" s="4" t="s">
        <v>15</v>
      </c>
      <c r="D42" s="9"/>
      <c r="E42" s="9"/>
      <c r="F42" s="9">
        <v>560</v>
      </c>
      <c r="G42" s="9">
        <v>-14</v>
      </c>
      <c r="H42" s="9"/>
      <c r="L42" s="10">
        <f t="shared" si="0"/>
        <v>546</v>
      </c>
    </row>
    <row r="43" spans="2:12" x14ac:dyDescent="0.25">
      <c r="B43" s="13"/>
      <c r="C43" s="4" t="s">
        <v>42</v>
      </c>
      <c r="D43" s="9">
        <v>150</v>
      </c>
      <c r="E43" s="9">
        <v>80</v>
      </c>
      <c r="F43" s="9">
        <v>100</v>
      </c>
      <c r="G43" s="9">
        <v>110</v>
      </c>
      <c r="H43" s="9"/>
      <c r="L43" s="10">
        <f t="shared" si="0"/>
        <v>440</v>
      </c>
    </row>
    <row r="44" spans="2:12" x14ac:dyDescent="0.25">
      <c r="B44" s="13"/>
      <c r="C44" s="4" t="s">
        <v>16</v>
      </c>
      <c r="D44" s="9">
        <v>100</v>
      </c>
      <c r="E44" s="9">
        <v>180</v>
      </c>
      <c r="F44" s="9">
        <v>150</v>
      </c>
      <c r="G44" s="9">
        <v>170</v>
      </c>
      <c r="H44" s="9"/>
      <c r="L44" s="10">
        <f t="shared" si="0"/>
        <v>600</v>
      </c>
    </row>
    <row r="45" spans="2:12" x14ac:dyDescent="0.25">
      <c r="B45" s="13"/>
      <c r="C45" s="4" t="s">
        <v>17</v>
      </c>
      <c r="D45" s="9">
        <v>18</v>
      </c>
      <c r="E45" s="9">
        <v>33</v>
      </c>
      <c r="F45" s="9">
        <v>15</v>
      </c>
      <c r="G45" s="9">
        <v>35</v>
      </c>
      <c r="H45" s="9"/>
      <c r="L45" s="10">
        <f t="shared" si="0"/>
        <v>101</v>
      </c>
    </row>
    <row r="46" spans="2:12" x14ac:dyDescent="0.25">
      <c r="B46" s="13"/>
      <c r="C46" s="4" t="s">
        <v>19</v>
      </c>
      <c r="D46" s="9">
        <v>25</v>
      </c>
      <c r="E46" s="9">
        <v>29</v>
      </c>
      <c r="F46" s="9">
        <v>35</v>
      </c>
      <c r="G46" s="9">
        <v>40</v>
      </c>
      <c r="H46" s="9"/>
      <c r="L46" s="10">
        <f t="shared" si="0"/>
        <v>129</v>
      </c>
    </row>
    <row r="47" spans="2:12" x14ac:dyDescent="0.25">
      <c r="B47" s="13"/>
      <c r="C47" s="4" t="s">
        <v>20</v>
      </c>
      <c r="D47" s="9">
        <v>10</v>
      </c>
      <c r="E47" s="9">
        <v>35</v>
      </c>
      <c r="F47" s="9">
        <v>15</v>
      </c>
      <c r="G47" s="9">
        <v>35</v>
      </c>
      <c r="H47" s="9"/>
      <c r="L47" s="10">
        <f t="shared" si="0"/>
        <v>95</v>
      </c>
    </row>
    <row r="48" spans="2:12" x14ac:dyDescent="0.25">
      <c r="B48" s="13"/>
      <c r="C48" s="4" t="s">
        <v>21</v>
      </c>
      <c r="D48" s="9">
        <v>90</v>
      </c>
      <c r="E48" s="9">
        <v>60</v>
      </c>
      <c r="F48" s="9">
        <v>35</v>
      </c>
      <c r="G48" s="9">
        <v>55</v>
      </c>
      <c r="H48" s="9"/>
      <c r="L48" s="10">
        <f t="shared" si="0"/>
        <v>240</v>
      </c>
    </row>
    <row r="49" spans="2:12" x14ac:dyDescent="0.25">
      <c r="B49" s="13"/>
      <c r="C49" s="4" t="s">
        <v>22</v>
      </c>
      <c r="D49" s="9">
        <v>980</v>
      </c>
      <c r="E49" s="9"/>
      <c r="F49" s="9"/>
      <c r="G49" s="9">
        <v>150</v>
      </c>
      <c r="H49" s="9">
        <v>150</v>
      </c>
      <c r="L49" s="10">
        <f t="shared" si="0"/>
        <v>1280</v>
      </c>
    </row>
    <row r="50" spans="2:12" x14ac:dyDescent="0.25">
      <c r="B50" s="13"/>
      <c r="C50" s="4" t="s">
        <v>24</v>
      </c>
      <c r="D50" s="9">
        <v>8</v>
      </c>
      <c r="E50" s="9">
        <v>12</v>
      </c>
      <c r="F50" s="9">
        <v>-4</v>
      </c>
      <c r="G50" s="9"/>
      <c r="H50" s="9"/>
      <c r="L50" s="10">
        <f t="shared" si="0"/>
        <v>16</v>
      </c>
    </row>
    <row r="51" spans="2:12" x14ac:dyDescent="0.25">
      <c r="B51" s="13"/>
      <c r="C51" s="4" t="s">
        <v>25</v>
      </c>
      <c r="D51" s="9">
        <v>50</v>
      </c>
      <c r="E51" s="9">
        <v>24</v>
      </c>
      <c r="F51" s="9">
        <v>15</v>
      </c>
      <c r="G51" s="9">
        <v>15</v>
      </c>
      <c r="H51" s="9"/>
      <c r="L51" s="10">
        <f t="shared" si="0"/>
        <v>104</v>
      </c>
    </row>
    <row r="52" spans="2:12" x14ac:dyDescent="0.25">
      <c r="B52" s="13"/>
      <c r="C52" s="4" t="s">
        <v>26</v>
      </c>
      <c r="D52" s="9">
        <v>110</v>
      </c>
      <c r="E52" s="9">
        <v>230</v>
      </c>
      <c r="F52" s="9">
        <v>50</v>
      </c>
      <c r="G52" s="9">
        <v>190</v>
      </c>
      <c r="H52" s="9"/>
      <c r="L52" s="10">
        <f t="shared" si="0"/>
        <v>580</v>
      </c>
    </row>
    <row r="53" spans="2:12" x14ac:dyDescent="0.25">
      <c r="B53" s="13"/>
      <c r="C53" s="4" t="s">
        <v>27</v>
      </c>
      <c r="D53" s="9">
        <v>80</v>
      </c>
      <c r="E53" s="9">
        <v>80</v>
      </c>
      <c r="F53" s="9">
        <v>70</v>
      </c>
      <c r="G53" s="9">
        <v>30</v>
      </c>
      <c r="H53" s="9"/>
      <c r="L53" s="10">
        <f t="shared" si="0"/>
        <v>260</v>
      </c>
    </row>
    <row r="54" spans="2:12" x14ac:dyDescent="0.25">
      <c r="B54" s="13"/>
      <c r="C54" s="4" t="s">
        <v>28</v>
      </c>
      <c r="D54" s="9">
        <v>50</v>
      </c>
      <c r="E54" s="9">
        <v>60</v>
      </c>
      <c r="F54" s="9">
        <v>60</v>
      </c>
      <c r="G54" s="9">
        <v>60</v>
      </c>
      <c r="H54" s="9"/>
      <c r="L54" s="10">
        <f t="shared" si="0"/>
        <v>230</v>
      </c>
    </row>
    <row r="55" spans="2:12" x14ac:dyDescent="0.25">
      <c r="B55" s="13"/>
      <c r="C55" s="4" t="s">
        <v>29</v>
      </c>
      <c r="D55" s="9">
        <v>130</v>
      </c>
      <c r="E55" s="9">
        <v>680</v>
      </c>
      <c r="F55" s="9"/>
      <c r="G55" s="9">
        <v>370</v>
      </c>
      <c r="H55" s="9"/>
      <c r="L55" s="10">
        <f t="shared" si="0"/>
        <v>1180</v>
      </c>
    </row>
    <row r="56" spans="2:12" x14ac:dyDescent="0.25">
      <c r="B56" s="13"/>
      <c r="C56" s="4" t="s">
        <v>43</v>
      </c>
      <c r="D56" s="9">
        <v>5</v>
      </c>
      <c r="E56" s="9">
        <v>21</v>
      </c>
      <c r="F56" s="9">
        <v>15</v>
      </c>
      <c r="G56" s="9">
        <v>10</v>
      </c>
      <c r="H56" s="9"/>
      <c r="L56" s="10">
        <f t="shared" si="0"/>
        <v>51</v>
      </c>
    </row>
    <row r="57" spans="2:12" x14ac:dyDescent="0.25">
      <c r="B57" s="13"/>
      <c r="C57" s="4" t="s">
        <v>30</v>
      </c>
      <c r="D57" s="9"/>
      <c r="E57" s="9">
        <v>3</v>
      </c>
      <c r="F57" s="9">
        <v>3</v>
      </c>
      <c r="G57" s="9">
        <v>5</v>
      </c>
      <c r="H57" s="9"/>
      <c r="L57" s="10">
        <f t="shared" si="0"/>
        <v>11</v>
      </c>
    </row>
    <row r="58" spans="2:12" x14ac:dyDescent="0.25">
      <c r="B58" s="13"/>
      <c r="C58" s="4" t="s">
        <v>31</v>
      </c>
      <c r="D58" s="9">
        <v>400</v>
      </c>
      <c r="E58" s="9">
        <v>1150</v>
      </c>
      <c r="F58" s="9">
        <v>500</v>
      </c>
      <c r="G58" s="9">
        <v>1000</v>
      </c>
      <c r="H58" s="9"/>
      <c r="L58" s="10">
        <f t="shared" si="0"/>
        <v>3050</v>
      </c>
    </row>
    <row r="59" spans="2:12" x14ac:dyDescent="0.25">
      <c r="B59" s="13"/>
      <c r="C59" s="4" t="s">
        <v>32</v>
      </c>
      <c r="D59" s="9">
        <v>27</v>
      </c>
      <c r="E59" s="9"/>
      <c r="F59" s="9">
        <v>19</v>
      </c>
      <c r="G59" s="9">
        <v>25</v>
      </c>
      <c r="H59" s="9"/>
      <c r="L59" s="10">
        <f t="shared" si="0"/>
        <v>71</v>
      </c>
    </row>
    <row r="60" spans="2:12" x14ac:dyDescent="0.25">
      <c r="B60" s="13"/>
      <c r="C60" s="4" t="s">
        <v>68</v>
      </c>
      <c r="D60" s="9">
        <v>10</v>
      </c>
      <c r="E60" s="9">
        <v>45</v>
      </c>
      <c r="F60" s="9">
        <v>25</v>
      </c>
      <c r="G60" s="9">
        <v>40</v>
      </c>
      <c r="H60" s="9"/>
      <c r="L60" s="10">
        <f t="shared" si="0"/>
        <v>120</v>
      </c>
    </row>
    <row r="61" spans="2:12" x14ac:dyDescent="0.25">
      <c r="B61" s="8" t="s">
        <v>45</v>
      </c>
      <c r="C61" s="23"/>
      <c r="D61" s="11">
        <f>SUM(D34:D60)</f>
        <v>2409</v>
      </c>
      <c r="E61" s="11">
        <f>SUM(E34:E60)</f>
        <v>2999</v>
      </c>
      <c r="F61" s="11">
        <f t="shared" ref="F61:K61" si="2">SUM(F34:F60)</f>
        <v>1820</v>
      </c>
      <c r="G61" s="11">
        <f t="shared" si="2"/>
        <v>2548</v>
      </c>
      <c r="H61" s="11">
        <f t="shared" si="2"/>
        <v>200</v>
      </c>
      <c r="I61" s="11">
        <f t="shared" si="2"/>
        <v>0</v>
      </c>
      <c r="J61" s="11">
        <f t="shared" si="2"/>
        <v>0</v>
      </c>
      <c r="K61" s="11">
        <f t="shared" si="2"/>
        <v>0</v>
      </c>
      <c r="L61" s="11">
        <f>SUM(D61:K61)</f>
        <v>9976</v>
      </c>
    </row>
  </sheetData>
  <conditionalFormatting sqref="D31:K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K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L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33CD-FD5B-46D7-90F5-9144082B88D4}">
  <dimension ref="B2:L51"/>
  <sheetViews>
    <sheetView topLeftCell="A36" workbookViewId="0">
      <selection activeCell="D45" sqref="D45"/>
    </sheetView>
  </sheetViews>
  <sheetFormatPr defaultRowHeight="15" x14ac:dyDescent="0.25"/>
  <cols>
    <col min="2" max="2" width="13.85546875" customWidth="1"/>
    <col min="3" max="3" width="15.7109375" customWidth="1"/>
    <col min="7" max="7" width="15.7109375" customWidth="1"/>
    <col min="12" max="12" width="11.140625" bestFit="1" customWidth="1"/>
  </cols>
  <sheetData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96</v>
      </c>
      <c r="C4" s="7" t="s">
        <v>11</v>
      </c>
      <c r="D4" s="9">
        <v>4118.43</v>
      </c>
      <c r="E4" s="9">
        <v>686.4</v>
      </c>
      <c r="F4" s="9">
        <v>2779.99</v>
      </c>
      <c r="G4" s="9">
        <v>-686.41</v>
      </c>
      <c r="L4" s="10">
        <f>SUM(D4:K4)</f>
        <v>6898.41</v>
      </c>
    </row>
    <row r="5" spans="2:12" x14ac:dyDescent="0.25">
      <c r="B5" s="13"/>
      <c r="C5" s="4" t="s">
        <v>13</v>
      </c>
      <c r="D5" s="9"/>
      <c r="E5" s="9">
        <v>584.66999999999996</v>
      </c>
      <c r="F5" s="9"/>
      <c r="G5" s="9">
        <v>-193.59</v>
      </c>
      <c r="L5" s="10">
        <f t="shared" ref="L5:L25" si="0">SUM(D5:K5)</f>
        <v>391.07999999999993</v>
      </c>
    </row>
    <row r="6" spans="2:12" x14ac:dyDescent="0.25">
      <c r="B6" s="13"/>
      <c r="C6" s="4" t="s">
        <v>14</v>
      </c>
      <c r="D6" s="9">
        <v>235.31</v>
      </c>
      <c r="E6" s="9">
        <v>235.3</v>
      </c>
      <c r="F6" s="9">
        <v>5634.9500000000007</v>
      </c>
      <c r="G6" s="9">
        <v>1224.98</v>
      </c>
      <c r="L6" s="10">
        <f t="shared" si="0"/>
        <v>7330.5400000000009</v>
      </c>
    </row>
    <row r="7" spans="2:12" x14ac:dyDescent="0.25">
      <c r="B7" s="13"/>
      <c r="C7" s="4" t="s">
        <v>15</v>
      </c>
      <c r="D7" s="9">
        <v>660.01</v>
      </c>
      <c r="E7" s="9">
        <v>1100.02</v>
      </c>
      <c r="F7" s="9">
        <v>5405.09</v>
      </c>
      <c r="G7" s="9">
        <v>9165.15</v>
      </c>
      <c r="L7" s="10">
        <f t="shared" si="0"/>
        <v>16330.27</v>
      </c>
    </row>
    <row r="8" spans="2:12" x14ac:dyDescent="0.25">
      <c r="B8" s="13"/>
      <c r="C8" s="4" t="s">
        <v>42</v>
      </c>
      <c r="D8" s="9">
        <v>1452.01</v>
      </c>
      <c r="E8" s="9">
        <v>3388.02</v>
      </c>
      <c r="F8" s="9">
        <v>495</v>
      </c>
      <c r="G8" s="9"/>
      <c r="L8" s="10">
        <f t="shared" si="0"/>
        <v>5335.03</v>
      </c>
    </row>
    <row r="9" spans="2:12" x14ac:dyDescent="0.25">
      <c r="B9" s="13"/>
      <c r="C9" s="4" t="s">
        <v>16</v>
      </c>
      <c r="D9" s="9">
        <v>2936.1000000000004</v>
      </c>
      <c r="E9" s="9">
        <v>3697.15</v>
      </c>
      <c r="F9" s="9">
        <v>2168.2799999999997</v>
      </c>
      <c r="G9" s="9">
        <v>2281.9700000000003</v>
      </c>
      <c r="L9" s="10">
        <f t="shared" si="0"/>
        <v>11083.5</v>
      </c>
    </row>
    <row r="10" spans="2:12" x14ac:dyDescent="0.25">
      <c r="B10" s="13"/>
      <c r="C10" s="4" t="s">
        <v>17</v>
      </c>
      <c r="D10" s="9"/>
      <c r="E10" s="9">
        <v>-187.45</v>
      </c>
      <c r="F10" s="9"/>
      <c r="G10" s="9">
        <v>-412.4</v>
      </c>
      <c r="L10" s="10">
        <f t="shared" si="0"/>
        <v>-599.84999999999991</v>
      </c>
    </row>
    <row r="11" spans="2:12" x14ac:dyDescent="0.25">
      <c r="B11" s="13"/>
      <c r="C11" s="4" t="s">
        <v>19</v>
      </c>
      <c r="D11" s="9"/>
      <c r="E11" s="9">
        <v>-187.46</v>
      </c>
      <c r="F11" s="9"/>
      <c r="G11" s="9">
        <v>-412.4</v>
      </c>
      <c r="L11" s="10">
        <f t="shared" si="0"/>
        <v>-599.86</v>
      </c>
    </row>
    <row r="12" spans="2:12" x14ac:dyDescent="0.25">
      <c r="B12" s="13"/>
      <c r="C12" s="4" t="s">
        <v>20</v>
      </c>
      <c r="D12" s="9"/>
      <c r="E12" s="9"/>
      <c r="F12" s="9">
        <v>675</v>
      </c>
      <c r="G12" s="9">
        <v>450</v>
      </c>
      <c r="L12" s="10">
        <f t="shared" si="0"/>
        <v>1125</v>
      </c>
    </row>
    <row r="13" spans="2:12" x14ac:dyDescent="0.25">
      <c r="B13" s="13"/>
      <c r="C13" s="4" t="s">
        <v>21</v>
      </c>
      <c r="D13" s="9"/>
      <c r="E13" s="9">
        <v>-271.63</v>
      </c>
      <c r="F13" s="9">
        <v>-597.6</v>
      </c>
      <c r="G13" s="9"/>
      <c r="L13" s="10">
        <f t="shared" si="0"/>
        <v>-869.23</v>
      </c>
    </row>
    <row r="14" spans="2:12" x14ac:dyDescent="0.25">
      <c r="B14" s="13"/>
      <c r="C14" s="4" t="s">
        <v>22</v>
      </c>
      <c r="D14" s="9">
        <v>32110.489999999998</v>
      </c>
      <c r="E14" s="9">
        <v>6599.97</v>
      </c>
      <c r="F14" s="9"/>
      <c r="G14" s="9">
        <v>690</v>
      </c>
      <c r="L14" s="10">
        <f t="shared" si="0"/>
        <v>39400.46</v>
      </c>
    </row>
    <row r="15" spans="2:12" x14ac:dyDescent="0.25">
      <c r="B15" s="13"/>
      <c r="C15" s="4" t="s">
        <v>24</v>
      </c>
      <c r="D15" s="9">
        <v>330.09</v>
      </c>
      <c r="E15" s="9">
        <v>1333.5700000000002</v>
      </c>
      <c r="F15" s="9">
        <v>4140</v>
      </c>
      <c r="G15" s="9">
        <v>2415</v>
      </c>
      <c r="L15" s="10">
        <f t="shared" si="0"/>
        <v>8218.66</v>
      </c>
    </row>
    <row r="16" spans="2:12" x14ac:dyDescent="0.25">
      <c r="B16" s="13"/>
      <c r="C16" s="4" t="s">
        <v>25</v>
      </c>
      <c r="D16" s="9"/>
      <c r="E16" s="9">
        <v>-178.75000000000003</v>
      </c>
      <c r="F16" s="9">
        <v>-393.2</v>
      </c>
      <c r="G16" s="9"/>
      <c r="L16" s="10">
        <f t="shared" si="0"/>
        <v>-571.95000000000005</v>
      </c>
    </row>
    <row r="17" spans="2:12" x14ac:dyDescent="0.25">
      <c r="B17" s="13"/>
      <c r="C17" s="4" t="s">
        <v>26</v>
      </c>
      <c r="D17" s="9">
        <v>1870.02</v>
      </c>
      <c r="E17" s="9">
        <v>2029.2600000000002</v>
      </c>
      <c r="F17" s="9">
        <v>1325.71</v>
      </c>
      <c r="G17" s="9">
        <v>1700.0500000000002</v>
      </c>
      <c r="L17" s="10">
        <f t="shared" si="0"/>
        <v>6925.04</v>
      </c>
    </row>
    <row r="18" spans="2:12" x14ac:dyDescent="0.25">
      <c r="B18" s="13"/>
      <c r="C18" s="4" t="s">
        <v>27</v>
      </c>
      <c r="D18" s="9">
        <v>2561.2799999999997</v>
      </c>
      <c r="E18" s="9">
        <v>2513.85</v>
      </c>
      <c r="F18" s="9">
        <v>1105.1199999999999</v>
      </c>
      <c r="G18" s="9">
        <v>1373.76</v>
      </c>
      <c r="L18" s="10">
        <f t="shared" si="0"/>
        <v>7554.0099999999993</v>
      </c>
    </row>
    <row r="19" spans="2:12" x14ac:dyDescent="0.25">
      <c r="B19" s="13"/>
      <c r="C19" s="4" t="s">
        <v>28</v>
      </c>
      <c r="D19" s="9">
        <v>380.7</v>
      </c>
      <c r="E19" s="9"/>
      <c r="F19" s="9">
        <v>168.03</v>
      </c>
      <c r="G19" s="9">
        <v>342.45</v>
      </c>
      <c r="L19" s="10">
        <f t="shared" si="0"/>
        <v>891.18000000000006</v>
      </c>
    </row>
    <row r="20" spans="2:12" x14ac:dyDescent="0.25">
      <c r="B20" s="13"/>
      <c r="C20" s="4" t="s">
        <v>29</v>
      </c>
      <c r="D20" s="9">
        <v>17255.760000000002</v>
      </c>
      <c r="E20" s="9">
        <v>14566.550000000001</v>
      </c>
      <c r="F20" s="9">
        <v>6499.87</v>
      </c>
      <c r="G20" s="9">
        <v>13749.73</v>
      </c>
      <c r="L20" s="10">
        <f t="shared" si="0"/>
        <v>52071.91</v>
      </c>
    </row>
    <row r="21" spans="2:12" x14ac:dyDescent="0.25">
      <c r="B21" s="13"/>
      <c r="C21" s="4" t="s">
        <v>30</v>
      </c>
      <c r="D21" s="9"/>
      <c r="E21" s="9">
        <v>1052.6500000000001</v>
      </c>
      <c r="F21" s="9">
        <v>210.45</v>
      </c>
      <c r="G21" s="9"/>
      <c r="L21" s="10">
        <f t="shared" si="0"/>
        <v>1263.1000000000001</v>
      </c>
    </row>
    <row r="22" spans="2:12" x14ac:dyDescent="0.25">
      <c r="B22" s="13"/>
      <c r="C22" s="4" t="s">
        <v>31</v>
      </c>
      <c r="D22" s="9">
        <v>2934.95</v>
      </c>
      <c r="E22" s="9">
        <v>2232.9899999999998</v>
      </c>
      <c r="F22" s="9">
        <v>1810.1799999999998</v>
      </c>
      <c r="G22" s="9">
        <v>749.07999999999993</v>
      </c>
      <c r="L22" s="10">
        <f t="shared" si="0"/>
        <v>7727.1999999999989</v>
      </c>
    </row>
    <row r="23" spans="2:12" x14ac:dyDescent="0.25">
      <c r="B23" s="13"/>
      <c r="C23" s="4" t="s">
        <v>32</v>
      </c>
      <c r="D23" s="9"/>
      <c r="E23" s="9">
        <v>1741.98</v>
      </c>
      <c r="F23" s="9">
        <v>1741.98</v>
      </c>
      <c r="G23" s="9"/>
      <c r="L23" s="10">
        <f t="shared" si="0"/>
        <v>3483.96</v>
      </c>
    </row>
    <row r="24" spans="2:12" x14ac:dyDescent="0.25">
      <c r="B24" s="13"/>
      <c r="C24" s="4" t="s">
        <v>68</v>
      </c>
      <c r="D24" s="9">
        <v>1102.7</v>
      </c>
      <c r="E24" s="9">
        <v>551.35</v>
      </c>
      <c r="F24" s="9">
        <v>575</v>
      </c>
      <c r="G24" s="9">
        <v>3449.99</v>
      </c>
      <c r="L24" s="10">
        <f t="shared" si="0"/>
        <v>5679.04</v>
      </c>
    </row>
    <row r="25" spans="2:12" x14ac:dyDescent="0.25">
      <c r="B25" s="13"/>
      <c r="C25" s="4" t="s">
        <v>61</v>
      </c>
      <c r="D25" s="9"/>
      <c r="E25" s="9"/>
      <c r="F25" s="9"/>
      <c r="G25" s="9">
        <v>-11281.467707432577</v>
      </c>
      <c r="L25" s="10">
        <f t="shared" si="0"/>
        <v>-11281.467707432577</v>
      </c>
    </row>
    <row r="26" spans="2:12" x14ac:dyDescent="0.25">
      <c r="B26" s="3" t="s">
        <v>33</v>
      </c>
      <c r="C26" s="6"/>
      <c r="D26" s="11">
        <f>SUM(D4:D25)</f>
        <v>67947.849999999991</v>
      </c>
      <c r="E26" s="11">
        <f t="shared" ref="E26:K26" si="1">SUM(E4:E25)</f>
        <v>41488.44</v>
      </c>
      <c r="F26" s="11">
        <f t="shared" si="1"/>
        <v>33743.85</v>
      </c>
      <c r="G26" s="11">
        <f t="shared" si="1"/>
        <v>24605.892292567416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167786.0322925674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11</v>
      </c>
      <c r="D29" s="11">
        <v>6</v>
      </c>
      <c r="E29" s="11">
        <v>1</v>
      </c>
      <c r="F29" s="11">
        <v>4</v>
      </c>
      <c r="G29" s="11">
        <v>-1</v>
      </c>
      <c r="L29" s="20">
        <f>SUM(D29:K29)</f>
        <v>10</v>
      </c>
    </row>
    <row r="30" spans="2:12" x14ac:dyDescent="0.25">
      <c r="B30" s="13"/>
      <c r="C30" s="4" t="s">
        <v>13</v>
      </c>
      <c r="D30" s="9"/>
      <c r="E30" s="9">
        <v>3</v>
      </c>
      <c r="F30" s="9"/>
      <c r="G30" s="9">
        <v>-1</v>
      </c>
      <c r="L30" s="20">
        <f t="shared" ref="L30:L50" si="2">SUM(D30:K30)</f>
        <v>2</v>
      </c>
    </row>
    <row r="31" spans="2:12" x14ac:dyDescent="0.25">
      <c r="B31" s="13"/>
      <c r="C31" s="4" t="s">
        <v>14</v>
      </c>
      <c r="D31" s="9">
        <v>1</v>
      </c>
      <c r="E31" s="9">
        <v>1</v>
      </c>
      <c r="F31" s="9">
        <v>23</v>
      </c>
      <c r="G31" s="9">
        <v>5</v>
      </c>
      <c r="L31" s="20">
        <f t="shared" si="2"/>
        <v>30</v>
      </c>
    </row>
    <row r="32" spans="2:12" x14ac:dyDescent="0.25">
      <c r="B32" s="13"/>
      <c r="C32" s="4" t="s">
        <v>15</v>
      </c>
      <c r="D32" s="9">
        <v>3</v>
      </c>
      <c r="E32" s="9">
        <v>5</v>
      </c>
      <c r="F32" s="9">
        <v>23</v>
      </c>
      <c r="G32" s="9">
        <v>39</v>
      </c>
      <c r="L32" s="20">
        <f t="shared" si="2"/>
        <v>70</v>
      </c>
    </row>
    <row r="33" spans="2:12" x14ac:dyDescent="0.25">
      <c r="B33" s="13"/>
      <c r="C33" s="4" t="s">
        <v>42</v>
      </c>
      <c r="D33" s="9">
        <v>3</v>
      </c>
      <c r="E33" s="9">
        <v>7</v>
      </c>
      <c r="F33" s="9">
        <v>1</v>
      </c>
      <c r="G33" s="9"/>
      <c r="L33" s="20">
        <f t="shared" si="2"/>
        <v>11</v>
      </c>
    </row>
    <row r="34" spans="2:12" x14ac:dyDescent="0.25">
      <c r="B34" s="13"/>
      <c r="C34" s="4" t="s">
        <v>16</v>
      </c>
      <c r="D34" s="9">
        <v>30</v>
      </c>
      <c r="E34" s="9">
        <v>40</v>
      </c>
      <c r="F34" s="9">
        <v>19</v>
      </c>
      <c r="G34" s="9">
        <v>20</v>
      </c>
      <c r="L34" s="20">
        <f t="shared" si="2"/>
        <v>109</v>
      </c>
    </row>
    <row r="35" spans="2:12" x14ac:dyDescent="0.25">
      <c r="B35" s="13"/>
      <c r="C35" s="4" t="s">
        <v>17</v>
      </c>
      <c r="D35" s="9"/>
      <c r="E35" s="9">
        <v>-1</v>
      </c>
      <c r="F35" s="9"/>
      <c r="G35" s="9">
        <v>-2</v>
      </c>
      <c r="L35" s="20">
        <f t="shared" si="2"/>
        <v>-3</v>
      </c>
    </row>
    <row r="36" spans="2:12" x14ac:dyDescent="0.25">
      <c r="B36" s="13"/>
      <c r="C36" s="4" t="s">
        <v>19</v>
      </c>
      <c r="D36" s="9"/>
      <c r="E36" s="9">
        <v>-1</v>
      </c>
      <c r="F36" s="9"/>
      <c r="G36" s="9">
        <v>-2</v>
      </c>
      <c r="L36" s="20">
        <f t="shared" si="2"/>
        <v>-3</v>
      </c>
    </row>
    <row r="37" spans="2:12" x14ac:dyDescent="0.25">
      <c r="B37" s="13"/>
      <c r="C37" s="4" t="s">
        <v>20</v>
      </c>
      <c r="D37" s="9"/>
      <c r="E37" s="9"/>
      <c r="F37" s="9">
        <v>3</v>
      </c>
      <c r="G37" s="9">
        <v>2</v>
      </c>
      <c r="L37" s="20">
        <f t="shared" si="2"/>
        <v>5</v>
      </c>
    </row>
    <row r="38" spans="2:12" x14ac:dyDescent="0.25">
      <c r="B38" s="13"/>
      <c r="C38" s="4" t="s">
        <v>21</v>
      </c>
      <c r="D38" s="9"/>
      <c r="E38" s="9">
        <v>-1</v>
      </c>
      <c r="F38" s="9">
        <v>-2</v>
      </c>
      <c r="G38" s="9"/>
      <c r="L38" s="20">
        <f t="shared" si="2"/>
        <v>-3</v>
      </c>
    </row>
    <row r="39" spans="2:12" x14ac:dyDescent="0.25">
      <c r="B39" s="13"/>
      <c r="C39" s="4" t="s">
        <v>22</v>
      </c>
      <c r="D39" s="9">
        <v>98</v>
      </c>
      <c r="E39" s="9">
        <v>20</v>
      </c>
      <c r="F39" s="9"/>
      <c r="G39" s="9">
        <v>2</v>
      </c>
      <c r="L39" s="20">
        <f t="shared" si="2"/>
        <v>120</v>
      </c>
    </row>
    <row r="40" spans="2:12" x14ac:dyDescent="0.25">
      <c r="B40" s="13"/>
      <c r="C40" s="4" t="s">
        <v>24</v>
      </c>
      <c r="D40" s="9">
        <v>1</v>
      </c>
      <c r="E40" s="9">
        <v>4</v>
      </c>
      <c r="F40" s="9">
        <v>12</v>
      </c>
      <c r="G40" s="9">
        <v>7</v>
      </c>
      <c r="L40" s="20">
        <f t="shared" si="2"/>
        <v>24</v>
      </c>
    </row>
    <row r="41" spans="2:12" x14ac:dyDescent="0.25">
      <c r="B41" s="13"/>
      <c r="C41" s="4" t="s">
        <v>25</v>
      </c>
      <c r="D41" s="9"/>
      <c r="E41" s="9">
        <v>-1</v>
      </c>
      <c r="F41" s="9">
        <v>-2</v>
      </c>
      <c r="G41" s="9"/>
      <c r="L41" s="20">
        <f t="shared" si="2"/>
        <v>-3</v>
      </c>
    </row>
    <row r="42" spans="2:12" x14ac:dyDescent="0.25">
      <c r="B42" s="13"/>
      <c r="C42" s="4" t="s">
        <v>26</v>
      </c>
      <c r="D42" s="9">
        <v>65</v>
      </c>
      <c r="E42" s="9">
        <v>75</v>
      </c>
      <c r="F42" s="9">
        <v>35</v>
      </c>
      <c r="G42" s="9">
        <v>50</v>
      </c>
      <c r="L42" s="20">
        <f t="shared" si="2"/>
        <v>225</v>
      </c>
    </row>
    <row r="43" spans="2:12" x14ac:dyDescent="0.25">
      <c r="B43" s="13"/>
      <c r="C43" s="4" t="s">
        <v>27</v>
      </c>
      <c r="D43" s="9">
        <v>62</v>
      </c>
      <c r="E43" s="9">
        <v>65</v>
      </c>
      <c r="F43" s="9">
        <v>20</v>
      </c>
      <c r="G43" s="9">
        <v>30</v>
      </c>
      <c r="L43" s="20">
        <f t="shared" si="2"/>
        <v>177</v>
      </c>
    </row>
    <row r="44" spans="2:12" x14ac:dyDescent="0.25">
      <c r="B44" s="13"/>
      <c r="C44" s="4" t="s">
        <v>28</v>
      </c>
      <c r="D44" s="9">
        <v>2</v>
      </c>
      <c r="E44" s="9"/>
      <c r="F44" s="9">
        <v>1</v>
      </c>
      <c r="G44" s="9">
        <v>2</v>
      </c>
      <c r="L44" s="20">
        <f t="shared" si="2"/>
        <v>5</v>
      </c>
    </row>
    <row r="45" spans="2:12" x14ac:dyDescent="0.25">
      <c r="B45" s="13"/>
      <c r="C45" s="4" t="s">
        <v>29</v>
      </c>
      <c r="D45" s="9">
        <v>77</v>
      </c>
      <c r="E45" s="9">
        <v>65</v>
      </c>
      <c r="F45" s="9">
        <v>26</v>
      </c>
      <c r="G45" s="9">
        <v>55</v>
      </c>
      <c r="L45" s="20">
        <f t="shared" si="2"/>
        <v>223</v>
      </c>
    </row>
    <row r="46" spans="2:12" x14ac:dyDescent="0.25">
      <c r="B46" s="13"/>
      <c r="C46" s="4" t="s">
        <v>30</v>
      </c>
      <c r="D46" s="9"/>
      <c r="E46" s="9">
        <v>5</v>
      </c>
      <c r="F46" s="9">
        <v>1</v>
      </c>
      <c r="G46" s="9"/>
      <c r="L46" s="20">
        <f t="shared" si="2"/>
        <v>6</v>
      </c>
    </row>
    <row r="47" spans="2:12" x14ac:dyDescent="0.25">
      <c r="B47" s="13"/>
      <c r="C47" s="4" t="s">
        <v>31</v>
      </c>
      <c r="D47" s="9">
        <v>67</v>
      </c>
      <c r="E47" s="9">
        <v>55</v>
      </c>
      <c r="F47" s="9">
        <v>32</v>
      </c>
      <c r="G47" s="9">
        <v>15</v>
      </c>
      <c r="L47" s="20">
        <f t="shared" si="2"/>
        <v>169</v>
      </c>
    </row>
    <row r="48" spans="2:12" x14ac:dyDescent="0.25">
      <c r="B48" s="13"/>
      <c r="C48" s="4" t="s">
        <v>32</v>
      </c>
      <c r="D48" s="9"/>
      <c r="E48" s="9">
        <v>28</v>
      </c>
      <c r="F48" s="9">
        <v>25</v>
      </c>
      <c r="G48" s="9"/>
      <c r="L48" s="20">
        <f t="shared" si="2"/>
        <v>53</v>
      </c>
    </row>
    <row r="49" spans="2:12" x14ac:dyDescent="0.25">
      <c r="B49" s="13"/>
      <c r="C49" s="4" t="s">
        <v>68</v>
      </c>
      <c r="D49" s="9">
        <v>2</v>
      </c>
      <c r="E49" s="9">
        <v>1</v>
      </c>
      <c r="F49" s="9">
        <v>1</v>
      </c>
      <c r="G49" s="9">
        <v>6</v>
      </c>
      <c r="L49" s="20">
        <f t="shared" si="2"/>
        <v>10</v>
      </c>
    </row>
    <row r="50" spans="2:12" x14ac:dyDescent="0.25">
      <c r="B50" s="13"/>
      <c r="C50" s="4" t="s">
        <v>61</v>
      </c>
      <c r="D50" s="9"/>
      <c r="E50" s="9"/>
      <c r="F50" s="9"/>
      <c r="G50" s="9">
        <v>0</v>
      </c>
      <c r="L50" s="20">
        <f t="shared" si="2"/>
        <v>0</v>
      </c>
    </row>
    <row r="51" spans="2:12" x14ac:dyDescent="0.25">
      <c r="B51" s="8" t="s">
        <v>45</v>
      </c>
      <c r="C51" s="23"/>
      <c r="D51" s="11">
        <f>SUM(D29:D50)</f>
        <v>417</v>
      </c>
      <c r="E51" s="11">
        <f t="shared" ref="E51:K51" si="3">SUM(E29:E50)</f>
        <v>371</v>
      </c>
      <c r="F51" s="11">
        <f t="shared" si="3"/>
        <v>222</v>
      </c>
      <c r="G51" s="11">
        <f t="shared" si="3"/>
        <v>227</v>
      </c>
      <c r="H51" s="11">
        <f t="shared" si="3"/>
        <v>0</v>
      </c>
      <c r="I51" s="11">
        <f t="shared" si="3"/>
        <v>0</v>
      </c>
      <c r="J51" s="11">
        <f t="shared" si="3"/>
        <v>0</v>
      </c>
      <c r="K51" s="11">
        <f t="shared" si="3"/>
        <v>0</v>
      </c>
      <c r="L51" s="11">
        <f>SUM(D51:K51)</f>
        <v>1237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BBC4-B876-4F68-AD1C-EC44E51CCD1E}">
  <dimension ref="B1:L52"/>
  <sheetViews>
    <sheetView topLeftCell="A22" workbookViewId="0">
      <selection activeCell="I38" sqref="I38"/>
    </sheetView>
  </sheetViews>
  <sheetFormatPr defaultRowHeight="15" x14ac:dyDescent="0.25"/>
  <cols>
    <col min="2" max="2" width="16.28515625" customWidth="1"/>
    <col min="3" max="3" width="14.42578125" bestFit="1" customWidth="1"/>
    <col min="5" max="5" width="9.7109375" customWidth="1"/>
    <col min="6" max="6" width="9.140625" customWidth="1"/>
    <col min="7" max="7" width="8.7109375" customWidth="1"/>
    <col min="12" max="12" width="11.140625" bestFit="1" customWidth="1"/>
  </cols>
  <sheetData>
    <row r="1" spans="2:12" x14ac:dyDescent="0.25">
      <c r="B1" s="32" t="s">
        <v>98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97</v>
      </c>
      <c r="C4" s="7" t="s">
        <v>12</v>
      </c>
      <c r="D4" s="9"/>
      <c r="E4" s="9"/>
      <c r="F4" s="9">
        <v>1093.01</v>
      </c>
      <c r="G4" s="9"/>
      <c r="L4" s="10">
        <f>SUM(D4:K4)</f>
        <v>1093.01</v>
      </c>
    </row>
    <row r="5" spans="2:12" x14ac:dyDescent="0.25">
      <c r="B5" s="13"/>
      <c r="C5" s="4" t="s">
        <v>40</v>
      </c>
      <c r="D5" s="9"/>
      <c r="E5" s="9">
        <v>24.5</v>
      </c>
      <c r="F5" s="9"/>
      <c r="G5" s="9"/>
      <c r="L5" s="10">
        <f t="shared" ref="L5:L50" si="0">SUM(D5:K5)</f>
        <v>24.5</v>
      </c>
    </row>
    <row r="6" spans="2:12" x14ac:dyDescent="0.25">
      <c r="B6" s="13"/>
      <c r="C6" s="4" t="s">
        <v>13</v>
      </c>
      <c r="D6" s="9">
        <v>716.32</v>
      </c>
      <c r="E6" s="9">
        <v>568.41999999999996</v>
      </c>
      <c r="F6" s="9">
        <v>1097.03</v>
      </c>
      <c r="G6" s="9"/>
      <c r="L6" s="10">
        <f t="shared" si="0"/>
        <v>2381.77</v>
      </c>
    </row>
    <row r="7" spans="2:12" x14ac:dyDescent="0.25">
      <c r="B7" s="13"/>
      <c r="C7" s="4" t="s">
        <v>41</v>
      </c>
      <c r="D7" s="9">
        <v>231.3</v>
      </c>
      <c r="E7" s="9">
        <v>0</v>
      </c>
      <c r="F7" s="9">
        <v>-75.38</v>
      </c>
      <c r="G7" s="9"/>
      <c r="L7" s="10">
        <f t="shared" si="0"/>
        <v>155.92000000000002</v>
      </c>
    </row>
    <row r="8" spans="2:12" x14ac:dyDescent="0.25">
      <c r="B8" s="13"/>
      <c r="C8" s="4" t="s">
        <v>14</v>
      </c>
      <c r="D8" s="9">
        <v>696.74</v>
      </c>
      <c r="E8" s="9">
        <v>922.01</v>
      </c>
      <c r="F8" s="9">
        <v>2121.54</v>
      </c>
      <c r="G8" s="9">
        <v>721.15</v>
      </c>
      <c r="L8" s="10">
        <f t="shared" si="0"/>
        <v>4461.4399999999996</v>
      </c>
    </row>
    <row r="9" spans="2:12" x14ac:dyDescent="0.25">
      <c r="B9" s="13"/>
      <c r="C9" s="4" t="s">
        <v>15</v>
      </c>
      <c r="D9" s="9">
        <v>242.56</v>
      </c>
      <c r="E9" s="9"/>
      <c r="F9" s="9">
        <v>9010.3900000000012</v>
      </c>
      <c r="G9" s="9"/>
      <c r="L9" s="10">
        <f t="shared" si="0"/>
        <v>9252.9500000000007</v>
      </c>
    </row>
    <row r="10" spans="2:12" x14ac:dyDescent="0.25">
      <c r="B10" s="13"/>
      <c r="C10" s="4" t="s">
        <v>16</v>
      </c>
      <c r="D10" s="9">
        <v>2112.37</v>
      </c>
      <c r="E10" s="9">
        <v>1389.44</v>
      </c>
      <c r="F10" s="9">
        <v>1195.8799999999999</v>
      </c>
      <c r="G10" s="9">
        <v>1503.9</v>
      </c>
      <c r="L10" s="10">
        <f t="shared" si="0"/>
        <v>6201.59</v>
      </c>
    </row>
    <row r="11" spans="2:12" x14ac:dyDescent="0.25">
      <c r="B11" s="13"/>
      <c r="C11" s="4" t="s">
        <v>17</v>
      </c>
      <c r="D11" s="9">
        <v>206.18</v>
      </c>
      <c r="E11" s="9">
        <v>404.21</v>
      </c>
      <c r="F11" s="9"/>
      <c r="G11" s="9"/>
      <c r="L11" s="10">
        <f t="shared" si="0"/>
        <v>610.39</v>
      </c>
    </row>
    <row r="12" spans="2:12" x14ac:dyDescent="0.25">
      <c r="B12" s="13"/>
      <c r="C12" s="4" t="s">
        <v>19</v>
      </c>
      <c r="D12" s="9">
        <v>408.29</v>
      </c>
      <c r="E12" s="9">
        <v>2020.46</v>
      </c>
      <c r="F12" s="9">
        <v>629.62</v>
      </c>
      <c r="G12" s="9">
        <v>436.4</v>
      </c>
      <c r="L12" s="10">
        <f t="shared" si="0"/>
        <v>3494.77</v>
      </c>
    </row>
    <row r="13" spans="2:12" x14ac:dyDescent="0.25">
      <c r="B13" s="13"/>
      <c r="C13" s="4" t="s">
        <v>20</v>
      </c>
      <c r="D13" s="9">
        <v>824.72</v>
      </c>
      <c r="E13" s="9">
        <v>2828.21</v>
      </c>
      <c r="F13" s="9">
        <v>417.1</v>
      </c>
      <c r="G13" s="9">
        <v>1112.8</v>
      </c>
      <c r="L13" s="10">
        <f t="shared" si="0"/>
        <v>5182.83</v>
      </c>
    </row>
    <row r="14" spans="2:12" x14ac:dyDescent="0.25">
      <c r="B14" s="13"/>
      <c r="C14" s="4" t="s">
        <v>21</v>
      </c>
      <c r="D14" s="9"/>
      <c r="E14" s="9"/>
      <c r="F14" s="9">
        <v>293.76</v>
      </c>
      <c r="G14" s="9"/>
      <c r="L14" s="10">
        <f t="shared" si="0"/>
        <v>293.76</v>
      </c>
    </row>
    <row r="15" spans="2:12" x14ac:dyDescent="0.25">
      <c r="B15" s="13"/>
      <c r="C15" s="4" t="s">
        <v>22</v>
      </c>
      <c r="D15" s="9">
        <v>3361.8199999999997</v>
      </c>
      <c r="E15" s="9"/>
      <c r="F15" s="9"/>
      <c r="G15" s="9"/>
      <c r="L15" s="10">
        <f t="shared" si="0"/>
        <v>3361.8199999999997</v>
      </c>
    </row>
    <row r="16" spans="2:12" x14ac:dyDescent="0.25">
      <c r="B16" s="13"/>
      <c r="C16" s="4" t="s">
        <v>23</v>
      </c>
      <c r="D16" s="9">
        <v>12527.619999999999</v>
      </c>
      <c r="E16" s="9">
        <v>2161.1999999999998</v>
      </c>
      <c r="F16" s="9">
        <v>3884.3899999999994</v>
      </c>
      <c r="G16" s="9">
        <v>1120.5</v>
      </c>
      <c r="L16" s="10">
        <f t="shared" si="0"/>
        <v>19693.71</v>
      </c>
    </row>
    <row r="17" spans="2:12" x14ac:dyDescent="0.25">
      <c r="B17" s="13"/>
      <c r="C17" s="4" t="s">
        <v>24</v>
      </c>
      <c r="D17" s="9"/>
      <c r="E17" s="9">
        <v>1940.18</v>
      </c>
      <c r="F17" s="9"/>
      <c r="G17" s="9"/>
      <c r="L17" s="10">
        <f t="shared" si="0"/>
        <v>1940.18</v>
      </c>
    </row>
    <row r="18" spans="2:12" x14ac:dyDescent="0.25">
      <c r="B18" s="13"/>
      <c r="C18" s="4" t="s">
        <v>25</v>
      </c>
      <c r="D18" s="9"/>
      <c r="E18" s="9">
        <v>192.64</v>
      </c>
      <c r="F18" s="9"/>
      <c r="G18" s="9"/>
      <c r="L18" s="10">
        <f t="shared" si="0"/>
        <v>192.64</v>
      </c>
    </row>
    <row r="19" spans="2:12" x14ac:dyDescent="0.25">
      <c r="B19" s="13"/>
      <c r="C19" s="4" t="s">
        <v>26</v>
      </c>
      <c r="D19" s="9">
        <v>690.17999999999984</v>
      </c>
      <c r="E19" s="9">
        <v>1681.09</v>
      </c>
      <c r="F19" s="9">
        <v>677.88</v>
      </c>
      <c r="G19" s="9">
        <v>667.61999999999989</v>
      </c>
      <c r="L19" s="10">
        <f t="shared" si="0"/>
        <v>3716.7699999999995</v>
      </c>
    </row>
    <row r="20" spans="2:12" x14ac:dyDescent="0.25">
      <c r="B20" s="13"/>
      <c r="C20" s="4" t="s">
        <v>27</v>
      </c>
      <c r="D20" s="9">
        <v>787.23</v>
      </c>
      <c r="E20" s="9">
        <v>1426.2199999999998</v>
      </c>
      <c r="F20" s="9">
        <v>554.51</v>
      </c>
      <c r="G20" s="9">
        <v>1229.6200000000001</v>
      </c>
      <c r="L20" s="10">
        <f t="shared" si="0"/>
        <v>3997.58</v>
      </c>
    </row>
    <row r="21" spans="2:12" x14ac:dyDescent="0.25">
      <c r="B21" s="13"/>
      <c r="C21" s="4" t="s">
        <v>28</v>
      </c>
      <c r="D21" s="9">
        <v>266.32</v>
      </c>
      <c r="E21" s="9">
        <v>265.12</v>
      </c>
      <c r="F21" s="9">
        <v>122.09</v>
      </c>
      <c r="G21" s="9">
        <v>237.64</v>
      </c>
      <c r="L21" s="10">
        <f t="shared" si="0"/>
        <v>891.17000000000007</v>
      </c>
    </row>
    <row r="22" spans="2:12" x14ac:dyDescent="0.25">
      <c r="B22" s="13"/>
      <c r="C22" s="4" t="s">
        <v>29</v>
      </c>
      <c r="D22" s="9">
        <v>3621.4399999999996</v>
      </c>
      <c r="E22" s="9">
        <v>2391.84</v>
      </c>
      <c r="F22" s="9">
        <v>733.03</v>
      </c>
      <c r="G22" s="9">
        <v>1796.36</v>
      </c>
      <c r="L22" s="10">
        <f t="shared" si="0"/>
        <v>8542.67</v>
      </c>
    </row>
    <row r="23" spans="2:12" x14ac:dyDescent="0.25">
      <c r="B23" s="13"/>
      <c r="C23" s="4" t="s">
        <v>43</v>
      </c>
      <c r="D23" s="9">
        <v>-125.3</v>
      </c>
      <c r="E23" s="9">
        <v>367.79999999999995</v>
      </c>
      <c r="F23" s="9"/>
      <c r="G23" s="9"/>
      <c r="L23" s="10">
        <f t="shared" si="0"/>
        <v>242.49999999999994</v>
      </c>
    </row>
    <row r="24" spans="2:12" x14ac:dyDescent="0.25">
      <c r="B24" s="13"/>
      <c r="C24" s="4" t="s">
        <v>30</v>
      </c>
      <c r="D24" s="9">
        <v>0</v>
      </c>
      <c r="E24" s="9"/>
      <c r="F24" s="9">
        <v>424.89</v>
      </c>
      <c r="G24" s="9">
        <v>1280.1500000000001</v>
      </c>
      <c r="L24" s="10">
        <f t="shared" si="0"/>
        <v>1705.04</v>
      </c>
    </row>
    <row r="25" spans="2:12" x14ac:dyDescent="0.25">
      <c r="B25" s="13"/>
      <c r="C25" s="4" t="s">
        <v>31</v>
      </c>
      <c r="D25" s="9">
        <v>4521.4499999999989</v>
      </c>
      <c r="E25" s="9">
        <v>4662.2000000000007</v>
      </c>
      <c r="F25" s="9">
        <v>4395.9000000000005</v>
      </c>
      <c r="G25" s="9">
        <v>4896.17</v>
      </c>
      <c r="L25" s="10">
        <f t="shared" si="0"/>
        <v>18475.72</v>
      </c>
    </row>
    <row r="26" spans="2:12" x14ac:dyDescent="0.25">
      <c r="B26" s="3" t="s">
        <v>33</v>
      </c>
      <c r="C26" s="6"/>
      <c r="D26" s="11">
        <f>SUM(D4:D25)</f>
        <v>31089.239999999998</v>
      </c>
      <c r="E26" s="11">
        <f t="shared" ref="E26:K26" si="1">SUM(E4:E25)</f>
        <v>23245.54</v>
      </c>
      <c r="F26" s="11">
        <f t="shared" si="1"/>
        <v>26575.64</v>
      </c>
      <c r="G26" s="11">
        <f t="shared" si="1"/>
        <v>15002.31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95912.73</v>
      </c>
    </row>
    <row r="27" spans="2:12" x14ac:dyDescent="0.25">
      <c r="B27" s="13"/>
      <c r="C27" s="4"/>
      <c r="D27" s="9"/>
      <c r="E27" s="9"/>
      <c r="F27" s="9"/>
      <c r="G27" s="9"/>
      <c r="L27" s="10"/>
    </row>
    <row r="28" spans="2:12" x14ac:dyDescent="0.25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25">
      <c r="B29" s="13"/>
      <c r="C29" s="7" t="s">
        <v>12</v>
      </c>
      <c r="D29" s="11"/>
      <c r="E29" s="11"/>
      <c r="F29" s="11">
        <v>3</v>
      </c>
      <c r="G29" s="11"/>
      <c r="L29" s="10">
        <f t="shared" si="0"/>
        <v>3</v>
      </c>
    </row>
    <row r="30" spans="2:12" x14ac:dyDescent="0.25">
      <c r="B30" s="13"/>
      <c r="C30" s="4" t="s">
        <v>40</v>
      </c>
      <c r="D30" s="9"/>
      <c r="E30" s="9">
        <v>1</v>
      </c>
      <c r="F30" s="9"/>
      <c r="G30" s="9"/>
      <c r="L30" s="10">
        <f t="shared" si="0"/>
        <v>1</v>
      </c>
    </row>
    <row r="31" spans="2:12" x14ac:dyDescent="0.25">
      <c r="B31" s="13"/>
      <c r="C31" s="4" t="s">
        <v>13</v>
      </c>
      <c r="D31" s="9">
        <v>4</v>
      </c>
      <c r="E31" s="9">
        <v>3</v>
      </c>
      <c r="F31" s="9">
        <v>6</v>
      </c>
      <c r="G31" s="9"/>
      <c r="L31" s="10">
        <f t="shared" si="0"/>
        <v>13</v>
      </c>
    </row>
    <row r="32" spans="2:12" x14ac:dyDescent="0.25">
      <c r="B32" s="13"/>
      <c r="C32" s="4" t="s">
        <v>41</v>
      </c>
      <c r="D32" s="9">
        <v>3</v>
      </c>
      <c r="E32" s="9">
        <v>0</v>
      </c>
      <c r="F32" s="9">
        <v>-1</v>
      </c>
      <c r="G32" s="9"/>
      <c r="L32" s="10">
        <f t="shared" si="0"/>
        <v>2</v>
      </c>
    </row>
    <row r="33" spans="2:12" x14ac:dyDescent="0.25">
      <c r="B33" s="13"/>
      <c r="C33" s="4" t="s">
        <v>14</v>
      </c>
      <c r="D33" s="9">
        <v>3</v>
      </c>
      <c r="E33" s="9">
        <v>4</v>
      </c>
      <c r="F33" s="9">
        <v>9</v>
      </c>
      <c r="G33" s="9">
        <v>3</v>
      </c>
      <c r="L33" s="10">
        <f t="shared" si="0"/>
        <v>19</v>
      </c>
    </row>
    <row r="34" spans="2:12" x14ac:dyDescent="0.25">
      <c r="B34" s="13"/>
      <c r="C34" s="4" t="s">
        <v>15</v>
      </c>
      <c r="D34" s="9">
        <v>1</v>
      </c>
      <c r="E34" s="9"/>
      <c r="F34" s="9">
        <v>39</v>
      </c>
      <c r="G34" s="9"/>
      <c r="L34" s="10">
        <f t="shared" si="0"/>
        <v>40</v>
      </c>
    </row>
    <row r="35" spans="2:12" x14ac:dyDescent="0.25">
      <c r="B35" s="13"/>
      <c r="C35" s="4" t="s">
        <v>16</v>
      </c>
      <c r="D35" s="9">
        <v>21</v>
      </c>
      <c r="E35" s="9">
        <v>16</v>
      </c>
      <c r="F35" s="9">
        <v>15</v>
      </c>
      <c r="G35" s="9">
        <v>13</v>
      </c>
      <c r="L35" s="10">
        <f t="shared" si="0"/>
        <v>65</v>
      </c>
    </row>
    <row r="36" spans="2:12" x14ac:dyDescent="0.25">
      <c r="B36" s="13"/>
      <c r="C36" s="4" t="s">
        <v>17</v>
      </c>
      <c r="D36" s="9">
        <v>1</v>
      </c>
      <c r="E36" s="9">
        <v>2</v>
      </c>
      <c r="F36" s="9"/>
      <c r="G36" s="9"/>
      <c r="L36" s="10">
        <f t="shared" si="0"/>
        <v>3</v>
      </c>
    </row>
    <row r="37" spans="2:12" x14ac:dyDescent="0.25">
      <c r="B37" s="13"/>
      <c r="C37" s="4" t="s">
        <v>19</v>
      </c>
      <c r="D37" s="9">
        <v>2</v>
      </c>
      <c r="E37" s="9">
        <v>10</v>
      </c>
      <c r="F37" s="9">
        <v>3</v>
      </c>
      <c r="G37" s="9">
        <v>2</v>
      </c>
      <c r="L37" s="10">
        <f t="shared" si="0"/>
        <v>17</v>
      </c>
    </row>
    <row r="38" spans="2:12" x14ac:dyDescent="0.25">
      <c r="B38" s="13"/>
      <c r="C38" s="4" t="s">
        <v>20</v>
      </c>
      <c r="D38" s="9">
        <v>4</v>
      </c>
      <c r="E38" s="9">
        <v>14</v>
      </c>
      <c r="F38" s="9">
        <v>2</v>
      </c>
      <c r="G38" s="9">
        <v>5</v>
      </c>
      <c r="L38" s="10">
        <f t="shared" si="0"/>
        <v>25</v>
      </c>
    </row>
    <row r="39" spans="2:12" x14ac:dyDescent="0.25">
      <c r="B39" s="13"/>
      <c r="C39" s="4" t="s">
        <v>21</v>
      </c>
      <c r="D39" s="9"/>
      <c r="E39" s="9"/>
      <c r="F39" s="9">
        <v>1</v>
      </c>
      <c r="G39" s="9"/>
      <c r="L39" s="10">
        <f t="shared" si="0"/>
        <v>1</v>
      </c>
    </row>
    <row r="40" spans="2:12" x14ac:dyDescent="0.25">
      <c r="B40" s="13"/>
      <c r="C40" s="4" t="s">
        <v>22</v>
      </c>
      <c r="D40" s="9">
        <v>11</v>
      </c>
      <c r="E40" s="9"/>
      <c r="F40" s="9"/>
      <c r="G40" s="9"/>
      <c r="L40" s="10">
        <f t="shared" si="0"/>
        <v>11</v>
      </c>
    </row>
    <row r="41" spans="2:12" x14ac:dyDescent="0.25">
      <c r="B41" s="13"/>
      <c r="C41" s="4" t="s">
        <v>23</v>
      </c>
      <c r="D41" s="9">
        <v>23</v>
      </c>
      <c r="E41" s="9">
        <v>4</v>
      </c>
      <c r="F41" s="9">
        <v>7</v>
      </c>
      <c r="G41" s="9">
        <v>2</v>
      </c>
      <c r="L41" s="10">
        <f t="shared" si="0"/>
        <v>36</v>
      </c>
    </row>
    <row r="42" spans="2:12" x14ac:dyDescent="0.25">
      <c r="B42" s="13"/>
      <c r="C42" s="4" t="s">
        <v>24</v>
      </c>
      <c r="D42" s="9"/>
      <c r="E42" s="9">
        <v>6</v>
      </c>
      <c r="F42" s="9"/>
      <c r="G42" s="9"/>
      <c r="L42" s="10">
        <f t="shared" si="0"/>
        <v>6</v>
      </c>
    </row>
    <row r="43" spans="2:12" x14ac:dyDescent="0.25">
      <c r="B43" s="13"/>
      <c r="C43" s="4" t="s">
        <v>25</v>
      </c>
      <c r="D43" s="9"/>
      <c r="E43" s="9">
        <v>1</v>
      </c>
      <c r="F43" s="9"/>
      <c r="G43" s="9"/>
      <c r="L43" s="10">
        <f t="shared" si="0"/>
        <v>1</v>
      </c>
    </row>
    <row r="44" spans="2:12" x14ac:dyDescent="0.25">
      <c r="B44" s="13"/>
      <c r="C44" s="4" t="s">
        <v>26</v>
      </c>
      <c r="D44" s="9">
        <v>25</v>
      </c>
      <c r="E44" s="9">
        <v>66</v>
      </c>
      <c r="F44" s="9">
        <v>29</v>
      </c>
      <c r="G44" s="9">
        <v>22</v>
      </c>
      <c r="L44" s="10">
        <f t="shared" si="0"/>
        <v>142</v>
      </c>
    </row>
    <row r="45" spans="2:12" x14ac:dyDescent="0.25">
      <c r="B45" s="13"/>
      <c r="C45" s="4" t="s">
        <v>27</v>
      </c>
      <c r="D45" s="9">
        <v>20</v>
      </c>
      <c r="E45" s="9">
        <v>40</v>
      </c>
      <c r="F45" s="9">
        <v>17</v>
      </c>
      <c r="G45" s="9">
        <v>29</v>
      </c>
      <c r="L45" s="10">
        <f t="shared" si="0"/>
        <v>106</v>
      </c>
    </row>
    <row r="46" spans="2:12" x14ac:dyDescent="0.25">
      <c r="B46" s="13"/>
      <c r="C46" s="4" t="s">
        <v>28</v>
      </c>
      <c r="D46" s="9">
        <v>2</v>
      </c>
      <c r="E46" s="9">
        <v>2</v>
      </c>
      <c r="F46" s="9">
        <v>1</v>
      </c>
      <c r="G46" s="9">
        <v>1</v>
      </c>
      <c r="L46" s="10">
        <f t="shared" si="0"/>
        <v>6</v>
      </c>
    </row>
    <row r="47" spans="2:12" x14ac:dyDescent="0.25">
      <c r="B47" s="13"/>
      <c r="C47" s="4" t="s">
        <v>29</v>
      </c>
      <c r="D47" s="9">
        <v>18</v>
      </c>
      <c r="E47" s="9">
        <v>12</v>
      </c>
      <c r="F47" s="9">
        <v>3</v>
      </c>
      <c r="G47" s="9">
        <v>9</v>
      </c>
      <c r="L47" s="10">
        <f t="shared" si="0"/>
        <v>42</v>
      </c>
    </row>
    <row r="48" spans="2:12" x14ac:dyDescent="0.25">
      <c r="B48" s="13"/>
      <c r="C48" s="4" t="s">
        <v>43</v>
      </c>
      <c r="D48" s="9">
        <v>-1</v>
      </c>
      <c r="E48" s="9">
        <v>3</v>
      </c>
      <c r="F48" s="9"/>
      <c r="G48" s="9"/>
      <c r="L48" s="10">
        <f t="shared" si="0"/>
        <v>2</v>
      </c>
    </row>
    <row r="49" spans="2:12" x14ac:dyDescent="0.25">
      <c r="B49" s="13"/>
      <c r="C49" s="4" t="s">
        <v>30</v>
      </c>
      <c r="D49" s="9">
        <v>0</v>
      </c>
      <c r="E49" s="9"/>
      <c r="F49" s="9">
        <v>2</v>
      </c>
      <c r="G49" s="9">
        <v>6</v>
      </c>
      <c r="L49" s="10">
        <f t="shared" si="0"/>
        <v>8</v>
      </c>
    </row>
    <row r="50" spans="2:12" x14ac:dyDescent="0.25">
      <c r="B50" s="13"/>
      <c r="C50" s="4" t="s">
        <v>31</v>
      </c>
      <c r="D50" s="9">
        <v>104</v>
      </c>
      <c r="E50" s="9">
        <v>122</v>
      </c>
      <c r="F50" s="9">
        <v>124</v>
      </c>
      <c r="G50" s="9">
        <v>110</v>
      </c>
      <c r="L50" s="10">
        <f t="shared" si="0"/>
        <v>460</v>
      </c>
    </row>
    <row r="51" spans="2:12" x14ac:dyDescent="0.25">
      <c r="B51" s="8" t="s">
        <v>45</v>
      </c>
      <c r="C51" s="23"/>
      <c r="D51" s="11">
        <f>SUM(D29:D50)</f>
        <v>241</v>
      </c>
      <c r="E51" s="11">
        <f t="shared" ref="E51:K51" si="2">SUM(E29:E50)</f>
        <v>306</v>
      </c>
      <c r="F51" s="11">
        <f t="shared" si="2"/>
        <v>260</v>
      </c>
      <c r="G51" s="11">
        <f t="shared" si="2"/>
        <v>202</v>
      </c>
      <c r="H51" s="11">
        <f t="shared" si="2"/>
        <v>0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1">
        <f>SUM(D51:K51)</f>
        <v>1009</v>
      </c>
    </row>
    <row r="52" spans="2:12" x14ac:dyDescent="0.25">
      <c r="B52" s="8"/>
      <c r="C52" s="23"/>
      <c r="D52" s="11"/>
      <c r="E52" s="11"/>
      <c r="F52" s="11"/>
      <c r="G52" s="11"/>
      <c r="L52" s="10"/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0C1D-DAE1-47F4-B543-9AE9750B9964}">
  <sheetPr>
    <pageSetUpPr fitToPage="1"/>
  </sheetPr>
  <dimension ref="B1:M62"/>
  <sheetViews>
    <sheetView topLeftCell="A44" workbookViewId="0">
      <selection activeCell="G57" sqref="G57"/>
    </sheetView>
  </sheetViews>
  <sheetFormatPr defaultRowHeight="15" x14ac:dyDescent="0.25"/>
  <cols>
    <col min="1" max="1" width="8.7109375"/>
    <col min="2" max="2" width="18" customWidth="1"/>
    <col min="3" max="3" width="16.28515625" bestFit="1" customWidth="1"/>
    <col min="8" max="8" width="7.28515625" bestFit="1" customWidth="1"/>
    <col min="12" max="12" width="11.140625" bestFit="1" customWidth="1"/>
    <col min="13" max="13" width="4.42578125" customWidth="1"/>
  </cols>
  <sheetData>
    <row r="1" spans="2:12" x14ac:dyDescent="0.25">
      <c r="B1" s="32" t="s">
        <v>100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99</v>
      </c>
      <c r="C4" s="7" t="s">
        <v>11</v>
      </c>
      <c r="D4" s="9">
        <v>47579.4</v>
      </c>
      <c r="E4" s="9">
        <v>46244.17</v>
      </c>
      <c r="F4" s="9">
        <v>19772.05</v>
      </c>
      <c r="G4" s="9">
        <v>44640.25</v>
      </c>
      <c r="H4" s="9">
        <v>13899.94</v>
      </c>
      <c r="L4" s="10">
        <f>SUM(D4:K4)</f>
        <v>172135.81</v>
      </c>
    </row>
    <row r="5" spans="2:12" x14ac:dyDescent="0.25">
      <c r="B5" s="13"/>
      <c r="C5" s="4" t="s">
        <v>38</v>
      </c>
      <c r="D5" s="9">
        <v>1127.18</v>
      </c>
      <c r="E5" s="9"/>
      <c r="F5" s="9">
        <v>1069.0900000000001</v>
      </c>
      <c r="G5" s="9">
        <v>-52.529999999999973</v>
      </c>
      <c r="H5" s="9"/>
      <c r="L5" s="10">
        <f t="shared" ref="L5:L61" si="0">SUM(D5:K5)</f>
        <v>2143.7400000000007</v>
      </c>
    </row>
    <row r="6" spans="2:12" x14ac:dyDescent="0.25">
      <c r="B6" s="13"/>
      <c r="C6" s="4" t="s">
        <v>64</v>
      </c>
      <c r="D6" s="9">
        <v>346.67</v>
      </c>
      <c r="E6" s="9">
        <v>5170.2299999999996</v>
      </c>
      <c r="F6" s="9"/>
      <c r="G6" s="9">
        <v>3365.14</v>
      </c>
      <c r="H6" s="9"/>
      <c r="L6" s="10">
        <f t="shared" si="0"/>
        <v>8882.0399999999991</v>
      </c>
    </row>
    <row r="7" spans="2:12" x14ac:dyDescent="0.25">
      <c r="B7" s="13"/>
      <c r="C7" s="4" t="s">
        <v>39</v>
      </c>
      <c r="D7" s="9"/>
      <c r="E7" s="9"/>
      <c r="F7" s="9">
        <v>89.83</v>
      </c>
      <c r="G7" s="9">
        <v>306.95999999999998</v>
      </c>
      <c r="H7" s="9"/>
      <c r="L7" s="10">
        <f t="shared" si="0"/>
        <v>396.78999999999996</v>
      </c>
    </row>
    <row r="8" spans="2:12" x14ac:dyDescent="0.25">
      <c r="B8" s="13"/>
      <c r="C8" s="4" t="s">
        <v>40</v>
      </c>
      <c r="D8" s="9">
        <v>236.36</v>
      </c>
      <c r="E8" s="9">
        <v>473.1</v>
      </c>
      <c r="F8" s="9">
        <v>336.78999999999996</v>
      </c>
      <c r="G8" s="9">
        <v>660.41</v>
      </c>
      <c r="H8" s="9">
        <v>99.98</v>
      </c>
      <c r="L8" s="10">
        <f t="shared" si="0"/>
        <v>1806.6399999999999</v>
      </c>
    </row>
    <row r="9" spans="2:12" x14ac:dyDescent="0.25">
      <c r="B9" s="13"/>
      <c r="C9" s="4" t="s">
        <v>13</v>
      </c>
      <c r="D9" s="9">
        <v>2746.06</v>
      </c>
      <c r="E9" s="9">
        <v>880.32</v>
      </c>
      <c r="F9" s="9">
        <v>1883.11</v>
      </c>
      <c r="G9" s="9">
        <v>-730.7</v>
      </c>
      <c r="H9" s="9">
        <v>774.38</v>
      </c>
      <c r="L9" s="10">
        <f t="shared" si="0"/>
        <v>5553.17</v>
      </c>
    </row>
    <row r="10" spans="2:12" x14ac:dyDescent="0.25">
      <c r="B10" s="13"/>
      <c r="C10" s="4" t="s">
        <v>41</v>
      </c>
      <c r="D10" s="9">
        <v>1816.19</v>
      </c>
      <c r="E10" s="9">
        <v>6350.68</v>
      </c>
      <c r="F10" s="9">
        <v>2926.2</v>
      </c>
      <c r="G10" s="9">
        <v>5802.5300000000007</v>
      </c>
      <c r="H10" s="9"/>
      <c r="L10" s="10">
        <f t="shared" si="0"/>
        <v>16895.599999999999</v>
      </c>
    </row>
    <row r="11" spans="2:12" x14ac:dyDescent="0.25">
      <c r="B11" s="13"/>
      <c r="C11" s="4" t="s">
        <v>14</v>
      </c>
      <c r="D11" s="9">
        <v>1297.18</v>
      </c>
      <c r="E11" s="9">
        <v>460.31</v>
      </c>
      <c r="F11" s="9">
        <v>902.33999999999992</v>
      </c>
      <c r="G11" s="9"/>
      <c r="H11" s="9"/>
      <c r="L11" s="10">
        <f t="shared" si="0"/>
        <v>2659.83</v>
      </c>
    </row>
    <row r="12" spans="2:12" x14ac:dyDescent="0.25">
      <c r="B12" s="13"/>
      <c r="C12" s="4" t="s">
        <v>15</v>
      </c>
      <c r="D12" s="9">
        <v>20648.52</v>
      </c>
      <c r="E12" s="9">
        <v>8317.76</v>
      </c>
      <c r="F12" s="9">
        <v>187795.81</v>
      </c>
      <c r="G12" s="9">
        <v>-24922.109999999997</v>
      </c>
      <c r="H12" s="9">
        <v>4700.08</v>
      </c>
      <c r="L12" s="10">
        <f t="shared" si="0"/>
        <v>196540.06</v>
      </c>
    </row>
    <row r="13" spans="2:12" x14ac:dyDescent="0.25">
      <c r="B13" s="13"/>
      <c r="C13" s="4" t="s">
        <v>42</v>
      </c>
      <c r="D13" s="9">
        <v>34042.49</v>
      </c>
      <c r="E13" s="9">
        <v>29257.61</v>
      </c>
      <c r="F13" s="9">
        <v>85033.700000000012</v>
      </c>
      <c r="G13" s="9">
        <v>10295.65</v>
      </c>
      <c r="H13" s="9">
        <v>47749.93</v>
      </c>
      <c r="L13" s="10">
        <f t="shared" si="0"/>
        <v>206379.38</v>
      </c>
    </row>
    <row r="14" spans="2:12" x14ac:dyDescent="0.25">
      <c r="B14" s="13"/>
      <c r="C14" s="4" t="s">
        <v>16</v>
      </c>
      <c r="D14" s="9">
        <v>18271.32</v>
      </c>
      <c r="E14" s="9">
        <v>12505.330000000002</v>
      </c>
      <c r="F14" s="9">
        <v>17656.84</v>
      </c>
      <c r="G14" s="9">
        <v>17931</v>
      </c>
      <c r="H14" s="9">
        <v>4890.12</v>
      </c>
      <c r="L14" s="10">
        <f t="shared" si="0"/>
        <v>71254.61</v>
      </c>
    </row>
    <row r="15" spans="2:12" x14ac:dyDescent="0.25">
      <c r="B15" s="13"/>
      <c r="C15" s="4" t="s">
        <v>17</v>
      </c>
      <c r="D15" s="9"/>
      <c r="E15" s="9">
        <v>3106.61</v>
      </c>
      <c r="F15" s="9">
        <v>-195.49</v>
      </c>
      <c r="G15" s="9">
        <v>-296.76</v>
      </c>
      <c r="H15" s="9">
        <v>2299.9699999999998</v>
      </c>
      <c r="L15" s="10">
        <f t="shared" si="0"/>
        <v>4914.33</v>
      </c>
    </row>
    <row r="16" spans="2:12" x14ac:dyDescent="0.25">
      <c r="B16" s="13"/>
      <c r="C16" s="4" t="s">
        <v>19</v>
      </c>
      <c r="D16" s="9">
        <v>1777.13</v>
      </c>
      <c r="E16" s="9">
        <v>3900.44</v>
      </c>
      <c r="F16" s="9">
        <v>1937.6499999999999</v>
      </c>
      <c r="G16" s="9">
        <v>-778.28</v>
      </c>
      <c r="H16" s="9">
        <v>2299.96</v>
      </c>
      <c r="L16" s="10">
        <f t="shared" si="0"/>
        <v>9136.9</v>
      </c>
    </row>
    <row r="17" spans="2:12" x14ac:dyDescent="0.25">
      <c r="B17" s="13"/>
      <c r="C17" s="4" t="s">
        <v>20</v>
      </c>
      <c r="D17" s="9">
        <v>5205.8100000000004</v>
      </c>
      <c r="E17" s="9">
        <v>6019.63</v>
      </c>
      <c r="F17" s="9">
        <v>4246.21</v>
      </c>
      <c r="G17" s="9">
        <v>2335.35</v>
      </c>
      <c r="H17" s="9">
        <v>1149.98</v>
      </c>
      <c r="L17" s="10">
        <f t="shared" si="0"/>
        <v>18956.98</v>
      </c>
    </row>
    <row r="18" spans="2:12" x14ac:dyDescent="0.25">
      <c r="B18" s="13"/>
      <c r="C18" s="4" t="s">
        <v>21</v>
      </c>
      <c r="D18" s="9">
        <v>8468.08</v>
      </c>
      <c r="E18" s="9">
        <v>4764.2700000000004</v>
      </c>
      <c r="F18" s="9">
        <v>4915.5400000000009</v>
      </c>
      <c r="G18" s="9">
        <v>2980.58</v>
      </c>
      <c r="H18" s="9"/>
      <c r="L18" s="10">
        <f t="shared" si="0"/>
        <v>21128.47</v>
      </c>
    </row>
    <row r="19" spans="2:12" x14ac:dyDescent="0.25">
      <c r="B19" s="13"/>
      <c r="C19" s="4" t="s">
        <v>22</v>
      </c>
      <c r="D19" s="9">
        <v>351583.06999999995</v>
      </c>
      <c r="E19" s="9">
        <v>50033.39</v>
      </c>
      <c r="F19" s="9"/>
      <c r="G19" s="9"/>
      <c r="H19" s="9">
        <v>66249.59</v>
      </c>
      <c r="L19" s="10">
        <f t="shared" si="0"/>
        <v>467866.04999999993</v>
      </c>
    </row>
    <row r="20" spans="2:12" x14ac:dyDescent="0.25">
      <c r="B20" s="13"/>
      <c r="C20" s="4" t="s">
        <v>23</v>
      </c>
      <c r="D20" s="9">
        <v>6612.3600000000006</v>
      </c>
      <c r="E20" s="9">
        <v>42594.209999999992</v>
      </c>
      <c r="F20" s="9">
        <v>15444.93</v>
      </c>
      <c r="G20" s="9">
        <v>7741.54</v>
      </c>
      <c r="H20" s="9">
        <v>11499.93</v>
      </c>
      <c r="L20" s="10">
        <f t="shared" si="0"/>
        <v>83892.97</v>
      </c>
    </row>
    <row r="21" spans="2:12" x14ac:dyDescent="0.25">
      <c r="B21" s="13"/>
      <c r="C21" s="4" t="s">
        <v>24</v>
      </c>
      <c r="D21" s="9">
        <v>11528.730000000001</v>
      </c>
      <c r="E21" s="9">
        <v>12828.300000000001</v>
      </c>
      <c r="F21" s="9"/>
      <c r="G21" s="9">
        <v>3101.32</v>
      </c>
      <c r="H21" s="9"/>
      <c r="L21" s="10">
        <f t="shared" si="0"/>
        <v>27458.350000000002</v>
      </c>
    </row>
    <row r="22" spans="2:12" x14ac:dyDescent="0.25">
      <c r="B22" s="13"/>
      <c r="C22" s="4" t="s">
        <v>25</v>
      </c>
      <c r="D22" s="9">
        <v>12955.65</v>
      </c>
      <c r="E22" s="9">
        <v>1304.79</v>
      </c>
      <c r="F22" s="9">
        <v>3963.1000000000004</v>
      </c>
      <c r="G22" s="9">
        <v>986.71</v>
      </c>
      <c r="H22" s="9"/>
      <c r="L22" s="10">
        <f t="shared" si="0"/>
        <v>19210.25</v>
      </c>
    </row>
    <row r="23" spans="2:12" x14ac:dyDescent="0.25">
      <c r="B23" s="13"/>
      <c r="C23" s="4" t="s">
        <v>26</v>
      </c>
      <c r="D23" s="9">
        <v>8082.65</v>
      </c>
      <c r="E23" s="9">
        <v>8412.5399999999991</v>
      </c>
      <c r="F23" s="9">
        <v>10545.939999999999</v>
      </c>
      <c r="G23" s="9">
        <v>7186.47</v>
      </c>
      <c r="H23" s="9">
        <v>4820.3500000000004</v>
      </c>
      <c r="L23" s="10">
        <f t="shared" si="0"/>
        <v>39047.949999999997</v>
      </c>
    </row>
    <row r="24" spans="2:12" x14ac:dyDescent="0.25">
      <c r="B24" s="13"/>
      <c r="C24" s="4" t="s">
        <v>27</v>
      </c>
      <c r="D24" s="9">
        <v>11635.11</v>
      </c>
      <c r="E24" s="9">
        <v>12698.109999999999</v>
      </c>
      <c r="F24" s="9">
        <v>10086.89</v>
      </c>
      <c r="G24" s="9">
        <v>17856.350000000002</v>
      </c>
      <c r="H24" s="9">
        <v>6500.25</v>
      </c>
      <c r="L24" s="10">
        <f t="shared" si="0"/>
        <v>58776.710000000006</v>
      </c>
    </row>
    <row r="25" spans="2:12" x14ac:dyDescent="0.25">
      <c r="B25" s="13"/>
      <c r="C25" s="4" t="s">
        <v>28</v>
      </c>
      <c r="D25" s="9">
        <v>13278.86</v>
      </c>
      <c r="E25" s="9">
        <v>6275.71</v>
      </c>
      <c r="F25" s="9">
        <v>5867.9699999999993</v>
      </c>
      <c r="G25" s="9">
        <v>4755.6400000000003</v>
      </c>
      <c r="H25" s="9">
        <v>3600.01</v>
      </c>
      <c r="L25" s="10">
        <f t="shared" si="0"/>
        <v>33778.19</v>
      </c>
    </row>
    <row r="26" spans="2:12" x14ac:dyDescent="0.25">
      <c r="B26" s="13"/>
      <c r="C26" s="4" t="s">
        <v>29</v>
      </c>
      <c r="D26" s="9">
        <v>113230.25</v>
      </c>
      <c r="E26" s="9">
        <v>60990.38</v>
      </c>
      <c r="F26" s="9">
        <v>50553.22</v>
      </c>
      <c r="G26" s="9">
        <v>84975.489999999991</v>
      </c>
      <c r="H26" s="9">
        <v>20400.190000000002</v>
      </c>
      <c r="L26" s="10">
        <f t="shared" si="0"/>
        <v>330149.52999999997</v>
      </c>
    </row>
    <row r="27" spans="2:12" x14ac:dyDescent="0.25">
      <c r="B27" s="13"/>
      <c r="C27" s="4" t="s">
        <v>43</v>
      </c>
      <c r="D27" s="9">
        <v>5408.31</v>
      </c>
      <c r="E27" s="9">
        <v>2368.59</v>
      </c>
      <c r="F27" s="9">
        <v>2636.6899999999996</v>
      </c>
      <c r="G27" s="9">
        <v>8001.59</v>
      </c>
      <c r="H27" s="9"/>
      <c r="L27" s="10">
        <f t="shared" si="0"/>
        <v>18415.18</v>
      </c>
    </row>
    <row r="28" spans="2:12" x14ac:dyDescent="0.25">
      <c r="B28" s="13"/>
      <c r="C28" s="4" t="s">
        <v>30</v>
      </c>
      <c r="D28" s="9">
        <v>969.5</v>
      </c>
      <c r="E28" s="9">
        <v>2754.63</v>
      </c>
      <c r="F28" s="9">
        <v>1707</v>
      </c>
      <c r="G28" s="9">
        <v>634.32000000000005</v>
      </c>
      <c r="H28" s="9"/>
      <c r="L28" s="10">
        <f t="shared" si="0"/>
        <v>6065.45</v>
      </c>
    </row>
    <row r="29" spans="2:12" x14ac:dyDescent="0.25">
      <c r="B29" s="13"/>
      <c r="C29" s="4" t="s">
        <v>31</v>
      </c>
      <c r="D29" s="9">
        <v>15957.87</v>
      </c>
      <c r="E29" s="9">
        <v>18208.89</v>
      </c>
      <c r="F29" s="9">
        <v>19587.07</v>
      </c>
      <c r="G29" s="9">
        <v>14344.16</v>
      </c>
      <c r="H29" s="9">
        <v>3499.97</v>
      </c>
      <c r="L29" s="10">
        <f t="shared" si="0"/>
        <v>71597.960000000006</v>
      </c>
    </row>
    <row r="30" spans="2:12" x14ac:dyDescent="0.25">
      <c r="B30" s="13"/>
      <c r="C30" s="4" t="s">
        <v>32</v>
      </c>
      <c r="D30" s="9">
        <v>8457.69</v>
      </c>
      <c r="E30" s="9">
        <v>1967.61</v>
      </c>
      <c r="F30" s="9">
        <v>1504.3999999999999</v>
      </c>
      <c r="G30" s="9">
        <v>4234.5600000000004</v>
      </c>
      <c r="H30" s="9"/>
      <c r="L30" s="10">
        <f t="shared" si="0"/>
        <v>16164.260000000002</v>
      </c>
    </row>
    <row r="31" spans="2:12" x14ac:dyDescent="0.25">
      <c r="B31" s="13"/>
      <c r="C31" s="4" t="s">
        <v>61</v>
      </c>
      <c r="D31" s="9"/>
      <c r="E31" s="9"/>
      <c r="F31" s="9"/>
      <c r="G31" s="9">
        <v>-81443.936490815249</v>
      </c>
      <c r="H31" s="9"/>
      <c r="L31" s="10">
        <f t="shared" si="0"/>
        <v>-81443.936490815249</v>
      </c>
    </row>
    <row r="32" spans="2:12" x14ac:dyDescent="0.25">
      <c r="B32" s="3" t="s">
        <v>33</v>
      </c>
      <c r="C32" s="6"/>
      <c r="D32" s="11">
        <f>SUM(D4:D31)</f>
        <v>703262.44</v>
      </c>
      <c r="E32" s="11">
        <f>SUM(E4:E31)</f>
        <v>347887.61</v>
      </c>
      <c r="F32" s="11">
        <f>SUM(F4:F31)</f>
        <v>450266.88000000012</v>
      </c>
      <c r="G32" s="11">
        <f>SUM(G4:G31)</f>
        <v>133911.70350918476</v>
      </c>
      <c r="H32" s="11">
        <f>SUM(H4:H31)</f>
        <v>194434.63</v>
      </c>
      <c r="I32" s="11">
        <f t="shared" ref="I32:K32" si="1">SUM(I4:I31)</f>
        <v>0</v>
      </c>
      <c r="J32" s="11">
        <f t="shared" si="1"/>
        <v>0</v>
      </c>
      <c r="K32" s="11">
        <f t="shared" si="1"/>
        <v>0</v>
      </c>
      <c r="L32" s="10">
        <f>SUM(D32:K32)</f>
        <v>1829763.2635091846</v>
      </c>
    </row>
    <row r="33" spans="2:13" x14ac:dyDescent="0.25">
      <c r="B33" s="13"/>
      <c r="C33" s="4"/>
      <c r="D33" s="9"/>
      <c r="E33" s="9"/>
      <c r="F33" s="9"/>
      <c r="G33" s="9"/>
      <c r="L33" s="10"/>
    </row>
    <row r="34" spans="2:13" x14ac:dyDescent="0.25">
      <c r="B34" s="8" t="s">
        <v>2</v>
      </c>
      <c r="C34" s="30" t="s">
        <v>3</v>
      </c>
      <c r="D34" s="31" t="s">
        <v>8</v>
      </c>
      <c r="E34" s="31" t="s">
        <v>7</v>
      </c>
      <c r="F34" s="31" t="s">
        <v>6</v>
      </c>
      <c r="G34" s="31" t="s">
        <v>5</v>
      </c>
      <c r="H34" s="30" t="s">
        <v>4</v>
      </c>
      <c r="I34" s="30" t="s">
        <v>34</v>
      </c>
      <c r="J34" s="30" t="s">
        <v>35</v>
      </c>
      <c r="K34" s="30" t="s">
        <v>36</v>
      </c>
      <c r="L34" s="30" t="s">
        <v>9</v>
      </c>
    </row>
    <row r="35" spans="2:13" x14ac:dyDescent="0.25">
      <c r="B35" s="13"/>
      <c r="C35" s="7" t="s">
        <v>11</v>
      </c>
      <c r="D35" s="11">
        <v>74</v>
      </c>
      <c r="E35" s="11">
        <v>71</v>
      </c>
      <c r="F35" s="11">
        <v>30</v>
      </c>
      <c r="G35" s="11">
        <v>68</v>
      </c>
      <c r="H35" s="11">
        <v>20</v>
      </c>
      <c r="L35" s="10">
        <f t="shared" si="0"/>
        <v>263</v>
      </c>
    </row>
    <row r="36" spans="2:13" x14ac:dyDescent="0.25">
      <c r="B36" s="13"/>
      <c r="C36" s="4" t="s">
        <v>38</v>
      </c>
      <c r="D36" s="9">
        <v>5</v>
      </c>
      <c r="E36" s="9"/>
      <c r="F36" s="9">
        <v>5</v>
      </c>
      <c r="G36" s="9">
        <v>0</v>
      </c>
      <c r="H36" s="9"/>
      <c r="L36" s="10">
        <f t="shared" si="0"/>
        <v>10</v>
      </c>
    </row>
    <row r="37" spans="2:13" x14ac:dyDescent="0.25">
      <c r="B37" s="13"/>
      <c r="C37" s="4" t="s">
        <v>64</v>
      </c>
      <c r="D37" s="9">
        <v>1</v>
      </c>
      <c r="E37" s="9">
        <v>15</v>
      </c>
      <c r="F37" s="9"/>
      <c r="G37" s="9">
        <v>10</v>
      </c>
      <c r="H37" s="9"/>
      <c r="L37" s="10">
        <f t="shared" si="0"/>
        <v>26</v>
      </c>
    </row>
    <row r="38" spans="2:13" x14ac:dyDescent="0.25">
      <c r="B38" s="13"/>
      <c r="C38" s="28" t="s">
        <v>39</v>
      </c>
      <c r="D38" s="9"/>
      <c r="E38" s="9"/>
      <c r="F38" s="9">
        <v>1</v>
      </c>
      <c r="G38" s="9">
        <v>3</v>
      </c>
      <c r="H38" s="9"/>
      <c r="L38" s="10">
        <f t="shared" si="0"/>
        <v>4</v>
      </c>
      <c r="M38" s="29"/>
    </row>
    <row r="39" spans="2:13" x14ac:dyDescent="0.25">
      <c r="B39" s="13"/>
      <c r="C39" s="28" t="s">
        <v>40</v>
      </c>
      <c r="D39" s="9">
        <v>10</v>
      </c>
      <c r="E39" s="9">
        <v>20</v>
      </c>
      <c r="F39" s="9">
        <v>15</v>
      </c>
      <c r="G39" s="9">
        <v>30</v>
      </c>
      <c r="H39" s="9">
        <v>10</v>
      </c>
      <c r="L39" s="10">
        <f t="shared" si="0"/>
        <v>85</v>
      </c>
      <c r="M39" s="29"/>
    </row>
    <row r="40" spans="2:13" x14ac:dyDescent="0.25">
      <c r="B40" s="13"/>
      <c r="C40" s="28" t="s">
        <v>13</v>
      </c>
      <c r="D40" s="9">
        <v>15</v>
      </c>
      <c r="E40" s="9">
        <v>5</v>
      </c>
      <c r="F40" s="9">
        <v>11</v>
      </c>
      <c r="G40" s="9">
        <v>-4</v>
      </c>
      <c r="H40" s="9">
        <v>10</v>
      </c>
      <c r="L40" s="10">
        <f t="shared" si="0"/>
        <v>37</v>
      </c>
      <c r="M40" s="29"/>
    </row>
    <row r="41" spans="2:13" x14ac:dyDescent="0.25">
      <c r="B41" s="13"/>
      <c r="C41" s="4" t="s">
        <v>41</v>
      </c>
      <c r="D41" s="9">
        <v>25</v>
      </c>
      <c r="E41" s="9">
        <v>87</v>
      </c>
      <c r="F41" s="9">
        <v>40</v>
      </c>
      <c r="G41" s="9">
        <v>80</v>
      </c>
      <c r="H41" s="9"/>
      <c r="L41" s="10">
        <f t="shared" si="0"/>
        <v>232</v>
      </c>
    </row>
    <row r="42" spans="2:13" x14ac:dyDescent="0.25">
      <c r="B42" s="13"/>
      <c r="C42" s="28" t="s">
        <v>14</v>
      </c>
      <c r="D42" s="9">
        <v>6</v>
      </c>
      <c r="E42" s="9">
        <v>2</v>
      </c>
      <c r="F42" s="9">
        <v>4</v>
      </c>
      <c r="G42" s="9"/>
      <c r="H42" s="9"/>
      <c r="L42" s="10">
        <f t="shared" si="0"/>
        <v>12</v>
      </c>
      <c r="M42" s="29"/>
    </row>
    <row r="43" spans="2:13" x14ac:dyDescent="0.25">
      <c r="B43" s="13"/>
      <c r="C43" s="28" t="s">
        <v>15</v>
      </c>
      <c r="D43" s="9">
        <v>100</v>
      </c>
      <c r="E43" s="9">
        <v>40</v>
      </c>
      <c r="F43" s="9">
        <v>843</v>
      </c>
      <c r="G43" s="9">
        <v>-112</v>
      </c>
      <c r="H43" s="9">
        <v>20</v>
      </c>
      <c r="L43" s="10">
        <f t="shared" si="0"/>
        <v>891</v>
      </c>
      <c r="M43" s="29"/>
    </row>
    <row r="44" spans="2:13" x14ac:dyDescent="0.25">
      <c r="B44" s="13"/>
      <c r="C44" s="4" t="s">
        <v>42</v>
      </c>
      <c r="D44" s="9">
        <v>75</v>
      </c>
      <c r="E44" s="9">
        <v>64</v>
      </c>
      <c r="F44" s="9">
        <v>181</v>
      </c>
      <c r="G44" s="9">
        <v>22</v>
      </c>
      <c r="H44" s="9">
        <v>100</v>
      </c>
      <c r="L44" s="10">
        <f t="shared" si="0"/>
        <v>442</v>
      </c>
    </row>
    <row r="45" spans="2:13" x14ac:dyDescent="0.25">
      <c r="B45" s="13"/>
      <c r="C45" s="4" t="s">
        <v>16</v>
      </c>
      <c r="D45" s="9">
        <v>192</v>
      </c>
      <c r="E45" s="9">
        <v>136</v>
      </c>
      <c r="F45" s="9">
        <v>175</v>
      </c>
      <c r="G45" s="9">
        <v>180</v>
      </c>
      <c r="H45" s="9">
        <v>30</v>
      </c>
      <c r="L45" s="10">
        <f t="shared" si="0"/>
        <v>713</v>
      </c>
    </row>
    <row r="46" spans="2:13" x14ac:dyDescent="0.25">
      <c r="B46" s="13"/>
      <c r="C46" s="28" t="s">
        <v>17</v>
      </c>
      <c r="D46" s="9"/>
      <c r="E46" s="9">
        <v>16</v>
      </c>
      <c r="F46" s="9">
        <v>-1</v>
      </c>
      <c r="G46" s="9">
        <v>-2</v>
      </c>
      <c r="H46" s="9">
        <v>10</v>
      </c>
      <c r="L46" s="10">
        <f t="shared" si="0"/>
        <v>23</v>
      </c>
      <c r="M46" s="29"/>
    </row>
    <row r="47" spans="2:13" x14ac:dyDescent="0.25">
      <c r="B47" s="13"/>
      <c r="C47" s="28" t="s">
        <v>19</v>
      </c>
      <c r="D47" s="9">
        <v>9</v>
      </c>
      <c r="E47" s="9">
        <v>20</v>
      </c>
      <c r="F47" s="9">
        <v>9</v>
      </c>
      <c r="G47" s="9">
        <v>-4</v>
      </c>
      <c r="H47" s="9">
        <v>10</v>
      </c>
      <c r="L47" s="10">
        <f t="shared" si="0"/>
        <v>44</v>
      </c>
      <c r="M47" s="29"/>
    </row>
    <row r="48" spans="2:13" x14ac:dyDescent="0.25">
      <c r="B48" s="13"/>
      <c r="C48" s="28" t="s">
        <v>20</v>
      </c>
      <c r="D48" s="9">
        <v>27</v>
      </c>
      <c r="E48" s="9">
        <v>31</v>
      </c>
      <c r="F48" s="9">
        <v>20</v>
      </c>
      <c r="G48" s="9">
        <v>11</v>
      </c>
      <c r="H48" s="9">
        <v>5</v>
      </c>
      <c r="L48" s="10">
        <f t="shared" si="0"/>
        <v>94</v>
      </c>
      <c r="M48" s="29"/>
    </row>
    <row r="49" spans="2:13" x14ac:dyDescent="0.25">
      <c r="B49" s="13"/>
      <c r="C49" s="4" t="s">
        <v>21</v>
      </c>
      <c r="D49" s="9">
        <v>30</v>
      </c>
      <c r="E49" s="9">
        <v>17</v>
      </c>
      <c r="F49" s="9">
        <v>17</v>
      </c>
      <c r="G49" s="9">
        <v>11</v>
      </c>
      <c r="H49" s="9"/>
      <c r="L49" s="10">
        <f t="shared" si="0"/>
        <v>75</v>
      </c>
    </row>
    <row r="50" spans="2:13" x14ac:dyDescent="0.25">
      <c r="B50" s="13"/>
      <c r="C50" s="28" t="s">
        <v>22</v>
      </c>
      <c r="D50" s="9">
        <v>1137</v>
      </c>
      <c r="E50" s="9">
        <v>160</v>
      </c>
      <c r="F50" s="9"/>
      <c r="G50" s="9"/>
      <c r="H50" s="9">
        <v>190</v>
      </c>
      <c r="L50" s="10">
        <f t="shared" si="0"/>
        <v>1487</v>
      </c>
      <c r="M50" s="29"/>
    </row>
    <row r="51" spans="2:13" x14ac:dyDescent="0.25">
      <c r="B51" s="13"/>
      <c r="C51" s="4" t="s">
        <v>23</v>
      </c>
      <c r="D51" s="9">
        <v>14</v>
      </c>
      <c r="E51" s="9">
        <v>86</v>
      </c>
      <c r="F51" s="9">
        <v>30</v>
      </c>
      <c r="G51" s="9">
        <v>15</v>
      </c>
      <c r="H51" s="9">
        <v>20</v>
      </c>
      <c r="L51" s="10">
        <f t="shared" si="0"/>
        <v>165</v>
      </c>
    </row>
    <row r="52" spans="2:13" x14ac:dyDescent="0.25">
      <c r="B52" s="13"/>
      <c r="C52" s="28" t="s">
        <v>24</v>
      </c>
      <c r="D52" s="9">
        <v>39</v>
      </c>
      <c r="E52" s="9">
        <v>43</v>
      </c>
      <c r="F52" s="9"/>
      <c r="G52" s="9">
        <v>10</v>
      </c>
      <c r="H52" s="9"/>
      <c r="L52" s="10">
        <f t="shared" si="0"/>
        <v>92</v>
      </c>
      <c r="M52" s="29"/>
    </row>
    <row r="53" spans="2:13" x14ac:dyDescent="0.25">
      <c r="B53" s="13"/>
      <c r="C53" s="28" t="s">
        <v>25</v>
      </c>
      <c r="D53" s="9">
        <v>70</v>
      </c>
      <c r="E53" s="9">
        <v>7</v>
      </c>
      <c r="F53" s="9">
        <v>20</v>
      </c>
      <c r="G53" s="9">
        <v>5</v>
      </c>
      <c r="H53" s="9"/>
      <c r="L53" s="10">
        <f t="shared" si="0"/>
        <v>102</v>
      </c>
      <c r="M53" s="29"/>
    </row>
    <row r="54" spans="2:13" x14ac:dyDescent="0.25">
      <c r="B54" s="13"/>
      <c r="C54" s="4" t="s">
        <v>26</v>
      </c>
      <c r="D54" s="9">
        <v>300</v>
      </c>
      <c r="E54" s="9">
        <v>310</v>
      </c>
      <c r="F54" s="9">
        <v>350</v>
      </c>
      <c r="G54" s="9">
        <v>250</v>
      </c>
      <c r="H54" s="9">
        <v>100</v>
      </c>
      <c r="L54" s="10">
        <f t="shared" si="0"/>
        <v>1310</v>
      </c>
    </row>
    <row r="55" spans="2:13" x14ac:dyDescent="0.25">
      <c r="B55" s="13"/>
      <c r="C55" s="4" t="s">
        <v>27</v>
      </c>
      <c r="D55" s="9">
        <v>295</v>
      </c>
      <c r="E55" s="9">
        <v>340</v>
      </c>
      <c r="F55" s="9">
        <v>250</v>
      </c>
      <c r="G55" s="9">
        <v>473</v>
      </c>
      <c r="H55" s="9">
        <v>100</v>
      </c>
      <c r="L55" s="10">
        <f t="shared" si="0"/>
        <v>1458</v>
      </c>
    </row>
    <row r="56" spans="2:13" x14ac:dyDescent="0.25">
      <c r="B56" s="13"/>
      <c r="C56" s="4" t="s">
        <v>28</v>
      </c>
      <c r="D56" s="9">
        <v>91</v>
      </c>
      <c r="E56" s="9">
        <v>43</v>
      </c>
      <c r="F56" s="9">
        <v>38</v>
      </c>
      <c r="G56" s="9">
        <v>33</v>
      </c>
      <c r="H56" s="9">
        <v>15</v>
      </c>
      <c r="L56" s="10">
        <f t="shared" si="0"/>
        <v>220</v>
      </c>
    </row>
    <row r="57" spans="2:13" x14ac:dyDescent="0.25">
      <c r="B57" s="13"/>
      <c r="C57" s="4" t="s">
        <v>29</v>
      </c>
      <c r="D57" s="9">
        <v>539</v>
      </c>
      <c r="E57" s="9">
        <v>288</v>
      </c>
      <c r="F57" s="9">
        <v>217</v>
      </c>
      <c r="G57" s="9">
        <v>360</v>
      </c>
      <c r="H57" s="9">
        <v>80</v>
      </c>
      <c r="L57" s="10">
        <f t="shared" si="0"/>
        <v>1484</v>
      </c>
    </row>
    <row r="58" spans="2:13" x14ac:dyDescent="0.25">
      <c r="B58" s="13"/>
      <c r="C58" s="4" t="s">
        <v>43</v>
      </c>
      <c r="D58" s="9">
        <v>46</v>
      </c>
      <c r="E58" s="9">
        <v>20</v>
      </c>
      <c r="F58" s="9">
        <v>20</v>
      </c>
      <c r="G58" s="9">
        <v>61</v>
      </c>
      <c r="H58" s="9"/>
      <c r="L58" s="10">
        <f t="shared" si="0"/>
        <v>147</v>
      </c>
    </row>
    <row r="59" spans="2:13" x14ac:dyDescent="0.25">
      <c r="B59" s="13"/>
      <c r="C59" s="4" t="s">
        <v>30</v>
      </c>
      <c r="D59" s="9">
        <v>5</v>
      </c>
      <c r="E59" s="9">
        <v>14</v>
      </c>
      <c r="F59" s="9">
        <v>8</v>
      </c>
      <c r="G59" s="9">
        <v>3</v>
      </c>
      <c r="H59" s="9"/>
      <c r="L59" s="10">
        <f t="shared" si="0"/>
        <v>30</v>
      </c>
    </row>
    <row r="60" spans="2:13" x14ac:dyDescent="0.25">
      <c r="B60" s="13"/>
      <c r="C60" s="4" t="s">
        <v>31</v>
      </c>
      <c r="D60" s="9">
        <v>382</v>
      </c>
      <c r="E60" s="9">
        <v>450</v>
      </c>
      <c r="F60" s="9">
        <v>450</v>
      </c>
      <c r="G60" s="9">
        <v>350</v>
      </c>
      <c r="H60" s="9">
        <v>50</v>
      </c>
      <c r="L60" s="10">
        <f t="shared" si="0"/>
        <v>1682</v>
      </c>
    </row>
    <row r="61" spans="2:13" x14ac:dyDescent="0.25">
      <c r="B61" s="13"/>
      <c r="C61" s="4" t="s">
        <v>32</v>
      </c>
      <c r="D61" s="9">
        <v>133</v>
      </c>
      <c r="E61" s="9">
        <v>31</v>
      </c>
      <c r="F61" s="9">
        <v>22</v>
      </c>
      <c r="G61" s="9">
        <v>61</v>
      </c>
      <c r="H61" s="9"/>
      <c r="L61" s="10">
        <f t="shared" si="0"/>
        <v>247</v>
      </c>
    </row>
    <row r="62" spans="2:13" x14ac:dyDescent="0.25">
      <c r="B62" s="8" t="s">
        <v>45</v>
      </c>
      <c r="C62" s="23"/>
      <c r="D62" s="11">
        <f t="shared" ref="D62:K62" si="2">SUM(D35:D61)</f>
        <v>3620</v>
      </c>
      <c r="E62" s="11">
        <f t="shared" si="2"/>
        <v>2316</v>
      </c>
      <c r="F62" s="11">
        <f t="shared" si="2"/>
        <v>2755</v>
      </c>
      <c r="G62" s="11">
        <f t="shared" si="2"/>
        <v>1914</v>
      </c>
      <c r="H62" s="11">
        <f t="shared" si="2"/>
        <v>770</v>
      </c>
      <c r="I62" s="11">
        <f t="shared" si="2"/>
        <v>0</v>
      </c>
      <c r="J62" s="11">
        <f t="shared" si="2"/>
        <v>0</v>
      </c>
      <c r="K62" s="11">
        <f t="shared" si="2"/>
        <v>0</v>
      </c>
      <c r="L62" s="11">
        <f>SUM(D62:K62)</f>
        <v>11375</v>
      </c>
    </row>
  </sheetData>
  <conditionalFormatting sqref="D32:K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K6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L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6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6F01-FFC4-4C7D-88BF-7509BD4DAD0E}">
  <dimension ref="B1:L69"/>
  <sheetViews>
    <sheetView topLeftCell="A48" workbookViewId="0">
      <selection activeCell="E61" sqref="E61"/>
    </sheetView>
  </sheetViews>
  <sheetFormatPr defaultRowHeight="15" x14ac:dyDescent="0.25"/>
  <cols>
    <col min="2" max="2" width="17.28515625" customWidth="1"/>
    <col min="3" max="3" width="16.28515625" bestFit="1" customWidth="1"/>
    <col min="8" max="8" width="8.42578125" customWidth="1"/>
    <col min="12" max="12" width="11.140625" bestFit="1" customWidth="1"/>
  </cols>
  <sheetData>
    <row r="1" spans="2:12" x14ac:dyDescent="0.25">
      <c r="B1" s="32" t="s">
        <v>105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101</v>
      </c>
      <c r="C4" s="7" t="s">
        <v>11</v>
      </c>
      <c r="D4" s="9">
        <v>46905.599999999999</v>
      </c>
      <c r="E4" s="9">
        <v>27892.839999999997</v>
      </c>
      <c r="F4" s="9">
        <v>33216.42</v>
      </c>
      <c r="G4" s="9">
        <v>27273.249999999996</v>
      </c>
      <c r="H4" s="9">
        <v>4864.9799999999996</v>
      </c>
      <c r="L4" s="10">
        <f>SUM(D4:K4)</f>
        <v>140153.09</v>
      </c>
    </row>
    <row r="5" spans="2:12" x14ac:dyDescent="0.25">
      <c r="B5" s="13"/>
      <c r="C5" s="4" t="s">
        <v>12</v>
      </c>
      <c r="D5" s="9">
        <v>-740.51999999999975</v>
      </c>
      <c r="E5" s="9">
        <v>-1398.75</v>
      </c>
      <c r="F5" s="9">
        <v>-176.8599999999999</v>
      </c>
      <c r="G5" s="9">
        <v>-416.94000000000017</v>
      </c>
      <c r="H5" s="9"/>
      <c r="L5" s="10">
        <f t="shared" ref="L5:L68" si="0">SUM(D5:K5)</f>
        <v>-2733.0699999999993</v>
      </c>
    </row>
    <row r="6" spans="2:12" x14ac:dyDescent="0.25">
      <c r="B6" s="13"/>
      <c r="C6" s="4" t="s">
        <v>38</v>
      </c>
      <c r="D6" s="9">
        <v>2841.8100000000004</v>
      </c>
      <c r="E6" s="9">
        <v>2686.3500000000008</v>
      </c>
      <c r="F6" s="9">
        <v>3896.0599999999995</v>
      </c>
      <c r="G6" s="9">
        <v>3006.1899999999996</v>
      </c>
      <c r="H6" s="9">
        <v>476.8</v>
      </c>
      <c r="L6" s="10">
        <f t="shared" si="0"/>
        <v>12907.21</v>
      </c>
    </row>
    <row r="7" spans="2:12" x14ac:dyDescent="0.25">
      <c r="B7" s="13"/>
      <c r="C7" s="4" t="s">
        <v>64</v>
      </c>
      <c r="D7" s="9">
        <v>197.8599999999999</v>
      </c>
      <c r="E7" s="9"/>
      <c r="F7" s="9">
        <v>-34.260000000000048</v>
      </c>
      <c r="G7" s="9">
        <v>1400.47</v>
      </c>
      <c r="H7" s="9">
        <v>1496.42</v>
      </c>
      <c r="L7" s="10">
        <f t="shared" si="0"/>
        <v>3060.49</v>
      </c>
    </row>
    <row r="8" spans="2:12" x14ac:dyDescent="0.25">
      <c r="B8" s="13"/>
      <c r="C8" s="4" t="s">
        <v>50</v>
      </c>
      <c r="D8" s="9">
        <v>878.2600000000001</v>
      </c>
      <c r="E8" s="9">
        <v>-951.59999999999991</v>
      </c>
      <c r="F8" s="9"/>
      <c r="G8" s="9">
        <v>1068.3699999999999</v>
      </c>
      <c r="H8" s="9">
        <v>135.94</v>
      </c>
      <c r="L8" s="10">
        <f t="shared" si="0"/>
        <v>1130.97</v>
      </c>
    </row>
    <row r="9" spans="2:12" x14ac:dyDescent="0.25">
      <c r="B9" s="13"/>
      <c r="C9" s="4" t="s">
        <v>39</v>
      </c>
      <c r="D9" s="9"/>
      <c r="E9" s="9">
        <v>8722.49</v>
      </c>
      <c r="F9" s="9">
        <v>14516.530000000008</v>
      </c>
      <c r="G9" s="9">
        <v>10957.03</v>
      </c>
      <c r="H9" s="9">
        <v>3519.87</v>
      </c>
      <c r="L9" s="10">
        <f t="shared" si="0"/>
        <v>37715.920000000013</v>
      </c>
    </row>
    <row r="10" spans="2:12" x14ac:dyDescent="0.25">
      <c r="B10" s="13"/>
      <c r="C10" s="4" t="s">
        <v>40</v>
      </c>
      <c r="D10" s="9"/>
      <c r="E10" s="9">
        <v>4399.38</v>
      </c>
      <c r="F10" s="9">
        <v>6098.89</v>
      </c>
      <c r="G10" s="9">
        <v>8292.8800000000028</v>
      </c>
      <c r="H10" s="9">
        <v>3249.38</v>
      </c>
      <c r="L10" s="10">
        <f t="shared" si="0"/>
        <v>22040.530000000002</v>
      </c>
    </row>
    <row r="11" spans="2:12" x14ac:dyDescent="0.25">
      <c r="B11" s="13"/>
      <c r="C11" s="4" t="s">
        <v>13</v>
      </c>
      <c r="D11" s="9">
        <v>46619.549999999996</v>
      </c>
      <c r="E11" s="9">
        <v>46531.999999999985</v>
      </c>
      <c r="F11" s="9">
        <v>25800.770000000011</v>
      </c>
      <c r="G11" s="9">
        <v>23934.220000000005</v>
      </c>
      <c r="H11" s="9">
        <v>5807.85</v>
      </c>
      <c r="L11" s="10">
        <f t="shared" si="0"/>
        <v>148694.39000000001</v>
      </c>
    </row>
    <row r="12" spans="2:12" x14ac:dyDescent="0.25">
      <c r="B12" s="13"/>
      <c r="C12" s="4" t="s">
        <v>41</v>
      </c>
      <c r="D12" s="9">
        <v>158.92999999999995</v>
      </c>
      <c r="E12" s="9">
        <v>2758.7799999999997</v>
      </c>
      <c r="F12" s="9">
        <v>2801.3700000000008</v>
      </c>
      <c r="G12" s="9">
        <v>3016.2400000000002</v>
      </c>
      <c r="H12" s="9">
        <v>616.82999999999993</v>
      </c>
      <c r="L12" s="10">
        <f t="shared" si="0"/>
        <v>9352.15</v>
      </c>
    </row>
    <row r="13" spans="2:12" x14ac:dyDescent="0.25">
      <c r="B13" s="13"/>
      <c r="C13" s="4" t="s">
        <v>14</v>
      </c>
      <c r="D13" s="9">
        <v>6078.4299999999994</v>
      </c>
      <c r="E13" s="9">
        <v>6652.11</v>
      </c>
      <c r="F13" s="9">
        <v>5374.0999999999985</v>
      </c>
      <c r="G13" s="9">
        <v>4201.5499999999993</v>
      </c>
      <c r="H13" s="9"/>
      <c r="L13" s="10">
        <f t="shared" si="0"/>
        <v>22306.19</v>
      </c>
    </row>
    <row r="14" spans="2:12" x14ac:dyDescent="0.25">
      <c r="B14" s="13"/>
      <c r="C14" s="4" t="s">
        <v>15</v>
      </c>
      <c r="D14" s="9">
        <v>35525.299999999996</v>
      </c>
      <c r="E14" s="9">
        <v>-1746.8600000000013</v>
      </c>
      <c r="F14" s="9">
        <v>224460.33999999994</v>
      </c>
      <c r="G14" s="9">
        <v>-4449.6799999999976</v>
      </c>
      <c r="H14" s="9">
        <v>3525.07</v>
      </c>
      <c r="L14" s="10">
        <f t="shared" si="0"/>
        <v>257314.16999999995</v>
      </c>
    </row>
    <row r="15" spans="2:12" x14ac:dyDescent="0.25">
      <c r="B15" s="13"/>
      <c r="C15" s="4" t="s">
        <v>42</v>
      </c>
      <c r="D15" s="9">
        <v>137841.02000000005</v>
      </c>
      <c r="E15" s="9">
        <v>88686.080000000002</v>
      </c>
      <c r="F15" s="9">
        <v>108648.51999999999</v>
      </c>
      <c r="G15" s="9">
        <v>72750.810000000012</v>
      </c>
      <c r="H15" s="9">
        <v>122199.34999999999</v>
      </c>
      <c r="L15" s="10">
        <f t="shared" si="0"/>
        <v>530125.78</v>
      </c>
    </row>
    <row r="16" spans="2:12" x14ac:dyDescent="0.25">
      <c r="B16" s="13"/>
      <c r="C16" s="4" t="s">
        <v>16</v>
      </c>
      <c r="D16" s="9">
        <v>36805.739999999991</v>
      </c>
      <c r="E16" s="9">
        <v>-839.59999999999945</v>
      </c>
      <c r="F16" s="9">
        <v>-453.61000000000024</v>
      </c>
      <c r="G16" s="9">
        <v>83.349999999999966</v>
      </c>
      <c r="H16" s="9"/>
      <c r="L16" s="10">
        <f t="shared" si="0"/>
        <v>35595.87999999999</v>
      </c>
    </row>
    <row r="17" spans="2:12" x14ac:dyDescent="0.25">
      <c r="B17" s="13"/>
      <c r="C17" s="4" t="s">
        <v>102</v>
      </c>
      <c r="D17" s="9">
        <v>-25.189999999999998</v>
      </c>
      <c r="E17" s="9"/>
      <c r="F17" s="9"/>
      <c r="G17" s="9"/>
      <c r="H17" s="9"/>
      <c r="L17" s="10">
        <f t="shared" si="0"/>
        <v>-25.189999999999998</v>
      </c>
    </row>
    <row r="18" spans="2:12" x14ac:dyDescent="0.25">
      <c r="B18" s="13"/>
      <c r="C18" s="4" t="s">
        <v>17</v>
      </c>
      <c r="D18" s="9">
        <v>1272.8</v>
      </c>
      <c r="E18" s="9">
        <v>264.71000000000009</v>
      </c>
      <c r="F18" s="9">
        <v>331.38000000000005</v>
      </c>
      <c r="G18" s="9">
        <v>882.81999999999971</v>
      </c>
      <c r="H18" s="9">
        <v>230</v>
      </c>
      <c r="L18" s="10">
        <f t="shared" si="0"/>
        <v>2981.71</v>
      </c>
    </row>
    <row r="19" spans="2:12" x14ac:dyDescent="0.25">
      <c r="B19" s="13"/>
      <c r="C19" s="4" t="s">
        <v>19</v>
      </c>
      <c r="D19" s="9">
        <v>628.77</v>
      </c>
      <c r="E19" s="9">
        <v>735.57999999999993</v>
      </c>
      <c r="F19" s="9">
        <v>1568.8900000000003</v>
      </c>
      <c r="G19" s="9">
        <v>2426.41</v>
      </c>
      <c r="H19" s="9">
        <v>919.98</v>
      </c>
      <c r="L19" s="10">
        <f t="shared" si="0"/>
        <v>6279.6299999999992</v>
      </c>
    </row>
    <row r="20" spans="2:12" x14ac:dyDescent="0.25">
      <c r="B20" s="13"/>
      <c r="C20" s="4" t="s">
        <v>20</v>
      </c>
      <c r="D20" s="9">
        <v>5065.22</v>
      </c>
      <c r="E20" s="9">
        <v>3130.2999999999993</v>
      </c>
      <c r="F20" s="9">
        <v>5261.41</v>
      </c>
      <c r="G20" s="9">
        <v>6211.46</v>
      </c>
      <c r="H20" s="9"/>
      <c r="L20" s="10">
        <f t="shared" si="0"/>
        <v>19668.39</v>
      </c>
    </row>
    <row r="21" spans="2:12" x14ac:dyDescent="0.25">
      <c r="B21" s="13"/>
      <c r="C21" s="4" t="s">
        <v>21</v>
      </c>
      <c r="D21" s="9">
        <v>12517.140000000001</v>
      </c>
      <c r="E21" s="9">
        <v>8351.2700000000041</v>
      </c>
      <c r="F21" s="9">
        <v>7210.6600000000017</v>
      </c>
      <c r="G21" s="9">
        <v>10566.660000000002</v>
      </c>
      <c r="H21" s="9">
        <v>4160.0600000000004</v>
      </c>
      <c r="L21" s="10">
        <f t="shared" si="0"/>
        <v>42805.790000000008</v>
      </c>
    </row>
    <row r="22" spans="2:12" x14ac:dyDescent="0.25">
      <c r="B22" s="13"/>
      <c r="C22" s="4" t="s">
        <v>22</v>
      </c>
      <c r="D22" s="9">
        <v>317426.55000000005</v>
      </c>
      <c r="E22" s="9">
        <v>10929.180000000011</v>
      </c>
      <c r="F22" s="9">
        <v>-2304.9800000000009</v>
      </c>
      <c r="G22" s="9">
        <v>34978.989999999991</v>
      </c>
      <c r="H22" s="9">
        <v>107999.38</v>
      </c>
      <c r="L22" s="10">
        <f t="shared" si="0"/>
        <v>469029.12000000005</v>
      </c>
    </row>
    <row r="23" spans="2:12" x14ac:dyDescent="0.25">
      <c r="B23" s="13"/>
      <c r="C23" s="4" t="s">
        <v>103</v>
      </c>
      <c r="D23" s="9">
        <v>-233.26</v>
      </c>
      <c r="E23" s="9"/>
      <c r="F23" s="9"/>
      <c r="G23" s="9"/>
      <c r="H23" s="9"/>
      <c r="L23" s="10">
        <f t="shared" si="0"/>
        <v>-233.26</v>
      </c>
    </row>
    <row r="24" spans="2:12" x14ac:dyDescent="0.25">
      <c r="B24" s="13"/>
      <c r="C24" s="4" t="s">
        <v>23</v>
      </c>
      <c r="D24" s="9">
        <v>1861.0400000000029</v>
      </c>
      <c r="E24" s="9">
        <v>9652.9000000000033</v>
      </c>
      <c r="F24" s="9">
        <v>11276.560000000001</v>
      </c>
      <c r="G24" s="9">
        <v>20474.030000000006</v>
      </c>
      <c r="H24" s="9">
        <v>1149.99</v>
      </c>
      <c r="L24" s="10">
        <f t="shared" si="0"/>
        <v>44414.520000000011</v>
      </c>
    </row>
    <row r="25" spans="2:12" x14ac:dyDescent="0.25">
      <c r="B25" s="13"/>
      <c r="C25" s="4" t="s">
        <v>24</v>
      </c>
      <c r="D25" s="9">
        <v>8214.0600000000013</v>
      </c>
      <c r="E25" s="9">
        <v>6726.2899999999991</v>
      </c>
      <c r="F25" s="9">
        <v>5301.6399999999994</v>
      </c>
      <c r="G25" s="9">
        <v>8385.7000000000007</v>
      </c>
      <c r="H25" s="9">
        <v>2070</v>
      </c>
      <c r="L25" s="10">
        <f t="shared" si="0"/>
        <v>30697.69</v>
      </c>
    </row>
    <row r="26" spans="2:12" x14ac:dyDescent="0.25">
      <c r="B26" s="13"/>
      <c r="C26" s="4" t="s">
        <v>25</v>
      </c>
      <c r="D26" s="9">
        <v>13240.06</v>
      </c>
      <c r="E26" s="9">
        <v>9588.1099999999988</v>
      </c>
      <c r="F26" s="9">
        <v>5879.7899999999991</v>
      </c>
      <c r="G26" s="9">
        <v>8400.1</v>
      </c>
      <c r="H26" s="9"/>
      <c r="L26" s="10">
        <f t="shared" si="0"/>
        <v>37108.06</v>
      </c>
    </row>
    <row r="27" spans="2:12" x14ac:dyDescent="0.25">
      <c r="B27" s="13"/>
      <c r="C27" s="4" t="s">
        <v>26</v>
      </c>
      <c r="D27" s="9">
        <v>36259.560000000012</v>
      </c>
      <c r="E27" s="9">
        <v>438.08000000000021</v>
      </c>
      <c r="F27" s="9">
        <v>1797.47</v>
      </c>
      <c r="G27" s="9">
        <v>1460.6</v>
      </c>
      <c r="H27" s="9"/>
      <c r="L27" s="10">
        <f t="shared" si="0"/>
        <v>39955.710000000014</v>
      </c>
    </row>
    <row r="28" spans="2:12" x14ac:dyDescent="0.25">
      <c r="B28" s="13"/>
      <c r="C28" s="4" t="s">
        <v>27</v>
      </c>
      <c r="D28" s="9">
        <v>16142.559999999978</v>
      </c>
      <c r="E28" s="9">
        <v>91.550000000000239</v>
      </c>
      <c r="F28" s="9">
        <v>798.18999999999994</v>
      </c>
      <c r="G28" s="9">
        <v>1801.01</v>
      </c>
      <c r="H28" s="9"/>
      <c r="L28" s="10">
        <f t="shared" si="0"/>
        <v>18833.309999999976</v>
      </c>
    </row>
    <row r="29" spans="2:12" x14ac:dyDescent="0.25">
      <c r="B29" s="13"/>
      <c r="C29" s="4" t="s">
        <v>28</v>
      </c>
      <c r="D29" s="9">
        <v>5371.08</v>
      </c>
      <c r="E29" s="9">
        <v>-1189.69</v>
      </c>
      <c r="F29" s="9">
        <v>-439.38000000000011</v>
      </c>
      <c r="G29" s="9">
        <v>-329.95000000000027</v>
      </c>
      <c r="H29" s="9"/>
      <c r="L29" s="10">
        <f t="shared" si="0"/>
        <v>3412.059999999999</v>
      </c>
    </row>
    <row r="30" spans="2:12" x14ac:dyDescent="0.25">
      <c r="B30" s="13"/>
      <c r="C30" s="4" t="s">
        <v>29</v>
      </c>
      <c r="D30" s="9">
        <v>82424.62</v>
      </c>
      <c r="E30" s="9">
        <v>91751.38</v>
      </c>
      <c r="F30" s="9">
        <v>53738.020000000011</v>
      </c>
      <c r="G30" s="9">
        <v>97880.170000000013</v>
      </c>
      <c r="H30" s="9"/>
      <c r="L30" s="10">
        <f t="shared" si="0"/>
        <v>325794.19000000006</v>
      </c>
    </row>
    <row r="31" spans="2:12" x14ac:dyDescent="0.25">
      <c r="B31" s="13"/>
      <c r="C31" s="4" t="s">
        <v>43</v>
      </c>
      <c r="D31" s="9">
        <v>1701.1800000000003</v>
      </c>
      <c r="E31" s="9">
        <v>1225.77</v>
      </c>
      <c r="F31" s="9">
        <v>2316.8399999999992</v>
      </c>
      <c r="G31" s="9">
        <v>3036.8799999999997</v>
      </c>
      <c r="H31" s="9">
        <v>142</v>
      </c>
      <c r="L31" s="10">
        <f t="shared" si="0"/>
        <v>8422.6699999999983</v>
      </c>
    </row>
    <row r="32" spans="2:12" x14ac:dyDescent="0.25">
      <c r="B32" s="13"/>
      <c r="C32" s="4" t="s">
        <v>104</v>
      </c>
      <c r="D32" s="9">
        <v>-26.869999999999997</v>
      </c>
      <c r="E32" s="9">
        <v>-54</v>
      </c>
      <c r="F32" s="9">
        <v>-12.850000000000001</v>
      </c>
      <c r="G32" s="9"/>
      <c r="H32" s="9"/>
      <c r="L32" s="10">
        <f t="shared" si="0"/>
        <v>-93.72</v>
      </c>
    </row>
    <row r="33" spans="2:12" x14ac:dyDescent="0.25">
      <c r="B33" s="13"/>
      <c r="C33" s="4" t="s">
        <v>30</v>
      </c>
      <c r="D33" s="9">
        <v>8658.3900000000012</v>
      </c>
      <c r="E33" s="9">
        <v>2389.6100000000006</v>
      </c>
      <c r="F33" s="9">
        <v>4200.32</v>
      </c>
      <c r="G33" s="9">
        <v>5537.49</v>
      </c>
      <c r="H33" s="9"/>
      <c r="L33" s="10">
        <f t="shared" si="0"/>
        <v>20785.810000000001</v>
      </c>
    </row>
    <row r="34" spans="2:12" x14ac:dyDescent="0.25">
      <c r="B34" s="13"/>
      <c r="C34" s="4" t="s">
        <v>31</v>
      </c>
      <c r="D34" s="9">
        <v>120330.99000000008</v>
      </c>
      <c r="E34" s="9">
        <v>2600.3600000000006</v>
      </c>
      <c r="F34" s="9">
        <v>3178.6400000000008</v>
      </c>
      <c r="G34" s="9">
        <v>1593.02</v>
      </c>
      <c r="H34" s="9">
        <v>350</v>
      </c>
      <c r="L34" s="10">
        <f t="shared" si="0"/>
        <v>128053.01000000008</v>
      </c>
    </row>
    <row r="35" spans="2:12" x14ac:dyDescent="0.25">
      <c r="B35" s="3" t="s">
        <v>33</v>
      </c>
      <c r="C35" s="6"/>
      <c r="D35" s="11">
        <f>SUM(D4:D34)</f>
        <v>943940.68000000028</v>
      </c>
      <c r="E35" s="11">
        <f t="shared" ref="E35:K35" si="1">SUM(E4:E34)</f>
        <v>330024.61999999994</v>
      </c>
      <c r="F35" s="11">
        <f t="shared" si="1"/>
        <v>524250.87000000005</v>
      </c>
      <c r="G35" s="11">
        <f t="shared" si="1"/>
        <v>354423.13000000006</v>
      </c>
      <c r="H35" s="11">
        <f t="shared" si="1"/>
        <v>262913.90000000002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2415553.2000000002</v>
      </c>
    </row>
    <row r="36" spans="2:12" x14ac:dyDescent="0.25">
      <c r="B36" s="13"/>
      <c r="C36" s="4"/>
      <c r="D36" s="9"/>
      <c r="E36" s="9"/>
      <c r="F36" s="9"/>
      <c r="G36" s="9"/>
      <c r="L36" s="10"/>
    </row>
    <row r="37" spans="2:12" x14ac:dyDescent="0.25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25">
      <c r="B38" s="13"/>
      <c r="C38" s="7" t="s">
        <v>11</v>
      </c>
      <c r="D38" s="11">
        <v>77</v>
      </c>
      <c r="E38" s="11">
        <v>47</v>
      </c>
      <c r="F38" s="11">
        <v>56</v>
      </c>
      <c r="G38" s="11">
        <v>47</v>
      </c>
      <c r="H38" s="11">
        <v>7</v>
      </c>
      <c r="L38" s="10">
        <f t="shared" si="0"/>
        <v>234</v>
      </c>
    </row>
    <row r="39" spans="2:12" x14ac:dyDescent="0.25">
      <c r="B39" s="13"/>
      <c r="C39" s="4" t="s">
        <v>12</v>
      </c>
      <c r="D39" s="9">
        <v>0</v>
      </c>
      <c r="E39" s="9">
        <v>-2</v>
      </c>
      <c r="F39" s="9">
        <v>0</v>
      </c>
      <c r="G39" s="9">
        <v>0</v>
      </c>
      <c r="H39" s="9"/>
      <c r="L39" s="10">
        <f t="shared" si="0"/>
        <v>-2</v>
      </c>
    </row>
    <row r="40" spans="2:12" x14ac:dyDescent="0.25">
      <c r="B40" s="13"/>
      <c r="C40" s="4" t="s">
        <v>38</v>
      </c>
      <c r="D40" s="9">
        <v>14</v>
      </c>
      <c r="E40" s="9">
        <v>13</v>
      </c>
      <c r="F40" s="9">
        <v>18</v>
      </c>
      <c r="G40" s="9">
        <v>15</v>
      </c>
      <c r="H40" s="9">
        <v>2</v>
      </c>
      <c r="L40" s="10">
        <f t="shared" si="0"/>
        <v>62</v>
      </c>
    </row>
    <row r="41" spans="2:12" x14ac:dyDescent="0.25">
      <c r="B41" s="13"/>
      <c r="C41" s="4" t="s">
        <v>64</v>
      </c>
      <c r="D41" s="9">
        <v>1</v>
      </c>
      <c r="E41" s="9"/>
      <c r="F41" s="9">
        <v>0</v>
      </c>
      <c r="G41" s="9">
        <v>4</v>
      </c>
      <c r="H41" s="9">
        <v>4</v>
      </c>
      <c r="L41" s="10">
        <f t="shared" si="0"/>
        <v>9</v>
      </c>
    </row>
    <row r="42" spans="2:12" x14ac:dyDescent="0.25">
      <c r="B42" s="13"/>
      <c r="C42" s="4" t="s">
        <v>50</v>
      </c>
      <c r="D42" s="9">
        <v>7</v>
      </c>
      <c r="E42" s="9">
        <v>-7</v>
      </c>
      <c r="F42" s="9"/>
      <c r="G42" s="9">
        <v>8</v>
      </c>
      <c r="H42" s="9">
        <v>1</v>
      </c>
      <c r="L42" s="10">
        <f t="shared" si="0"/>
        <v>9</v>
      </c>
    </row>
    <row r="43" spans="2:12" x14ac:dyDescent="0.25">
      <c r="B43" s="13"/>
      <c r="C43" s="4" t="s">
        <v>39</v>
      </c>
      <c r="D43" s="9"/>
      <c r="E43" s="9">
        <v>85</v>
      </c>
      <c r="F43" s="9">
        <v>153</v>
      </c>
      <c r="G43" s="9">
        <v>180</v>
      </c>
      <c r="H43" s="9">
        <v>32</v>
      </c>
      <c r="L43" s="10">
        <f t="shared" si="0"/>
        <v>450</v>
      </c>
    </row>
    <row r="44" spans="2:12" x14ac:dyDescent="0.25">
      <c r="B44" s="13"/>
      <c r="C44" s="4" t="s">
        <v>40</v>
      </c>
      <c r="D44" s="9"/>
      <c r="E44" s="9">
        <v>190</v>
      </c>
      <c r="F44" s="9">
        <v>297</v>
      </c>
      <c r="G44" s="9">
        <v>512</v>
      </c>
      <c r="H44" s="9">
        <v>130</v>
      </c>
      <c r="L44" s="10">
        <f t="shared" si="0"/>
        <v>1129</v>
      </c>
    </row>
    <row r="45" spans="2:12" x14ac:dyDescent="0.25">
      <c r="B45" s="13"/>
      <c r="C45" s="4" t="s">
        <v>13</v>
      </c>
      <c r="D45" s="9">
        <v>290</v>
      </c>
      <c r="E45" s="9">
        <v>279</v>
      </c>
      <c r="F45" s="9">
        <v>166</v>
      </c>
      <c r="G45" s="9">
        <v>179</v>
      </c>
      <c r="H45" s="9">
        <v>30</v>
      </c>
      <c r="L45" s="10">
        <f t="shared" si="0"/>
        <v>944</v>
      </c>
    </row>
    <row r="46" spans="2:12" x14ac:dyDescent="0.25">
      <c r="B46" s="13"/>
      <c r="C46" s="4" t="s">
        <v>41</v>
      </c>
      <c r="D46" s="9">
        <v>8</v>
      </c>
      <c r="E46" s="9">
        <v>41</v>
      </c>
      <c r="F46" s="9">
        <v>40</v>
      </c>
      <c r="G46" s="9">
        <v>42</v>
      </c>
      <c r="H46" s="9">
        <v>8</v>
      </c>
      <c r="L46" s="10">
        <f t="shared" si="0"/>
        <v>139</v>
      </c>
    </row>
    <row r="47" spans="2:12" x14ac:dyDescent="0.25">
      <c r="B47" s="13"/>
      <c r="C47" s="4" t="s">
        <v>14</v>
      </c>
      <c r="D47" s="9">
        <v>30</v>
      </c>
      <c r="E47" s="9">
        <v>33</v>
      </c>
      <c r="F47" s="9">
        <v>25</v>
      </c>
      <c r="G47" s="9">
        <v>19</v>
      </c>
      <c r="H47" s="9"/>
      <c r="L47" s="10">
        <f t="shared" si="0"/>
        <v>107</v>
      </c>
    </row>
    <row r="48" spans="2:12" x14ac:dyDescent="0.25">
      <c r="B48" s="13"/>
      <c r="C48" s="4" t="s">
        <v>15</v>
      </c>
      <c r="D48" s="9">
        <v>204</v>
      </c>
      <c r="E48" s="9">
        <v>1</v>
      </c>
      <c r="F48" s="9">
        <v>1215</v>
      </c>
      <c r="G48" s="9">
        <v>22</v>
      </c>
      <c r="H48" s="9">
        <v>15</v>
      </c>
      <c r="L48" s="10">
        <f t="shared" si="0"/>
        <v>1457</v>
      </c>
    </row>
    <row r="49" spans="2:12" x14ac:dyDescent="0.25">
      <c r="B49" s="13"/>
      <c r="C49" s="4" t="s">
        <v>42</v>
      </c>
      <c r="D49" s="9">
        <v>377</v>
      </c>
      <c r="E49" s="9">
        <v>204</v>
      </c>
      <c r="F49" s="9">
        <v>282</v>
      </c>
      <c r="G49" s="9">
        <v>191</v>
      </c>
      <c r="H49" s="9">
        <v>260</v>
      </c>
      <c r="L49" s="10">
        <f t="shared" si="0"/>
        <v>1314</v>
      </c>
    </row>
    <row r="50" spans="2:12" x14ac:dyDescent="0.25">
      <c r="B50" s="13"/>
      <c r="C50" s="4" t="s">
        <v>16</v>
      </c>
      <c r="D50" s="9">
        <v>402</v>
      </c>
      <c r="E50" s="9">
        <v>9</v>
      </c>
      <c r="F50" s="9">
        <v>0</v>
      </c>
      <c r="G50" s="9">
        <v>1</v>
      </c>
      <c r="H50" s="9"/>
      <c r="L50" s="10">
        <f t="shared" si="0"/>
        <v>412</v>
      </c>
    </row>
    <row r="51" spans="2:12" x14ac:dyDescent="0.25">
      <c r="B51" s="13"/>
      <c r="C51" s="4" t="s">
        <v>102</v>
      </c>
      <c r="D51" s="9">
        <v>0</v>
      </c>
      <c r="E51" s="9"/>
      <c r="F51" s="9"/>
      <c r="G51" s="9"/>
      <c r="H51" s="9"/>
      <c r="L51" s="10">
        <f t="shared" si="0"/>
        <v>0</v>
      </c>
    </row>
    <row r="52" spans="2:12" x14ac:dyDescent="0.25">
      <c r="B52" s="13"/>
      <c r="C52" s="4" t="s">
        <v>17</v>
      </c>
      <c r="D52" s="9">
        <v>7</v>
      </c>
      <c r="E52" s="9">
        <v>2</v>
      </c>
      <c r="F52" s="9">
        <v>3</v>
      </c>
      <c r="G52" s="9">
        <v>5</v>
      </c>
      <c r="H52" s="9">
        <v>1</v>
      </c>
      <c r="L52" s="10">
        <f t="shared" si="0"/>
        <v>18</v>
      </c>
    </row>
    <row r="53" spans="2:12" x14ac:dyDescent="0.25">
      <c r="B53" s="13"/>
      <c r="C53" s="4" t="s">
        <v>19</v>
      </c>
      <c r="D53" s="9">
        <v>4</v>
      </c>
      <c r="E53" s="9">
        <v>5</v>
      </c>
      <c r="F53" s="9">
        <v>8</v>
      </c>
      <c r="G53" s="9">
        <v>13</v>
      </c>
      <c r="H53" s="9">
        <v>4</v>
      </c>
      <c r="L53" s="10">
        <f t="shared" si="0"/>
        <v>34</v>
      </c>
    </row>
    <row r="54" spans="2:12" x14ac:dyDescent="0.25">
      <c r="B54" s="13"/>
      <c r="C54" s="4" t="s">
        <v>20</v>
      </c>
      <c r="D54" s="9">
        <v>28</v>
      </c>
      <c r="E54" s="9">
        <v>18</v>
      </c>
      <c r="F54" s="9">
        <v>28</v>
      </c>
      <c r="G54" s="9">
        <v>33</v>
      </c>
      <c r="H54" s="9"/>
      <c r="L54" s="10">
        <f t="shared" si="0"/>
        <v>107</v>
      </c>
    </row>
    <row r="55" spans="2:12" x14ac:dyDescent="0.25">
      <c r="B55" s="13"/>
      <c r="C55" s="4" t="s">
        <v>21</v>
      </c>
      <c r="D55" s="9">
        <v>49</v>
      </c>
      <c r="E55" s="9">
        <v>33</v>
      </c>
      <c r="F55" s="9">
        <v>29</v>
      </c>
      <c r="G55" s="9">
        <v>38</v>
      </c>
      <c r="H55" s="9">
        <v>13</v>
      </c>
      <c r="L55" s="10">
        <f t="shared" si="0"/>
        <v>162</v>
      </c>
    </row>
    <row r="56" spans="2:12" x14ac:dyDescent="0.25">
      <c r="B56" s="13"/>
      <c r="C56" s="4" t="s">
        <v>22</v>
      </c>
      <c r="D56" s="9">
        <v>1088</v>
      </c>
      <c r="E56" s="9">
        <v>70</v>
      </c>
      <c r="F56" s="9">
        <v>-1</v>
      </c>
      <c r="G56" s="9">
        <v>129</v>
      </c>
      <c r="H56" s="9">
        <v>310</v>
      </c>
      <c r="L56" s="10">
        <f t="shared" si="0"/>
        <v>1596</v>
      </c>
    </row>
    <row r="57" spans="2:12" x14ac:dyDescent="0.25">
      <c r="B57" s="13"/>
      <c r="C57" s="4" t="s">
        <v>103</v>
      </c>
      <c r="D57" s="9">
        <v>-4</v>
      </c>
      <c r="E57" s="9"/>
      <c r="F57" s="9"/>
      <c r="G57" s="9"/>
      <c r="H57" s="9"/>
      <c r="L57" s="10">
        <f t="shared" si="0"/>
        <v>-4</v>
      </c>
    </row>
    <row r="58" spans="2:12" x14ac:dyDescent="0.25">
      <c r="B58" s="13"/>
      <c r="C58" s="4" t="s">
        <v>23</v>
      </c>
      <c r="D58" s="9">
        <v>5</v>
      </c>
      <c r="E58" s="9">
        <v>20</v>
      </c>
      <c r="F58" s="9">
        <v>22</v>
      </c>
      <c r="G58" s="9">
        <v>40</v>
      </c>
      <c r="H58" s="9">
        <v>2</v>
      </c>
      <c r="L58" s="10">
        <f t="shared" si="0"/>
        <v>89</v>
      </c>
    </row>
    <row r="59" spans="2:12" x14ac:dyDescent="0.25">
      <c r="B59" s="13"/>
      <c r="C59" s="4" t="s">
        <v>24</v>
      </c>
      <c r="D59" s="9">
        <v>28</v>
      </c>
      <c r="E59" s="9">
        <v>22</v>
      </c>
      <c r="F59" s="9">
        <v>16</v>
      </c>
      <c r="G59" s="9">
        <v>25</v>
      </c>
      <c r="H59" s="9">
        <v>6</v>
      </c>
      <c r="L59" s="10">
        <f t="shared" si="0"/>
        <v>97</v>
      </c>
    </row>
    <row r="60" spans="2:12" x14ac:dyDescent="0.25">
      <c r="B60" s="13"/>
      <c r="C60" s="4" t="s">
        <v>25</v>
      </c>
      <c r="D60" s="9">
        <v>79</v>
      </c>
      <c r="E60" s="9">
        <v>59</v>
      </c>
      <c r="F60" s="9">
        <v>35</v>
      </c>
      <c r="G60" s="9">
        <v>45</v>
      </c>
      <c r="H60" s="9"/>
      <c r="L60" s="10">
        <f t="shared" si="0"/>
        <v>218</v>
      </c>
    </row>
    <row r="61" spans="2:12" x14ac:dyDescent="0.25">
      <c r="B61" s="13"/>
      <c r="C61" s="4" t="s">
        <v>26</v>
      </c>
      <c r="D61" s="9">
        <v>1166</v>
      </c>
      <c r="E61" s="9">
        <v>23</v>
      </c>
      <c r="F61" s="9">
        <v>43</v>
      </c>
      <c r="G61" s="9">
        <v>32</v>
      </c>
      <c r="H61" s="9"/>
      <c r="L61" s="10">
        <f t="shared" si="0"/>
        <v>1264</v>
      </c>
    </row>
    <row r="62" spans="2:12" x14ac:dyDescent="0.25">
      <c r="B62" s="13"/>
      <c r="C62" s="4" t="s">
        <v>27</v>
      </c>
      <c r="D62" s="9">
        <v>475</v>
      </c>
      <c r="E62" s="9">
        <v>19</v>
      </c>
      <c r="F62" s="9">
        <v>21</v>
      </c>
      <c r="G62" s="9">
        <v>30</v>
      </c>
      <c r="H62" s="9"/>
      <c r="L62" s="10">
        <f t="shared" si="0"/>
        <v>545</v>
      </c>
    </row>
    <row r="63" spans="2:12" x14ac:dyDescent="0.25">
      <c r="B63" s="13"/>
      <c r="C63" s="4" t="s">
        <v>28</v>
      </c>
      <c r="D63" s="9">
        <v>43</v>
      </c>
      <c r="E63" s="9">
        <v>1</v>
      </c>
      <c r="F63" s="9">
        <v>0</v>
      </c>
      <c r="G63" s="9">
        <v>0</v>
      </c>
      <c r="H63" s="9"/>
      <c r="L63" s="10">
        <f t="shared" si="0"/>
        <v>44</v>
      </c>
    </row>
    <row r="64" spans="2:12" x14ac:dyDescent="0.25">
      <c r="B64" s="13"/>
      <c r="C64" s="4" t="s">
        <v>29</v>
      </c>
      <c r="D64" s="9">
        <v>440</v>
      </c>
      <c r="E64" s="9">
        <v>487</v>
      </c>
      <c r="F64" s="9">
        <v>252</v>
      </c>
      <c r="G64" s="9">
        <v>454</v>
      </c>
      <c r="H64" s="9"/>
      <c r="L64" s="10">
        <f t="shared" si="0"/>
        <v>1633</v>
      </c>
    </row>
    <row r="65" spans="2:12" x14ac:dyDescent="0.25">
      <c r="B65" s="13"/>
      <c r="C65" s="4" t="s">
        <v>43</v>
      </c>
      <c r="D65" s="9">
        <v>16</v>
      </c>
      <c r="E65" s="9">
        <v>11</v>
      </c>
      <c r="F65" s="9">
        <v>18</v>
      </c>
      <c r="G65" s="9">
        <v>23</v>
      </c>
      <c r="H65" s="9">
        <v>1</v>
      </c>
      <c r="L65" s="10">
        <f t="shared" si="0"/>
        <v>69</v>
      </c>
    </row>
    <row r="66" spans="2:12" x14ac:dyDescent="0.25">
      <c r="B66" s="13"/>
      <c r="C66" s="4" t="s">
        <v>104</v>
      </c>
      <c r="D66" s="9">
        <v>0</v>
      </c>
      <c r="E66" s="9">
        <v>0</v>
      </c>
      <c r="F66" s="9">
        <v>0</v>
      </c>
      <c r="G66" s="9"/>
      <c r="H66" s="9"/>
      <c r="L66" s="10">
        <f t="shared" si="0"/>
        <v>0</v>
      </c>
    </row>
    <row r="67" spans="2:12" x14ac:dyDescent="0.25">
      <c r="B67" s="13"/>
      <c r="C67" s="4" t="s">
        <v>30</v>
      </c>
      <c r="D67" s="9">
        <v>47</v>
      </c>
      <c r="E67" s="9">
        <v>15</v>
      </c>
      <c r="F67" s="9">
        <v>21</v>
      </c>
      <c r="G67" s="9">
        <v>27</v>
      </c>
      <c r="H67" s="9"/>
      <c r="L67" s="10">
        <f t="shared" si="0"/>
        <v>110</v>
      </c>
    </row>
    <row r="68" spans="2:12" x14ac:dyDescent="0.25">
      <c r="B68" s="13"/>
      <c r="C68" s="4" t="s">
        <v>31</v>
      </c>
      <c r="D68" s="9">
        <v>2494</v>
      </c>
      <c r="E68" s="9">
        <v>55</v>
      </c>
      <c r="F68" s="9">
        <v>53</v>
      </c>
      <c r="G68" s="9">
        <v>23</v>
      </c>
      <c r="H68" s="9">
        <v>5</v>
      </c>
      <c r="L68" s="10">
        <f t="shared" si="0"/>
        <v>2630</v>
      </c>
    </row>
    <row r="69" spans="2:12" x14ac:dyDescent="0.25">
      <c r="B69" s="8" t="s">
        <v>45</v>
      </c>
      <c r="C69" s="23"/>
      <c r="D69" s="11">
        <f>SUM(D38:D68)</f>
        <v>7375</v>
      </c>
      <c r="E69" s="11">
        <f t="shared" ref="E69:K69" si="2">SUM(E38:E68)</f>
        <v>1733</v>
      </c>
      <c r="F69" s="11">
        <f t="shared" si="2"/>
        <v>2800</v>
      </c>
      <c r="G69" s="11">
        <f t="shared" si="2"/>
        <v>2137</v>
      </c>
      <c r="H69" s="11">
        <f t="shared" si="2"/>
        <v>831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14876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C2FA-9E09-42C2-88F2-EC633F85F2CD}">
  <dimension ref="B1:L55"/>
  <sheetViews>
    <sheetView topLeftCell="A28" workbookViewId="0">
      <selection activeCell="F33" sqref="F33"/>
    </sheetView>
  </sheetViews>
  <sheetFormatPr defaultRowHeight="15" x14ac:dyDescent="0.25"/>
  <cols>
    <col min="2" max="2" width="26.28515625" bestFit="1" customWidth="1"/>
    <col min="3" max="3" width="16.28515625" bestFit="1" customWidth="1"/>
    <col min="8" max="8" width="6.7109375" bestFit="1" customWidth="1"/>
    <col min="12" max="12" width="11.140625" bestFit="1" customWidth="1"/>
  </cols>
  <sheetData>
    <row r="1" spans="2:12" x14ac:dyDescent="0.25">
      <c r="B1" s="32" t="s">
        <v>107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106</v>
      </c>
      <c r="C4" s="7" t="s">
        <v>11</v>
      </c>
      <c r="D4" s="9">
        <v>21507.989999999998</v>
      </c>
      <c r="E4" s="9">
        <v>32268.269999999997</v>
      </c>
      <c r="F4" s="9">
        <v>33380.800000000003</v>
      </c>
      <c r="G4" s="9">
        <v>20463.559999999998</v>
      </c>
      <c r="H4" s="9">
        <v>3474.99</v>
      </c>
      <c r="L4" s="10">
        <f>SUM(D4:K4)</f>
        <v>111095.61</v>
      </c>
    </row>
    <row r="5" spans="2:12" x14ac:dyDescent="0.25">
      <c r="B5" s="13"/>
      <c r="C5" s="4" t="s">
        <v>40</v>
      </c>
      <c r="D5" s="9">
        <v>293.94</v>
      </c>
      <c r="E5" s="9">
        <v>318.12</v>
      </c>
      <c r="F5" s="9">
        <v>588.04</v>
      </c>
      <c r="G5" s="9">
        <v>539.6</v>
      </c>
      <c r="H5" s="9">
        <v>124.99</v>
      </c>
      <c r="L5" s="10">
        <f t="shared" ref="L5:L54" si="0">SUM(D5:K5)</f>
        <v>1864.6899999999998</v>
      </c>
    </row>
    <row r="6" spans="2:12" x14ac:dyDescent="0.25">
      <c r="B6" s="13"/>
      <c r="C6" s="4" t="s">
        <v>13</v>
      </c>
      <c r="D6" s="9">
        <v>1642.5500000000002</v>
      </c>
      <c r="E6" s="9">
        <v>1516.7599999999998</v>
      </c>
      <c r="F6" s="9">
        <v>7024.01</v>
      </c>
      <c r="G6" s="9">
        <v>3040.26</v>
      </c>
      <c r="H6" s="9">
        <v>1355.15</v>
      </c>
      <c r="L6" s="10">
        <f t="shared" si="0"/>
        <v>14578.73</v>
      </c>
    </row>
    <row r="7" spans="2:12" x14ac:dyDescent="0.25">
      <c r="B7" s="13"/>
      <c r="C7" s="4" t="s">
        <v>41</v>
      </c>
      <c r="D7" s="9">
        <v>2866.33</v>
      </c>
      <c r="E7" s="9">
        <v>2948.4</v>
      </c>
      <c r="F7" s="9">
        <v>4989.0999999999995</v>
      </c>
      <c r="G7" s="9">
        <v>2648.8199999999997</v>
      </c>
      <c r="H7" s="9">
        <v>1773.4</v>
      </c>
      <c r="L7" s="10">
        <f t="shared" si="0"/>
        <v>15226.049999999997</v>
      </c>
    </row>
    <row r="8" spans="2:12" x14ac:dyDescent="0.25">
      <c r="B8" s="13"/>
      <c r="C8" s="4" t="s">
        <v>14</v>
      </c>
      <c r="D8" s="9">
        <v>10593.41</v>
      </c>
      <c r="E8" s="9">
        <v>8300.7999999999993</v>
      </c>
      <c r="F8" s="9">
        <v>6724.130000000001</v>
      </c>
      <c r="G8" s="9">
        <v>6010.26</v>
      </c>
      <c r="H8" s="9">
        <v>2449.98</v>
      </c>
      <c r="L8" s="10">
        <f t="shared" si="0"/>
        <v>34078.58</v>
      </c>
    </row>
    <row r="9" spans="2:12" x14ac:dyDescent="0.25">
      <c r="B9" s="13"/>
      <c r="C9" s="4" t="s">
        <v>15</v>
      </c>
      <c r="D9" s="9">
        <v>5947.12</v>
      </c>
      <c r="E9" s="9"/>
      <c r="F9" s="9">
        <v>23065.03</v>
      </c>
      <c r="G9" s="9">
        <v>635.12</v>
      </c>
      <c r="H9" s="9">
        <v>1175.02</v>
      </c>
      <c r="L9" s="10">
        <f t="shared" si="0"/>
        <v>30822.289999999997</v>
      </c>
    </row>
    <row r="10" spans="2:12" x14ac:dyDescent="0.25">
      <c r="B10" s="13"/>
      <c r="C10" s="4" t="s">
        <v>42</v>
      </c>
      <c r="D10" s="9">
        <v>55728.63</v>
      </c>
      <c r="E10" s="9">
        <v>39248.81</v>
      </c>
      <c r="F10" s="9">
        <v>22730.67</v>
      </c>
      <c r="G10" s="9">
        <v>7134.6299999999992</v>
      </c>
      <c r="H10" s="9">
        <v>13159.94</v>
      </c>
      <c r="L10" s="10">
        <f t="shared" si="0"/>
        <v>138002.68</v>
      </c>
    </row>
    <row r="11" spans="2:12" x14ac:dyDescent="0.25">
      <c r="B11" s="13"/>
      <c r="C11" s="4" t="s">
        <v>16</v>
      </c>
      <c r="D11" s="9">
        <v>7461.01</v>
      </c>
      <c r="E11" s="9">
        <v>4613.82</v>
      </c>
      <c r="F11" s="9">
        <v>4187.2</v>
      </c>
      <c r="G11" s="9"/>
      <c r="H11" s="9"/>
      <c r="L11" s="10">
        <f t="shared" si="0"/>
        <v>16262.029999999999</v>
      </c>
    </row>
    <row r="12" spans="2:12" x14ac:dyDescent="0.25">
      <c r="B12" s="13"/>
      <c r="C12" s="4" t="s">
        <v>17</v>
      </c>
      <c r="D12" s="9">
        <v>807.66</v>
      </c>
      <c r="E12" s="9">
        <v>1413.03</v>
      </c>
      <c r="F12" s="9">
        <v>11703.259999999998</v>
      </c>
      <c r="G12" s="9">
        <v>13102.630000000001</v>
      </c>
      <c r="H12" s="9"/>
      <c r="L12" s="10">
        <f t="shared" si="0"/>
        <v>27026.58</v>
      </c>
    </row>
    <row r="13" spans="2:12" x14ac:dyDescent="0.25">
      <c r="B13" s="13"/>
      <c r="C13" s="4" t="s">
        <v>19</v>
      </c>
      <c r="D13" s="9">
        <v>2219.87</v>
      </c>
      <c r="E13" s="9">
        <v>1615.5300000000002</v>
      </c>
      <c r="F13" s="9">
        <v>13891.239999999998</v>
      </c>
      <c r="G13" s="9">
        <v>14574.300000000001</v>
      </c>
      <c r="H13" s="9">
        <v>-206.2</v>
      </c>
      <c r="L13" s="10">
        <f t="shared" si="0"/>
        <v>32094.74</v>
      </c>
    </row>
    <row r="14" spans="2:12" x14ac:dyDescent="0.25">
      <c r="B14" s="13"/>
      <c r="C14" s="4" t="s">
        <v>20</v>
      </c>
      <c r="D14" s="9">
        <v>5854.7899999999991</v>
      </c>
      <c r="E14" s="9">
        <v>9290.65</v>
      </c>
      <c r="F14" s="9">
        <v>12476.300000000001</v>
      </c>
      <c r="G14" s="9">
        <v>10158.009999999998</v>
      </c>
      <c r="H14" s="9">
        <v>3909.94</v>
      </c>
      <c r="L14" s="10">
        <f t="shared" si="0"/>
        <v>41689.69</v>
      </c>
    </row>
    <row r="15" spans="2:12" x14ac:dyDescent="0.25">
      <c r="B15" s="13"/>
      <c r="C15" s="4" t="s">
        <v>21</v>
      </c>
      <c r="D15" s="9">
        <v>10237.61</v>
      </c>
      <c r="E15" s="9">
        <v>4096.8100000000004</v>
      </c>
      <c r="F15" s="9">
        <v>12235.34</v>
      </c>
      <c r="G15" s="9">
        <v>9422.869999999999</v>
      </c>
      <c r="H15" s="9">
        <v>2560.04</v>
      </c>
      <c r="L15" s="10">
        <f t="shared" si="0"/>
        <v>38552.670000000006</v>
      </c>
    </row>
    <row r="16" spans="2:12" x14ac:dyDescent="0.25">
      <c r="B16" s="13"/>
      <c r="C16" s="4" t="s">
        <v>22</v>
      </c>
      <c r="D16" s="9">
        <v>71790.709999999992</v>
      </c>
      <c r="E16" s="9">
        <v>7758.18</v>
      </c>
      <c r="F16" s="9">
        <v>1015.0899999999999</v>
      </c>
      <c r="G16" s="9">
        <v>4062.5699999999997</v>
      </c>
      <c r="H16" s="9">
        <v>16034.889999999998</v>
      </c>
      <c r="L16" s="10">
        <f t="shared" si="0"/>
        <v>100661.43999999999</v>
      </c>
    </row>
    <row r="17" spans="2:12" x14ac:dyDescent="0.25">
      <c r="B17" s="13"/>
      <c r="C17" s="4" t="s">
        <v>23</v>
      </c>
      <c r="D17" s="9">
        <v>12181.119999999999</v>
      </c>
      <c r="E17" s="9">
        <v>10002.48</v>
      </c>
      <c r="F17" s="9">
        <v>13119.819999999998</v>
      </c>
      <c r="G17" s="9">
        <v>14771.41</v>
      </c>
      <c r="H17" s="9">
        <v>5749.9699999999993</v>
      </c>
      <c r="L17" s="10">
        <f t="shared" si="0"/>
        <v>55824.800000000003</v>
      </c>
    </row>
    <row r="18" spans="2:12" x14ac:dyDescent="0.25">
      <c r="B18" s="13"/>
      <c r="C18" s="4" t="s">
        <v>24</v>
      </c>
      <c r="D18" s="9">
        <v>3470.7200000000003</v>
      </c>
      <c r="E18" s="9">
        <v>5299.74</v>
      </c>
      <c r="F18" s="9">
        <v>6231.5599999999995</v>
      </c>
      <c r="G18" s="9">
        <v>5265.49</v>
      </c>
      <c r="H18" s="9">
        <v>2804.71</v>
      </c>
      <c r="L18" s="10">
        <f t="shared" si="0"/>
        <v>23072.219999999998</v>
      </c>
    </row>
    <row r="19" spans="2:12" x14ac:dyDescent="0.25">
      <c r="B19" s="13"/>
      <c r="C19" s="4" t="s">
        <v>25</v>
      </c>
      <c r="D19" s="9">
        <v>7507.8700000000008</v>
      </c>
      <c r="E19" s="9">
        <v>10785.380000000001</v>
      </c>
      <c r="F19" s="9">
        <v>8855.43</v>
      </c>
      <c r="G19" s="9">
        <v>2678.8900000000003</v>
      </c>
      <c r="H19" s="9">
        <v>1049.99</v>
      </c>
      <c r="L19" s="10">
        <f t="shared" si="0"/>
        <v>30877.56</v>
      </c>
    </row>
    <row r="20" spans="2:12" x14ac:dyDescent="0.25">
      <c r="B20" s="13"/>
      <c r="C20" s="4" t="s">
        <v>26</v>
      </c>
      <c r="D20" s="9">
        <v>2518.92</v>
      </c>
      <c r="E20" s="9">
        <v>1874.7</v>
      </c>
      <c r="F20" s="9">
        <v>887.44</v>
      </c>
      <c r="G20" s="9"/>
      <c r="H20" s="9"/>
      <c r="L20" s="10">
        <f t="shared" si="0"/>
        <v>5281.0599999999995</v>
      </c>
    </row>
    <row r="21" spans="2:12" x14ac:dyDescent="0.25">
      <c r="B21" s="13"/>
      <c r="C21" s="4" t="s">
        <v>27</v>
      </c>
      <c r="D21" s="9">
        <v>2211.3599999999997</v>
      </c>
      <c r="E21" s="9">
        <v>1926.75</v>
      </c>
      <c r="F21" s="9">
        <v>1017.5999999999999</v>
      </c>
      <c r="G21" s="9"/>
      <c r="H21" s="9"/>
      <c r="L21" s="10">
        <f t="shared" si="0"/>
        <v>5155.7099999999991</v>
      </c>
    </row>
    <row r="22" spans="2:12" x14ac:dyDescent="0.25">
      <c r="B22" s="13"/>
      <c r="C22" s="4" t="s">
        <v>28</v>
      </c>
      <c r="D22" s="9">
        <v>2345.0700000000002</v>
      </c>
      <c r="E22" s="9">
        <v>4569.08</v>
      </c>
      <c r="F22" s="9">
        <v>9535.7800000000007</v>
      </c>
      <c r="G22" s="9">
        <v>10363.57</v>
      </c>
      <c r="H22" s="9">
        <v>3120</v>
      </c>
      <c r="L22" s="10">
        <f t="shared" si="0"/>
        <v>29933.5</v>
      </c>
    </row>
    <row r="23" spans="2:12" x14ac:dyDescent="0.25">
      <c r="B23" s="13"/>
      <c r="C23" s="4" t="s">
        <v>29</v>
      </c>
      <c r="D23" s="9">
        <v>37518.870000000003</v>
      </c>
      <c r="E23" s="9">
        <v>8547.6899999999987</v>
      </c>
      <c r="F23" s="9">
        <v>23522.94</v>
      </c>
      <c r="G23" s="9">
        <v>47088.29</v>
      </c>
      <c r="H23" s="9">
        <v>16704.97</v>
      </c>
      <c r="L23" s="10">
        <f t="shared" si="0"/>
        <v>133382.76</v>
      </c>
    </row>
    <row r="24" spans="2:12" x14ac:dyDescent="0.25">
      <c r="B24" s="13"/>
      <c r="C24" s="4" t="s">
        <v>43</v>
      </c>
      <c r="D24" s="9">
        <v>1716.96</v>
      </c>
      <c r="E24" s="9">
        <v>1104.1600000000001</v>
      </c>
      <c r="F24" s="9">
        <v>1907.82</v>
      </c>
      <c r="G24" s="9">
        <v>1637.17</v>
      </c>
      <c r="H24" s="9">
        <v>426</v>
      </c>
      <c r="L24" s="10">
        <f t="shared" si="0"/>
        <v>6792.11</v>
      </c>
    </row>
    <row r="25" spans="2:12" x14ac:dyDescent="0.25">
      <c r="B25" s="13"/>
      <c r="C25" s="4" t="s">
        <v>30</v>
      </c>
      <c r="D25" s="9"/>
      <c r="E25" s="9"/>
      <c r="F25" s="9">
        <v>3911.7</v>
      </c>
      <c r="G25" s="9">
        <v>3311.62</v>
      </c>
      <c r="H25" s="9"/>
      <c r="L25" s="10">
        <f t="shared" si="0"/>
        <v>7223.32</v>
      </c>
    </row>
    <row r="26" spans="2:12" x14ac:dyDescent="0.25">
      <c r="B26" s="13"/>
      <c r="C26" s="4" t="s">
        <v>31</v>
      </c>
      <c r="D26" s="9">
        <v>2575.5499999999997</v>
      </c>
      <c r="E26" s="9">
        <v>5808.1399999999994</v>
      </c>
      <c r="F26" s="9">
        <v>3168.69</v>
      </c>
      <c r="G26" s="9"/>
      <c r="H26" s="9"/>
      <c r="L26" s="10">
        <f t="shared" si="0"/>
        <v>11552.38</v>
      </c>
    </row>
    <row r="27" spans="2:12" x14ac:dyDescent="0.25">
      <c r="B27" s="13"/>
      <c r="C27" s="4" t="s">
        <v>32</v>
      </c>
      <c r="D27" s="9">
        <v>7522.42</v>
      </c>
      <c r="E27" s="9">
        <v>1297.8700000000001</v>
      </c>
      <c r="F27" s="9">
        <v>206.2</v>
      </c>
      <c r="G27" s="9"/>
      <c r="H27" s="9">
        <v>1196.48</v>
      </c>
      <c r="L27" s="10">
        <f t="shared" si="0"/>
        <v>10222.970000000001</v>
      </c>
    </row>
    <row r="28" spans="2:12" x14ac:dyDescent="0.25">
      <c r="B28" s="3" t="s">
        <v>33</v>
      </c>
      <c r="C28" s="6"/>
      <c r="D28" s="11">
        <f>SUM(D4:D27)</f>
        <v>276520.48</v>
      </c>
      <c r="E28" s="11">
        <f t="shared" ref="E28:K28" si="1">SUM(E4:E27)</f>
        <v>164605.16999999998</v>
      </c>
      <c r="F28" s="11">
        <f t="shared" si="1"/>
        <v>226375.19</v>
      </c>
      <c r="G28" s="11">
        <f t="shared" si="1"/>
        <v>176909.07000000004</v>
      </c>
      <c r="H28" s="11">
        <f t="shared" si="1"/>
        <v>76864.259999999995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921274.17</v>
      </c>
    </row>
    <row r="29" spans="2:12" x14ac:dyDescent="0.25">
      <c r="B29" s="13"/>
      <c r="C29" s="4"/>
      <c r="D29" s="9"/>
      <c r="E29" s="9"/>
      <c r="F29" s="9"/>
      <c r="G29" s="9"/>
      <c r="L29" s="10"/>
    </row>
    <row r="30" spans="2:12" x14ac:dyDescent="0.25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25">
      <c r="B31" s="13"/>
      <c r="C31" s="7" t="s">
        <v>11</v>
      </c>
      <c r="D31" s="11">
        <v>32</v>
      </c>
      <c r="E31" s="11">
        <v>48</v>
      </c>
      <c r="F31" s="11">
        <v>49</v>
      </c>
      <c r="G31" s="11">
        <v>30</v>
      </c>
      <c r="H31" s="11">
        <v>5</v>
      </c>
      <c r="L31" s="10">
        <f t="shared" si="0"/>
        <v>164</v>
      </c>
    </row>
    <row r="32" spans="2:12" x14ac:dyDescent="0.25">
      <c r="B32" s="13"/>
      <c r="C32" s="4" t="s">
        <v>40</v>
      </c>
      <c r="D32" s="9">
        <v>12</v>
      </c>
      <c r="E32" s="9">
        <v>13</v>
      </c>
      <c r="F32" s="9">
        <v>24</v>
      </c>
      <c r="G32" s="9">
        <v>22</v>
      </c>
      <c r="H32" s="9">
        <v>5</v>
      </c>
      <c r="L32" s="10">
        <f t="shared" si="0"/>
        <v>76</v>
      </c>
    </row>
    <row r="33" spans="2:12" x14ac:dyDescent="0.25">
      <c r="B33" s="13"/>
      <c r="C33" s="4" t="s">
        <v>13</v>
      </c>
      <c r="D33" s="9">
        <v>9</v>
      </c>
      <c r="E33" s="9">
        <v>8</v>
      </c>
      <c r="F33" s="9">
        <v>37</v>
      </c>
      <c r="G33" s="9">
        <v>16</v>
      </c>
      <c r="H33" s="9">
        <v>7</v>
      </c>
      <c r="L33" s="10">
        <f t="shared" si="0"/>
        <v>77</v>
      </c>
    </row>
    <row r="34" spans="2:12" x14ac:dyDescent="0.25">
      <c r="B34" s="13"/>
      <c r="C34" s="4" t="s">
        <v>41</v>
      </c>
      <c r="D34" s="9">
        <v>38</v>
      </c>
      <c r="E34" s="9">
        <v>39</v>
      </c>
      <c r="F34" s="9">
        <v>66</v>
      </c>
      <c r="G34" s="9">
        <v>35</v>
      </c>
      <c r="H34" s="9">
        <v>23</v>
      </c>
      <c r="L34" s="10">
        <f t="shared" si="0"/>
        <v>201</v>
      </c>
    </row>
    <row r="35" spans="2:12" x14ac:dyDescent="0.25">
      <c r="B35" s="13"/>
      <c r="C35" s="4" t="s">
        <v>14</v>
      </c>
      <c r="D35" s="9">
        <v>46</v>
      </c>
      <c r="E35" s="9">
        <v>36</v>
      </c>
      <c r="F35" s="9">
        <v>28</v>
      </c>
      <c r="G35" s="9">
        <v>25</v>
      </c>
      <c r="H35" s="9">
        <v>10</v>
      </c>
      <c r="L35" s="10">
        <f t="shared" si="0"/>
        <v>145</v>
      </c>
    </row>
    <row r="36" spans="2:12" x14ac:dyDescent="0.25">
      <c r="B36" s="13"/>
      <c r="C36" s="4" t="s">
        <v>15</v>
      </c>
      <c r="D36" s="9">
        <v>30</v>
      </c>
      <c r="E36" s="9"/>
      <c r="F36" s="9">
        <v>109</v>
      </c>
      <c r="G36" s="9">
        <v>3</v>
      </c>
      <c r="H36" s="9">
        <v>5</v>
      </c>
      <c r="L36" s="10">
        <f t="shared" si="0"/>
        <v>147</v>
      </c>
    </row>
    <row r="37" spans="2:12" x14ac:dyDescent="0.25">
      <c r="B37" s="13"/>
      <c r="C37" s="4" t="s">
        <v>42</v>
      </c>
      <c r="D37" s="9">
        <v>128</v>
      </c>
      <c r="E37" s="9">
        <v>90</v>
      </c>
      <c r="F37" s="9">
        <v>51</v>
      </c>
      <c r="G37" s="9">
        <v>16</v>
      </c>
      <c r="H37" s="9">
        <v>28</v>
      </c>
      <c r="L37" s="10">
        <f t="shared" si="0"/>
        <v>313</v>
      </c>
    </row>
    <row r="38" spans="2:12" x14ac:dyDescent="0.25">
      <c r="B38" s="13"/>
      <c r="C38" s="4" t="s">
        <v>16</v>
      </c>
      <c r="D38" s="9">
        <v>93</v>
      </c>
      <c r="E38" s="9">
        <v>57</v>
      </c>
      <c r="F38" s="9">
        <v>46</v>
      </c>
      <c r="G38" s="9"/>
      <c r="H38" s="9"/>
      <c r="L38" s="10">
        <f t="shared" si="0"/>
        <v>196</v>
      </c>
    </row>
    <row r="39" spans="2:12" x14ac:dyDescent="0.25">
      <c r="B39" s="13"/>
      <c r="C39" s="4" t="s">
        <v>17</v>
      </c>
      <c r="D39" s="9">
        <v>4</v>
      </c>
      <c r="E39" s="9">
        <v>7</v>
      </c>
      <c r="F39" s="9">
        <v>53</v>
      </c>
      <c r="G39" s="9">
        <v>59</v>
      </c>
      <c r="H39" s="9"/>
      <c r="L39" s="10">
        <f t="shared" si="0"/>
        <v>123</v>
      </c>
    </row>
    <row r="40" spans="2:12" x14ac:dyDescent="0.25">
      <c r="B40" s="13"/>
      <c r="C40" s="4" t="s">
        <v>19</v>
      </c>
      <c r="D40" s="9">
        <v>11</v>
      </c>
      <c r="E40" s="9">
        <v>8</v>
      </c>
      <c r="F40" s="9">
        <v>63</v>
      </c>
      <c r="G40" s="9">
        <v>66</v>
      </c>
      <c r="H40" s="9">
        <v>-1</v>
      </c>
      <c r="L40" s="10">
        <f t="shared" si="0"/>
        <v>147</v>
      </c>
    </row>
    <row r="41" spans="2:12" x14ac:dyDescent="0.25">
      <c r="B41" s="13"/>
      <c r="C41" s="4" t="s">
        <v>20</v>
      </c>
      <c r="D41" s="9">
        <v>29</v>
      </c>
      <c r="E41" s="9">
        <v>46</v>
      </c>
      <c r="F41" s="9">
        <v>58</v>
      </c>
      <c r="G41" s="9">
        <v>46</v>
      </c>
      <c r="H41" s="9">
        <v>17</v>
      </c>
      <c r="L41" s="10">
        <f t="shared" si="0"/>
        <v>196</v>
      </c>
    </row>
    <row r="42" spans="2:12" x14ac:dyDescent="0.25">
      <c r="B42" s="13"/>
      <c r="C42" s="4" t="s">
        <v>21</v>
      </c>
      <c r="D42" s="9">
        <v>35</v>
      </c>
      <c r="E42" s="9">
        <v>14</v>
      </c>
      <c r="F42" s="9">
        <v>39</v>
      </c>
      <c r="G42" s="9">
        <v>30</v>
      </c>
      <c r="H42" s="9">
        <v>8</v>
      </c>
      <c r="L42" s="10">
        <f t="shared" si="0"/>
        <v>126</v>
      </c>
    </row>
    <row r="43" spans="2:12" x14ac:dyDescent="0.25">
      <c r="B43" s="13"/>
      <c r="C43" s="4" t="s">
        <v>22</v>
      </c>
      <c r="D43" s="9">
        <v>222</v>
      </c>
      <c r="E43" s="9">
        <v>24</v>
      </c>
      <c r="F43" s="9">
        <v>3</v>
      </c>
      <c r="G43" s="9">
        <v>12</v>
      </c>
      <c r="H43" s="9">
        <v>46</v>
      </c>
      <c r="L43" s="10">
        <f t="shared" si="0"/>
        <v>307</v>
      </c>
    </row>
    <row r="44" spans="2:12" x14ac:dyDescent="0.25">
      <c r="B44" s="13"/>
      <c r="C44" s="4" t="s">
        <v>23</v>
      </c>
      <c r="D44" s="9">
        <v>22</v>
      </c>
      <c r="E44" s="9">
        <v>19</v>
      </c>
      <c r="F44" s="9">
        <v>24</v>
      </c>
      <c r="G44" s="9">
        <v>27</v>
      </c>
      <c r="H44" s="9">
        <v>10</v>
      </c>
      <c r="L44" s="10">
        <f t="shared" si="0"/>
        <v>102</v>
      </c>
    </row>
    <row r="45" spans="2:12" x14ac:dyDescent="0.25">
      <c r="B45" s="13"/>
      <c r="C45" s="4" t="s">
        <v>24</v>
      </c>
      <c r="D45" s="9">
        <v>11</v>
      </c>
      <c r="E45" s="9">
        <v>17</v>
      </c>
      <c r="F45" s="9">
        <v>19</v>
      </c>
      <c r="G45" s="9">
        <v>16</v>
      </c>
      <c r="H45" s="9">
        <v>8</v>
      </c>
      <c r="L45" s="10">
        <f t="shared" si="0"/>
        <v>71</v>
      </c>
    </row>
    <row r="46" spans="2:12" x14ac:dyDescent="0.25">
      <c r="B46" s="13"/>
      <c r="C46" s="4" t="s">
        <v>25</v>
      </c>
      <c r="D46" s="9">
        <v>39</v>
      </c>
      <c r="E46" s="9">
        <v>56</v>
      </c>
      <c r="F46" s="9">
        <v>43</v>
      </c>
      <c r="G46" s="9">
        <v>13</v>
      </c>
      <c r="H46" s="9">
        <v>5</v>
      </c>
      <c r="L46" s="10">
        <f t="shared" si="0"/>
        <v>156</v>
      </c>
    </row>
    <row r="47" spans="2:12" x14ac:dyDescent="0.25">
      <c r="B47" s="13"/>
      <c r="C47" s="4" t="s">
        <v>26</v>
      </c>
      <c r="D47" s="9">
        <v>107</v>
      </c>
      <c r="E47" s="9">
        <v>79</v>
      </c>
      <c r="F47" s="9">
        <v>33</v>
      </c>
      <c r="G47" s="9"/>
      <c r="H47" s="9"/>
      <c r="L47" s="10">
        <f t="shared" si="0"/>
        <v>219</v>
      </c>
    </row>
    <row r="48" spans="2:12" x14ac:dyDescent="0.25">
      <c r="B48" s="13"/>
      <c r="C48" s="4" t="s">
        <v>27</v>
      </c>
      <c r="D48" s="9">
        <v>67</v>
      </c>
      <c r="E48" s="9">
        <v>58</v>
      </c>
      <c r="F48" s="9">
        <v>28</v>
      </c>
      <c r="G48" s="9"/>
      <c r="H48" s="9"/>
      <c r="L48" s="10">
        <f t="shared" si="0"/>
        <v>153</v>
      </c>
    </row>
    <row r="49" spans="2:12" x14ac:dyDescent="0.25">
      <c r="B49" s="13"/>
      <c r="C49" s="4" t="s">
        <v>28</v>
      </c>
      <c r="D49" s="9">
        <v>19</v>
      </c>
      <c r="E49" s="9">
        <v>37</v>
      </c>
      <c r="F49" s="9">
        <v>71</v>
      </c>
      <c r="G49" s="9">
        <v>44</v>
      </c>
      <c r="H49" s="9">
        <v>13</v>
      </c>
      <c r="L49" s="10">
        <f t="shared" si="0"/>
        <v>184</v>
      </c>
    </row>
    <row r="50" spans="2:12" x14ac:dyDescent="0.25">
      <c r="B50" s="13"/>
      <c r="C50" s="4" t="s">
        <v>29</v>
      </c>
      <c r="D50" s="9">
        <v>177</v>
      </c>
      <c r="E50" s="9">
        <v>40</v>
      </c>
      <c r="F50" s="9">
        <v>99</v>
      </c>
      <c r="G50" s="9">
        <v>198</v>
      </c>
      <c r="H50" s="9">
        <v>66</v>
      </c>
      <c r="L50" s="10">
        <f t="shared" si="0"/>
        <v>580</v>
      </c>
    </row>
    <row r="51" spans="2:12" x14ac:dyDescent="0.25">
      <c r="B51" s="13"/>
      <c r="C51" s="4" t="s">
        <v>43</v>
      </c>
      <c r="D51" s="9">
        <v>14</v>
      </c>
      <c r="E51" s="9">
        <v>9</v>
      </c>
      <c r="F51" s="9">
        <v>14</v>
      </c>
      <c r="G51" s="9">
        <v>12</v>
      </c>
      <c r="H51" s="9">
        <v>3</v>
      </c>
      <c r="L51" s="10">
        <f t="shared" si="0"/>
        <v>52</v>
      </c>
    </row>
    <row r="52" spans="2:12" x14ac:dyDescent="0.25">
      <c r="B52" s="13"/>
      <c r="C52" s="4" t="s">
        <v>30</v>
      </c>
      <c r="D52" s="9"/>
      <c r="E52" s="9"/>
      <c r="F52" s="9">
        <v>19</v>
      </c>
      <c r="G52" s="9">
        <v>15</v>
      </c>
      <c r="H52" s="9"/>
      <c r="L52" s="10">
        <f t="shared" si="0"/>
        <v>34</v>
      </c>
    </row>
    <row r="53" spans="2:12" x14ac:dyDescent="0.25">
      <c r="B53" s="13"/>
      <c r="C53" s="4" t="s">
        <v>31</v>
      </c>
      <c r="D53" s="9">
        <v>72</v>
      </c>
      <c r="E53" s="9">
        <v>163</v>
      </c>
      <c r="F53" s="9">
        <v>81</v>
      </c>
      <c r="G53" s="9"/>
      <c r="H53" s="9"/>
      <c r="L53" s="10">
        <f t="shared" si="0"/>
        <v>316</v>
      </c>
    </row>
    <row r="54" spans="2:12" x14ac:dyDescent="0.25">
      <c r="B54" s="13"/>
      <c r="C54" s="4" t="s">
        <v>32</v>
      </c>
      <c r="D54" s="9">
        <v>119</v>
      </c>
      <c r="E54" s="9">
        <v>21</v>
      </c>
      <c r="F54" s="9">
        <v>3</v>
      </c>
      <c r="G54" s="9"/>
      <c r="H54" s="9">
        <v>17</v>
      </c>
      <c r="L54" s="10">
        <f t="shared" si="0"/>
        <v>160</v>
      </c>
    </row>
    <row r="55" spans="2:12" x14ac:dyDescent="0.25">
      <c r="B55" s="8" t="s">
        <v>45</v>
      </c>
      <c r="C55" s="23"/>
      <c r="D55" s="11">
        <f>SUM(D31:D54)</f>
        <v>1336</v>
      </c>
      <c r="E55" s="11">
        <f>SUM(E31:E54)</f>
        <v>889</v>
      </c>
      <c r="F55" s="11">
        <f t="shared" ref="F55:K55" si="2">SUM(F31:F54)</f>
        <v>1060</v>
      </c>
      <c r="G55" s="11">
        <f t="shared" si="2"/>
        <v>685</v>
      </c>
      <c r="H55" s="11">
        <f t="shared" si="2"/>
        <v>275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1">
        <f>SUM(D55:K55)</f>
        <v>4245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L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A771-5630-4083-B9CF-B4C0F46E58B5}">
  <dimension ref="B1:L55"/>
  <sheetViews>
    <sheetView workbookViewId="0">
      <selection activeCell="F35" sqref="F35"/>
    </sheetView>
  </sheetViews>
  <sheetFormatPr defaultRowHeight="15" x14ac:dyDescent="0.25"/>
  <cols>
    <col min="2" max="2" width="15.85546875" customWidth="1"/>
    <col min="3" max="3" width="22.28515625" customWidth="1"/>
    <col min="12" max="12" width="11.140625" bestFit="1" customWidth="1"/>
  </cols>
  <sheetData>
    <row r="1" spans="2:12" x14ac:dyDescent="0.25">
      <c r="B1" s="32" t="s">
        <v>110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108</v>
      </c>
      <c r="C4" s="7" t="s">
        <v>11</v>
      </c>
      <c r="D4" s="9">
        <v>3260.4300000000003</v>
      </c>
      <c r="E4" s="9">
        <v>652.09</v>
      </c>
      <c r="F4" s="9">
        <v>3961.48</v>
      </c>
      <c r="G4" s="9">
        <v>2640.99</v>
      </c>
      <c r="H4" s="9">
        <v>1320.49</v>
      </c>
      <c r="L4" s="10">
        <f>SUM(D4:K4)</f>
        <v>11835.48</v>
      </c>
    </row>
    <row r="5" spans="2:12" x14ac:dyDescent="0.25">
      <c r="B5" s="13" t="s">
        <v>109</v>
      </c>
      <c r="C5" s="4" t="s">
        <v>91</v>
      </c>
      <c r="D5" s="9"/>
      <c r="E5" s="9"/>
      <c r="F5" s="9">
        <v>2422.4899999999998</v>
      </c>
      <c r="G5" s="9"/>
      <c r="H5" s="9"/>
      <c r="L5" s="10">
        <f t="shared" ref="L5:L54" si="0">SUM(D5:K5)</f>
        <v>2422.4899999999998</v>
      </c>
    </row>
    <row r="6" spans="2:12" x14ac:dyDescent="0.25">
      <c r="B6" s="13"/>
      <c r="C6" s="4" t="s">
        <v>12</v>
      </c>
      <c r="D6" s="9">
        <v>1062.31</v>
      </c>
      <c r="E6" s="9"/>
      <c r="F6" s="9">
        <v>1501</v>
      </c>
      <c r="G6" s="9"/>
      <c r="H6" s="9"/>
      <c r="L6" s="10">
        <f t="shared" si="0"/>
        <v>2563.31</v>
      </c>
    </row>
    <row r="7" spans="2:12" x14ac:dyDescent="0.25">
      <c r="B7" s="13"/>
      <c r="C7" s="4" t="s">
        <v>40</v>
      </c>
      <c r="D7" s="9"/>
      <c r="E7" s="9">
        <v>989.81999999999994</v>
      </c>
      <c r="F7" s="9"/>
      <c r="G7" s="9">
        <v>351.94</v>
      </c>
      <c r="H7" s="9"/>
      <c r="L7" s="10">
        <f t="shared" si="0"/>
        <v>1341.76</v>
      </c>
    </row>
    <row r="8" spans="2:12" x14ac:dyDescent="0.25">
      <c r="B8" s="13"/>
      <c r="C8" s="4" t="s">
        <v>13</v>
      </c>
      <c r="D8" s="9">
        <v>3236.92</v>
      </c>
      <c r="E8" s="9"/>
      <c r="F8" s="9">
        <v>851.81</v>
      </c>
      <c r="G8" s="9">
        <v>2555.4499999999998</v>
      </c>
      <c r="H8" s="9">
        <v>511.1</v>
      </c>
      <c r="L8" s="10">
        <f t="shared" si="0"/>
        <v>7155.2800000000007</v>
      </c>
    </row>
    <row r="9" spans="2:12" x14ac:dyDescent="0.25">
      <c r="B9" s="13"/>
      <c r="C9" s="4" t="s">
        <v>41</v>
      </c>
      <c r="D9" s="9">
        <v>146.49</v>
      </c>
      <c r="E9" s="9"/>
      <c r="F9" s="9"/>
      <c r="G9" s="9"/>
      <c r="H9" s="9"/>
      <c r="L9" s="10">
        <f t="shared" si="0"/>
        <v>146.49</v>
      </c>
    </row>
    <row r="10" spans="2:12" x14ac:dyDescent="0.25">
      <c r="B10" s="13"/>
      <c r="C10" s="4" t="s">
        <v>15</v>
      </c>
      <c r="D10" s="9"/>
      <c r="E10" s="9"/>
      <c r="F10" s="9">
        <v>62511.11</v>
      </c>
      <c r="G10" s="9">
        <v>-4018.5699999999997</v>
      </c>
      <c r="H10" s="9"/>
      <c r="L10" s="10">
        <f t="shared" si="0"/>
        <v>58492.54</v>
      </c>
    </row>
    <row r="11" spans="2:12" x14ac:dyDescent="0.25">
      <c r="B11" s="13"/>
      <c r="C11" s="4" t="s">
        <v>42</v>
      </c>
      <c r="D11" s="9">
        <v>2299.02</v>
      </c>
      <c r="E11" s="9">
        <v>4598.04</v>
      </c>
      <c r="F11" s="9">
        <v>2351.27</v>
      </c>
      <c r="G11" s="9"/>
      <c r="H11" s="9"/>
      <c r="L11" s="10">
        <f t="shared" si="0"/>
        <v>9248.33</v>
      </c>
    </row>
    <row r="12" spans="2:12" x14ac:dyDescent="0.25">
      <c r="B12" s="13"/>
      <c r="C12" s="4" t="s">
        <v>16</v>
      </c>
      <c r="D12" s="9">
        <v>15949.539999999999</v>
      </c>
      <c r="E12" s="9">
        <v>29724.109999999997</v>
      </c>
      <c r="F12" s="9">
        <v>9780.23</v>
      </c>
      <c r="G12" s="9">
        <v>11410.279999999999</v>
      </c>
      <c r="H12" s="9">
        <v>3260.08</v>
      </c>
      <c r="L12" s="10">
        <f t="shared" si="0"/>
        <v>70124.239999999991</v>
      </c>
    </row>
    <row r="13" spans="2:12" x14ac:dyDescent="0.25">
      <c r="B13" s="13"/>
      <c r="C13" s="4" t="s">
        <v>17</v>
      </c>
      <c r="D13" s="9">
        <v>195.88</v>
      </c>
      <c r="E13" s="9"/>
      <c r="F13" s="9"/>
      <c r="G13" s="9"/>
      <c r="H13" s="9"/>
      <c r="L13" s="10">
        <f t="shared" si="0"/>
        <v>195.88</v>
      </c>
    </row>
    <row r="14" spans="2:12" x14ac:dyDescent="0.25">
      <c r="B14" s="13"/>
      <c r="C14" s="4" t="s">
        <v>19</v>
      </c>
      <c r="D14" s="9">
        <v>195.89</v>
      </c>
      <c r="E14" s="9"/>
      <c r="F14" s="9"/>
      <c r="G14" s="9">
        <v>213.75</v>
      </c>
      <c r="H14" s="9"/>
      <c r="L14" s="10">
        <f t="shared" si="0"/>
        <v>409.64</v>
      </c>
    </row>
    <row r="15" spans="2:12" x14ac:dyDescent="0.25">
      <c r="B15" s="13"/>
      <c r="C15" s="4" t="s">
        <v>20</v>
      </c>
      <c r="D15" s="9">
        <v>2350.6799999999998</v>
      </c>
      <c r="E15" s="9">
        <v>979.45</v>
      </c>
      <c r="F15" s="9">
        <v>641.25</v>
      </c>
      <c r="G15" s="9">
        <v>1282.51</v>
      </c>
      <c r="H15" s="9"/>
      <c r="L15" s="10">
        <f t="shared" si="0"/>
        <v>5253.89</v>
      </c>
    </row>
    <row r="16" spans="2:12" x14ac:dyDescent="0.25">
      <c r="B16" s="13"/>
      <c r="C16" s="4" t="s">
        <v>21</v>
      </c>
      <c r="D16" s="9">
        <v>5677.16</v>
      </c>
      <c r="E16" s="9">
        <v>5961.01</v>
      </c>
      <c r="F16" s="9">
        <v>608</v>
      </c>
      <c r="G16" s="9">
        <v>3040.0299999999997</v>
      </c>
      <c r="H16" s="9">
        <v>608.01</v>
      </c>
      <c r="L16" s="10">
        <f t="shared" si="0"/>
        <v>15894.210000000001</v>
      </c>
    </row>
    <row r="17" spans="2:12" x14ac:dyDescent="0.25">
      <c r="B17" s="13"/>
      <c r="C17" s="4" t="s">
        <v>22</v>
      </c>
      <c r="D17" s="9">
        <v>70537.259999999995</v>
      </c>
      <c r="E17" s="9">
        <v>12539.95</v>
      </c>
      <c r="F17" s="9"/>
      <c r="G17" s="9"/>
      <c r="H17" s="9">
        <v>3324.97</v>
      </c>
      <c r="L17" s="10">
        <f t="shared" si="0"/>
        <v>86402.18</v>
      </c>
    </row>
    <row r="18" spans="2:12" x14ac:dyDescent="0.25">
      <c r="B18" s="13"/>
      <c r="C18" s="4" t="s">
        <v>23</v>
      </c>
      <c r="D18" s="9">
        <v>21833.399999999998</v>
      </c>
      <c r="E18" s="9">
        <v>9703.74</v>
      </c>
      <c r="F18" s="9">
        <v>5059.9699999999993</v>
      </c>
      <c r="G18" s="9">
        <v>8095.94</v>
      </c>
      <c r="H18" s="9">
        <v>5059.96</v>
      </c>
      <c r="L18" s="10">
        <f t="shared" si="0"/>
        <v>49753.01</v>
      </c>
    </row>
    <row r="19" spans="2:12" x14ac:dyDescent="0.25">
      <c r="B19" s="13"/>
      <c r="C19" s="4" t="s">
        <v>24</v>
      </c>
      <c r="D19" s="9">
        <v>7552.58</v>
      </c>
      <c r="E19" s="9">
        <v>2904.84</v>
      </c>
      <c r="F19" s="9"/>
      <c r="G19" s="9">
        <v>2428.81</v>
      </c>
      <c r="H19" s="9">
        <v>1518</v>
      </c>
      <c r="L19" s="10">
        <f t="shared" si="0"/>
        <v>14404.23</v>
      </c>
    </row>
    <row r="20" spans="2:12" x14ac:dyDescent="0.25">
      <c r="B20" s="13"/>
      <c r="C20" s="4" t="s">
        <v>25</v>
      </c>
      <c r="D20" s="9">
        <v>2801.58</v>
      </c>
      <c r="E20" s="9">
        <v>4295.75</v>
      </c>
      <c r="F20" s="9">
        <v>997.49</v>
      </c>
      <c r="G20" s="9">
        <v>5984.9500000000007</v>
      </c>
      <c r="H20" s="9"/>
      <c r="L20" s="10">
        <f t="shared" si="0"/>
        <v>14079.77</v>
      </c>
    </row>
    <row r="21" spans="2:12" x14ac:dyDescent="0.25">
      <c r="B21" s="13"/>
      <c r="C21" s="4" t="s">
        <v>26</v>
      </c>
      <c r="D21" s="9">
        <v>24437.73</v>
      </c>
      <c r="E21" s="9">
        <v>34000.32</v>
      </c>
      <c r="F21" s="9">
        <v>7230.52</v>
      </c>
      <c r="G21" s="9">
        <v>16871.21</v>
      </c>
      <c r="H21" s="9">
        <v>4820.3500000000004</v>
      </c>
      <c r="L21" s="10">
        <f t="shared" si="0"/>
        <v>87360.13</v>
      </c>
    </row>
    <row r="22" spans="2:12" x14ac:dyDescent="0.25">
      <c r="B22" s="13"/>
      <c r="C22" s="4" t="s">
        <v>28</v>
      </c>
      <c r="D22" s="9">
        <v>9958.380000000001</v>
      </c>
      <c r="E22" s="9">
        <v>13277.84</v>
      </c>
      <c r="F22" s="9">
        <v>1200.01</v>
      </c>
      <c r="G22" s="9">
        <v>5520.0300000000007</v>
      </c>
      <c r="H22" s="9">
        <v>8880.0400000000009</v>
      </c>
      <c r="L22" s="10">
        <f t="shared" si="0"/>
        <v>38836.300000000003</v>
      </c>
    </row>
    <row r="23" spans="2:12" x14ac:dyDescent="0.25">
      <c r="B23" s="13"/>
      <c r="C23" s="4" t="s">
        <v>29</v>
      </c>
      <c r="D23" s="9">
        <v>8090.05</v>
      </c>
      <c r="E23" s="9">
        <v>4896.59</v>
      </c>
      <c r="F23" s="9"/>
      <c r="G23" s="9">
        <v>3562.42</v>
      </c>
      <c r="H23" s="9">
        <v>7172.43</v>
      </c>
      <c r="L23" s="10">
        <f t="shared" si="0"/>
        <v>23721.489999999998</v>
      </c>
    </row>
    <row r="24" spans="2:12" x14ac:dyDescent="0.25">
      <c r="B24" s="13"/>
      <c r="C24" s="4" t="s">
        <v>43</v>
      </c>
      <c r="D24" s="9">
        <v>952.27</v>
      </c>
      <c r="E24" s="9"/>
      <c r="F24" s="9"/>
      <c r="G24" s="9"/>
      <c r="H24" s="9"/>
      <c r="L24" s="10">
        <f t="shared" si="0"/>
        <v>952.27</v>
      </c>
    </row>
    <row r="25" spans="2:12" x14ac:dyDescent="0.25">
      <c r="B25" s="13"/>
      <c r="C25" s="4" t="s">
        <v>30</v>
      </c>
      <c r="D25" s="9">
        <v>2351.77</v>
      </c>
      <c r="E25" s="9">
        <v>4311.59</v>
      </c>
      <c r="F25" s="9"/>
      <c r="G25" s="9">
        <v>2564.9899999999998</v>
      </c>
      <c r="H25" s="9"/>
      <c r="L25" s="10">
        <f t="shared" si="0"/>
        <v>9228.35</v>
      </c>
    </row>
    <row r="26" spans="2:12" x14ac:dyDescent="0.25">
      <c r="B26" s="13"/>
      <c r="C26" s="4" t="s">
        <v>31</v>
      </c>
      <c r="D26" s="9">
        <v>5104.33</v>
      </c>
      <c r="E26" s="9">
        <v>20417.299999999996</v>
      </c>
      <c r="F26" s="9"/>
      <c r="G26" s="9">
        <v>9799.92</v>
      </c>
      <c r="H26" s="9">
        <v>1399.98</v>
      </c>
      <c r="L26" s="10">
        <f t="shared" si="0"/>
        <v>36721.53</v>
      </c>
    </row>
    <row r="27" spans="2:12" x14ac:dyDescent="0.25">
      <c r="B27" s="13"/>
      <c r="C27" s="4" t="s">
        <v>32</v>
      </c>
      <c r="D27" s="9">
        <v>5.65</v>
      </c>
      <c r="E27" s="9">
        <v>5.85</v>
      </c>
      <c r="F27" s="9">
        <v>7.64</v>
      </c>
      <c r="G27" s="9">
        <v>2.46</v>
      </c>
      <c r="H27" s="9">
        <v>1.7</v>
      </c>
      <c r="L27" s="10">
        <f t="shared" si="0"/>
        <v>23.3</v>
      </c>
    </row>
    <row r="28" spans="2:12" x14ac:dyDescent="0.25">
      <c r="B28" s="3" t="s">
        <v>33</v>
      </c>
      <c r="C28" s="6"/>
      <c r="D28" s="11">
        <f>SUM(D4:D27)</f>
        <v>187999.31999999992</v>
      </c>
      <c r="E28" s="11">
        <f t="shared" ref="E28:K28" si="1">SUM(E4:E27)</f>
        <v>149258.28999999998</v>
      </c>
      <c r="F28" s="11">
        <f t="shared" si="1"/>
        <v>99124.27</v>
      </c>
      <c r="G28" s="11">
        <f t="shared" si="1"/>
        <v>72307.11</v>
      </c>
      <c r="H28" s="11">
        <f t="shared" si="1"/>
        <v>37877.11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546566.09999999986</v>
      </c>
    </row>
    <row r="29" spans="2:12" x14ac:dyDescent="0.25">
      <c r="B29" s="13"/>
      <c r="C29" s="4"/>
      <c r="D29" s="9"/>
      <c r="E29" s="9"/>
      <c r="F29" s="9"/>
      <c r="G29" s="9"/>
      <c r="L29" s="10"/>
    </row>
    <row r="30" spans="2:12" x14ac:dyDescent="0.25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25">
      <c r="B31" s="13"/>
      <c r="C31" s="7" t="s">
        <v>11</v>
      </c>
      <c r="D31" s="11">
        <v>5</v>
      </c>
      <c r="E31" s="11">
        <v>1</v>
      </c>
      <c r="F31" s="11">
        <v>6</v>
      </c>
      <c r="G31" s="11">
        <v>4</v>
      </c>
      <c r="H31" s="11">
        <v>2</v>
      </c>
      <c r="L31" s="10">
        <f t="shared" si="0"/>
        <v>18</v>
      </c>
    </row>
    <row r="32" spans="2:12" x14ac:dyDescent="0.25">
      <c r="B32" s="13"/>
      <c r="C32" s="4" t="s">
        <v>91</v>
      </c>
      <c r="D32" s="9"/>
      <c r="E32" s="9"/>
      <c r="F32" s="9">
        <v>3</v>
      </c>
      <c r="G32" s="9"/>
      <c r="H32" s="9"/>
      <c r="L32" s="10">
        <f t="shared" si="0"/>
        <v>3</v>
      </c>
    </row>
    <row r="33" spans="2:12" x14ac:dyDescent="0.25">
      <c r="B33" s="13"/>
      <c r="C33" s="4" t="s">
        <v>12</v>
      </c>
      <c r="D33" s="9">
        <v>3</v>
      </c>
      <c r="E33" s="9"/>
      <c r="F33" s="9">
        <v>4</v>
      </c>
      <c r="G33" s="9"/>
      <c r="H33" s="9"/>
      <c r="L33" s="10">
        <f t="shared" si="0"/>
        <v>7</v>
      </c>
    </row>
    <row r="34" spans="2:12" x14ac:dyDescent="0.25">
      <c r="B34" s="13"/>
      <c r="C34" s="4" t="s">
        <v>40</v>
      </c>
      <c r="D34" s="9"/>
      <c r="E34" s="9">
        <v>45</v>
      </c>
      <c r="F34" s="9"/>
      <c r="G34" s="9">
        <v>16</v>
      </c>
      <c r="H34" s="9"/>
      <c r="L34" s="10">
        <f t="shared" si="0"/>
        <v>61</v>
      </c>
    </row>
    <row r="35" spans="2:12" x14ac:dyDescent="0.25">
      <c r="B35" s="13"/>
      <c r="C35" s="4" t="s">
        <v>13</v>
      </c>
      <c r="D35" s="9">
        <v>19</v>
      </c>
      <c r="E35" s="9"/>
      <c r="F35" s="9">
        <v>5</v>
      </c>
      <c r="G35" s="9">
        <v>15</v>
      </c>
      <c r="H35" s="9">
        <v>3</v>
      </c>
      <c r="L35" s="10">
        <f t="shared" si="0"/>
        <v>42</v>
      </c>
    </row>
    <row r="36" spans="2:12" x14ac:dyDescent="0.25">
      <c r="B36" s="13"/>
      <c r="C36" s="4" t="s">
        <v>41</v>
      </c>
      <c r="D36" s="9">
        <v>2</v>
      </c>
      <c r="E36" s="9"/>
      <c r="F36" s="9"/>
      <c r="G36" s="9"/>
      <c r="H36" s="9"/>
      <c r="L36" s="10">
        <f t="shared" si="0"/>
        <v>2</v>
      </c>
    </row>
    <row r="37" spans="2:12" x14ac:dyDescent="0.25">
      <c r="B37" s="13"/>
      <c r="C37" s="4" t="s">
        <v>15</v>
      </c>
      <c r="D37" s="9"/>
      <c r="E37" s="9"/>
      <c r="F37" s="9">
        <v>280</v>
      </c>
      <c r="G37" s="9">
        <v>-18</v>
      </c>
      <c r="H37" s="9"/>
      <c r="L37" s="10">
        <f t="shared" si="0"/>
        <v>262</v>
      </c>
    </row>
    <row r="38" spans="2:12" x14ac:dyDescent="0.25">
      <c r="B38" s="13"/>
      <c r="C38" s="4" t="s">
        <v>42</v>
      </c>
      <c r="D38" s="9">
        <v>5</v>
      </c>
      <c r="E38" s="9">
        <v>10</v>
      </c>
      <c r="F38" s="9">
        <v>5</v>
      </c>
      <c r="G38" s="9"/>
      <c r="H38" s="9"/>
      <c r="L38" s="10">
        <f t="shared" si="0"/>
        <v>20</v>
      </c>
    </row>
    <row r="39" spans="2:12" x14ac:dyDescent="0.25">
      <c r="B39" s="13"/>
      <c r="C39" s="4" t="s">
        <v>16</v>
      </c>
      <c r="D39" s="9">
        <v>110</v>
      </c>
      <c r="E39" s="9">
        <v>205</v>
      </c>
      <c r="F39" s="9">
        <v>60</v>
      </c>
      <c r="G39" s="9">
        <v>70</v>
      </c>
      <c r="H39" s="9">
        <v>20</v>
      </c>
      <c r="L39" s="10">
        <f t="shared" si="0"/>
        <v>465</v>
      </c>
    </row>
    <row r="40" spans="2:12" x14ac:dyDescent="0.25">
      <c r="B40" s="13"/>
      <c r="C40" s="4" t="s">
        <v>17</v>
      </c>
      <c r="D40" s="9">
        <v>1</v>
      </c>
      <c r="E40" s="9"/>
      <c r="F40" s="9"/>
      <c r="G40" s="9"/>
      <c r="H40" s="9"/>
      <c r="L40" s="10">
        <f t="shared" si="0"/>
        <v>1</v>
      </c>
    </row>
    <row r="41" spans="2:12" x14ac:dyDescent="0.25">
      <c r="B41" s="13"/>
      <c r="C41" s="4" t="s">
        <v>19</v>
      </c>
      <c r="D41" s="9">
        <v>1</v>
      </c>
      <c r="E41" s="9"/>
      <c r="F41" s="9"/>
      <c r="G41" s="9">
        <v>1</v>
      </c>
      <c r="H41" s="9"/>
      <c r="L41" s="10">
        <f t="shared" si="0"/>
        <v>2</v>
      </c>
    </row>
    <row r="42" spans="2:12" x14ac:dyDescent="0.25">
      <c r="B42" s="13"/>
      <c r="C42" s="4" t="s">
        <v>20</v>
      </c>
      <c r="D42" s="9">
        <v>12</v>
      </c>
      <c r="E42" s="9">
        <v>5</v>
      </c>
      <c r="F42" s="9">
        <v>3</v>
      </c>
      <c r="G42" s="9">
        <v>6</v>
      </c>
      <c r="H42" s="9"/>
      <c r="L42" s="10">
        <f t="shared" si="0"/>
        <v>26</v>
      </c>
    </row>
    <row r="43" spans="2:12" x14ac:dyDescent="0.25">
      <c r="B43" s="13"/>
      <c r="C43" s="4" t="s">
        <v>21</v>
      </c>
      <c r="D43" s="9">
        <v>20</v>
      </c>
      <c r="E43" s="9">
        <v>21</v>
      </c>
      <c r="F43" s="9">
        <v>2</v>
      </c>
      <c r="G43" s="9">
        <v>10</v>
      </c>
      <c r="H43" s="9">
        <v>2</v>
      </c>
      <c r="L43" s="10">
        <f t="shared" si="0"/>
        <v>55</v>
      </c>
    </row>
    <row r="44" spans="2:12" x14ac:dyDescent="0.25">
      <c r="B44" s="13"/>
      <c r="C44" s="4" t="s">
        <v>22</v>
      </c>
      <c r="D44" s="9">
        <v>225</v>
      </c>
      <c r="E44" s="9">
        <v>40</v>
      </c>
      <c r="F44" s="9"/>
      <c r="G44" s="9"/>
      <c r="H44" s="9">
        <v>10</v>
      </c>
      <c r="L44" s="10">
        <f t="shared" si="0"/>
        <v>275</v>
      </c>
    </row>
    <row r="45" spans="2:12" x14ac:dyDescent="0.25">
      <c r="B45" s="13"/>
      <c r="C45" s="4" t="s">
        <v>23</v>
      </c>
      <c r="D45" s="9">
        <v>45</v>
      </c>
      <c r="E45" s="9">
        <v>20</v>
      </c>
      <c r="F45" s="9">
        <v>10</v>
      </c>
      <c r="G45" s="9">
        <v>16</v>
      </c>
      <c r="H45" s="9">
        <v>10</v>
      </c>
      <c r="L45" s="10">
        <f t="shared" si="0"/>
        <v>101</v>
      </c>
    </row>
    <row r="46" spans="2:12" x14ac:dyDescent="0.25">
      <c r="B46" s="13"/>
      <c r="C46" s="4" t="s">
        <v>24</v>
      </c>
      <c r="D46" s="9">
        <v>26</v>
      </c>
      <c r="E46" s="9">
        <v>10</v>
      </c>
      <c r="F46" s="9"/>
      <c r="G46" s="9">
        <v>8</v>
      </c>
      <c r="H46" s="9">
        <v>5</v>
      </c>
      <c r="L46" s="10">
        <f t="shared" si="0"/>
        <v>49</v>
      </c>
    </row>
    <row r="47" spans="2:12" x14ac:dyDescent="0.25">
      <c r="B47" s="13"/>
      <c r="C47" s="4" t="s">
        <v>25</v>
      </c>
      <c r="D47" s="9">
        <v>15</v>
      </c>
      <c r="E47" s="9">
        <v>23</v>
      </c>
      <c r="F47" s="9">
        <v>5</v>
      </c>
      <c r="G47" s="9">
        <v>30</v>
      </c>
      <c r="H47" s="9"/>
      <c r="L47" s="10">
        <f t="shared" si="0"/>
        <v>73</v>
      </c>
    </row>
    <row r="48" spans="2:12" x14ac:dyDescent="0.25">
      <c r="B48" s="13"/>
      <c r="C48" s="4" t="s">
        <v>26</v>
      </c>
      <c r="D48" s="9">
        <v>575</v>
      </c>
      <c r="E48" s="9">
        <v>800</v>
      </c>
      <c r="F48" s="9">
        <v>150</v>
      </c>
      <c r="G48" s="9">
        <v>350</v>
      </c>
      <c r="H48" s="9">
        <v>100</v>
      </c>
      <c r="L48" s="10">
        <f t="shared" si="0"/>
        <v>1975</v>
      </c>
    </row>
    <row r="49" spans="2:12" x14ac:dyDescent="0.25">
      <c r="B49" s="13"/>
      <c r="C49" s="4" t="s">
        <v>28</v>
      </c>
      <c r="D49" s="9">
        <v>45</v>
      </c>
      <c r="E49" s="9">
        <v>60</v>
      </c>
      <c r="F49" s="9">
        <v>5</v>
      </c>
      <c r="G49" s="9">
        <v>23</v>
      </c>
      <c r="H49" s="9">
        <v>37</v>
      </c>
      <c r="L49" s="10">
        <f t="shared" si="0"/>
        <v>170</v>
      </c>
    </row>
    <row r="50" spans="2:12" x14ac:dyDescent="0.25">
      <c r="B50" s="13"/>
      <c r="C50" s="4" t="s">
        <v>29</v>
      </c>
      <c r="D50" s="9">
        <v>38</v>
      </c>
      <c r="E50" s="9">
        <v>23</v>
      </c>
      <c r="F50" s="9"/>
      <c r="G50" s="9">
        <v>15</v>
      </c>
      <c r="H50" s="9">
        <v>30</v>
      </c>
      <c r="L50" s="10">
        <f t="shared" si="0"/>
        <v>106</v>
      </c>
    </row>
    <row r="51" spans="2:12" x14ac:dyDescent="0.25">
      <c r="B51" s="13"/>
      <c r="C51" s="4" t="s">
        <v>43</v>
      </c>
      <c r="D51" s="9">
        <v>8</v>
      </c>
      <c r="E51" s="9"/>
      <c r="F51" s="9"/>
      <c r="G51" s="9"/>
      <c r="H51" s="9"/>
      <c r="L51" s="10">
        <f t="shared" si="0"/>
        <v>8</v>
      </c>
    </row>
    <row r="52" spans="2:12" x14ac:dyDescent="0.25">
      <c r="B52" s="13"/>
      <c r="C52" s="4" t="s">
        <v>30</v>
      </c>
      <c r="D52" s="9">
        <v>12</v>
      </c>
      <c r="E52" s="9">
        <v>22</v>
      </c>
      <c r="F52" s="9"/>
      <c r="G52" s="9">
        <v>12</v>
      </c>
      <c r="H52" s="9"/>
      <c r="L52" s="10">
        <f t="shared" si="0"/>
        <v>46</v>
      </c>
    </row>
    <row r="53" spans="2:12" x14ac:dyDescent="0.25">
      <c r="B53" s="13"/>
      <c r="C53" s="4" t="s">
        <v>31</v>
      </c>
      <c r="D53" s="9">
        <v>80</v>
      </c>
      <c r="E53" s="9">
        <v>320</v>
      </c>
      <c r="F53" s="9"/>
      <c r="G53" s="9">
        <v>140</v>
      </c>
      <c r="H53" s="9">
        <v>20</v>
      </c>
      <c r="L53" s="10">
        <f t="shared" si="0"/>
        <v>560</v>
      </c>
    </row>
    <row r="54" spans="2:12" x14ac:dyDescent="0.25">
      <c r="B54" s="13"/>
      <c r="C54" s="4" t="s">
        <v>32</v>
      </c>
      <c r="D54" s="9">
        <v>528</v>
      </c>
      <c r="E54" s="9">
        <v>547</v>
      </c>
      <c r="F54" s="9">
        <v>714</v>
      </c>
      <c r="G54" s="9">
        <v>230</v>
      </c>
      <c r="H54" s="9">
        <v>159</v>
      </c>
      <c r="L54" s="10">
        <f t="shared" si="0"/>
        <v>2178</v>
      </c>
    </row>
    <row r="55" spans="2:12" x14ac:dyDescent="0.25">
      <c r="B55" s="8" t="s">
        <v>45</v>
      </c>
      <c r="C55" s="23"/>
      <c r="D55" s="11">
        <f>SUM(D31:D54)</f>
        <v>1775</v>
      </c>
      <c r="E55" s="11">
        <f t="shared" ref="E55:K55" si="2">SUM(E31:E54)</f>
        <v>2152</v>
      </c>
      <c r="F55" s="11">
        <f t="shared" si="2"/>
        <v>1252</v>
      </c>
      <c r="G55" s="11">
        <f t="shared" si="2"/>
        <v>928</v>
      </c>
      <c r="H55" s="11">
        <f t="shared" si="2"/>
        <v>398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34">
        <f>SUM(D55:K55)</f>
        <v>6505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A583-A160-45D2-BB44-AC8A7BD2F3DD}">
  <dimension ref="B1:N43"/>
  <sheetViews>
    <sheetView topLeftCell="A4" workbookViewId="0">
      <selection activeCell="D23" sqref="D23"/>
    </sheetView>
  </sheetViews>
  <sheetFormatPr defaultRowHeight="15" x14ac:dyDescent="0.25"/>
  <cols>
    <col min="2" max="2" width="16.42578125" customWidth="1"/>
    <col min="3" max="3" width="16.28515625" bestFit="1" customWidth="1"/>
    <col min="12" max="12" width="11.140625" bestFit="1" customWidth="1"/>
  </cols>
  <sheetData>
    <row r="1" spans="2:14" x14ac:dyDescent="0.25">
      <c r="B1" s="32" t="s">
        <v>114</v>
      </c>
    </row>
    <row r="2" spans="2:14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4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4" x14ac:dyDescent="0.25">
      <c r="B4" s="8" t="s">
        <v>111</v>
      </c>
      <c r="C4" s="7" t="s">
        <v>15</v>
      </c>
      <c r="D4" s="9">
        <v>19123.879999999997</v>
      </c>
      <c r="E4" s="9">
        <v>1468.9099999999999</v>
      </c>
      <c r="F4" s="9">
        <v>7951.9500000000007</v>
      </c>
      <c r="G4" s="9">
        <v>220.34</v>
      </c>
      <c r="L4" s="10">
        <f>SUM(D4:K4)</f>
        <v>28765.079999999998</v>
      </c>
    </row>
    <row r="5" spans="2:14" x14ac:dyDescent="0.25">
      <c r="B5" s="13" t="s">
        <v>113</v>
      </c>
      <c r="C5" s="4" t="s">
        <v>42</v>
      </c>
      <c r="D5" s="9">
        <v>470.64</v>
      </c>
      <c r="E5" s="9"/>
      <c r="F5" s="9"/>
      <c r="G5" s="9"/>
      <c r="L5" s="10">
        <f t="shared" ref="L5:L42" si="0">SUM(D5:K5)</f>
        <v>470.64</v>
      </c>
    </row>
    <row r="6" spans="2:14" x14ac:dyDescent="0.25">
      <c r="B6" s="13"/>
      <c r="C6" s="4" t="s">
        <v>16</v>
      </c>
      <c r="D6" s="9">
        <v>6486.41</v>
      </c>
      <c r="E6" s="9">
        <v>5937.5700000000006</v>
      </c>
      <c r="F6" s="9">
        <v>5883.11</v>
      </c>
      <c r="G6" s="9">
        <v>4164.9599999999991</v>
      </c>
      <c r="L6" s="10">
        <f t="shared" si="0"/>
        <v>22472.05</v>
      </c>
      <c r="N6" s="21"/>
    </row>
    <row r="7" spans="2:14" x14ac:dyDescent="0.25">
      <c r="B7" s="13"/>
      <c r="C7" s="4" t="s">
        <v>112</v>
      </c>
      <c r="D7" s="9"/>
      <c r="E7" s="9"/>
      <c r="F7" s="9">
        <v>3351.66</v>
      </c>
      <c r="G7" s="9"/>
      <c r="L7" s="10">
        <f t="shared" si="0"/>
        <v>3351.66</v>
      </c>
    </row>
    <row r="8" spans="2:14" x14ac:dyDescent="0.25">
      <c r="B8" s="13"/>
      <c r="C8" s="4" t="s">
        <v>17</v>
      </c>
      <c r="D8" s="9">
        <v>2594.69</v>
      </c>
      <c r="E8" s="9">
        <v>1192.3699999999999</v>
      </c>
      <c r="F8" s="9">
        <v>797.3599999999999</v>
      </c>
      <c r="G8" s="9">
        <v>1595.6399999999999</v>
      </c>
      <c r="L8" s="10">
        <f t="shared" si="0"/>
        <v>6180.0599999999995</v>
      </c>
    </row>
    <row r="9" spans="2:14" x14ac:dyDescent="0.25">
      <c r="B9" s="13"/>
      <c r="C9" s="4" t="s">
        <v>18</v>
      </c>
      <c r="D9" s="9"/>
      <c r="E9" s="9"/>
      <c r="F9" s="9">
        <v>2244.34</v>
      </c>
      <c r="G9" s="9">
        <v>6025.49</v>
      </c>
      <c r="L9" s="10">
        <f t="shared" si="0"/>
        <v>8269.83</v>
      </c>
    </row>
    <row r="10" spans="2:14" x14ac:dyDescent="0.25">
      <c r="B10" s="13"/>
      <c r="C10" s="4" t="s">
        <v>19</v>
      </c>
      <c r="D10" s="9">
        <v>2606.7200000000003</v>
      </c>
      <c r="E10" s="9">
        <v>1394.92</v>
      </c>
      <c r="F10" s="9">
        <v>1192.51</v>
      </c>
      <c r="G10" s="9">
        <v>1417.75</v>
      </c>
      <c r="L10" s="10">
        <f t="shared" si="0"/>
        <v>6611.9000000000005</v>
      </c>
    </row>
    <row r="11" spans="2:14" x14ac:dyDescent="0.25">
      <c r="B11" s="13"/>
      <c r="C11" s="4" t="s">
        <v>20</v>
      </c>
      <c r="D11" s="9">
        <v>1404.43</v>
      </c>
      <c r="E11" s="9">
        <v>399.25</v>
      </c>
      <c r="F11" s="9">
        <v>196.41</v>
      </c>
      <c r="G11" s="9">
        <v>1485.9299999999998</v>
      </c>
      <c r="L11" s="10">
        <f t="shared" si="0"/>
        <v>3486.02</v>
      </c>
    </row>
    <row r="12" spans="2:14" x14ac:dyDescent="0.25">
      <c r="B12" s="13"/>
      <c r="C12" s="4" t="s">
        <v>21</v>
      </c>
      <c r="D12" s="9"/>
      <c r="E12" s="9"/>
      <c r="F12" s="9">
        <v>283.83</v>
      </c>
      <c r="G12" s="9"/>
      <c r="L12" s="10">
        <f t="shared" si="0"/>
        <v>283.83</v>
      </c>
    </row>
    <row r="13" spans="2:14" x14ac:dyDescent="0.25">
      <c r="B13" s="13"/>
      <c r="C13" s="4" t="s">
        <v>22</v>
      </c>
      <c r="D13" s="9">
        <v>10172.799999999997</v>
      </c>
      <c r="E13" s="9"/>
      <c r="F13" s="9">
        <v>936.16</v>
      </c>
      <c r="G13" s="9"/>
      <c r="L13" s="10">
        <f t="shared" si="0"/>
        <v>11108.959999999997</v>
      </c>
    </row>
    <row r="14" spans="2:14" x14ac:dyDescent="0.25">
      <c r="B14" s="13"/>
      <c r="C14" s="4" t="s">
        <v>24</v>
      </c>
      <c r="D14" s="9"/>
      <c r="E14" s="9"/>
      <c r="F14" s="9"/>
      <c r="G14" s="9">
        <v>298.54000000000002</v>
      </c>
      <c r="L14" s="10">
        <f t="shared" si="0"/>
        <v>298.54000000000002</v>
      </c>
    </row>
    <row r="15" spans="2:14" x14ac:dyDescent="0.25">
      <c r="B15" s="13"/>
      <c r="C15" s="4" t="s">
        <v>25</v>
      </c>
      <c r="D15" s="9">
        <v>1134.8899999999999</v>
      </c>
      <c r="E15" s="9">
        <v>1514.54</v>
      </c>
      <c r="F15" s="9">
        <v>1324.81</v>
      </c>
      <c r="G15" s="9">
        <v>949.1400000000001</v>
      </c>
      <c r="L15" s="10">
        <f t="shared" si="0"/>
        <v>4923.38</v>
      </c>
    </row>
    <row r="16" spans="2:14" x14ac:dyDescent="0.25">
      <c r="B16" s="13"/>
      <c r="C16" s="4" t="s">
        <v>26</v>
      </c>
      <c r="D16" s="9">
        <v>9779.5</v>
      </c>
      <c r="E16" s="9">
        <v>7739.45</v>
      </c>
      <c r="F16" s="9">
        <v>7062.83</v>
      </c>
      <c r="G16" s="9">
        <v>7708.65</v>
      </c>
      <c r="L16" s="10">
        <f t="shared" si="0"/>
        <v>32290.43</v>
      </c>
    </row>
    <row r="17" spans="2:12" x14ac:dyDescent="0.25">
      <c r="B17" s="13"/>
      <c r="C17" s="4" t="s">
        <v>27</v>
      </c>
      <c r="D17" s="9">
        <v>7101.48</v>
      </c>
      <c r="E17" s="9">
        <v>5568.9699999999993</v>
      </c>
      <c r="F17" s="9">
        <v>8149.73</v>
      </c>
      <c r="G17" s="9">
        <v>5061.72</v>
      </c>
      <c r="L17" s="10">
        <f t="shared" si="0"/>
        <v>25881.9</v>
      </c>
    </row>
    <row r="18" spans="2:12" x14ac:dyDescent="0.25">
      <c r="B18" s="13"/>
      <c r="C18" s="4" t="s">
        <v>28</v>
      </c>
      <c r="D18" s="9">
        <v>556.95000000000005</v>
      </c>
      <c r="E18" s="9">
        <v>511.7</v>
      </c>
      <c r="F18" s="9">
        <v>590</v>
      </c>
      <c r="G18" s="9">
        <v>1105.71</v>
      </c>
      <c r="L18" s="10">
        <f t="shared" si="0"/>
        <v>2764.36</v>
      </c>
    </row>
    <row r="19" spans="2:12" x14ac:dyDescent="0.25">
      <c r="B19" s="13"/>
      <c r="C19" s="4" t="s">
        <v>29</v>
      </c>
      <c r="D19" s="9">
        <v>4106.9799999999996</v>
      </c>
      <c r="E19" s="9">
        <v>1956.12</v>
      </c>
      <c r="F19" s="9">
        <v>2373.14</v>
      </c>
      <c r="G19" s="9">
        <v>4093.45</v>
      </c>
      <c r="L19" s="10">
        <f t="shared" si="0"/>
        <v>12529.689999999999</v>
      </c>
    </row>
    <row r="20" spans="2:12" x14ac:dyDescent="0.25">
      <c r="B20" s="13"/>
      <c r="C20" s="4" t="s">
        <v>30</v>
      </c>
      <c r="D20" s="9"/>
      <c r="E20" s="9"/>
      <c r="F20" s="9">
        <v>190.96</v>
      </c>
      <c r="G20" s="9"/>
      <c r="L20" s="10">
        <f t="shared" si="0"/>
        <v>190.96</v>
      </c>
    </row>
    <row r="21" spans="2:12" x14ac:dyDescent="0.25">
      <c r="B21" s="13"/>
      <c r="C21" s="4" t="s">
        <v>31</v>
      </c>
      <c r="D21" s="9">
        <v>12512.439999999999</v>
      </c>
      <c r="E21" s="9">
        <v>8079.5599999999986</v>
      </c>
      <c r="F21" s="9">
        <v>8515.4600000000009</v>
      </c>
      <c r="G21" s="9">
        <v>8168.25</v>
      </c>
      <c r="L21" s="10">
        <f t="shared" si="0"/>
        <v>37275.71</v>
      </c>
    </row>
    <row r="22" spans="2:12" x14ac:dyDescent="0.25">
      <c r="B22" s="3" t="s">
        <v>136</v>
      </c>
      <c r="C22" s="6"/>
      <c r="D22" s="11">
        <f>SUM(D4:D21)</f>
        <v>78051.809999999983</v>
      </c>
      <c r="E22" s="11">
        <f t="shared" ref="E22:K22" si="1">SUM(E4:E21)</f>
        <v>35763.360000000001</v>
      </c>
      <c r="F22" s="11">
        <f t="shared" si="1"/>
        <v>51044.259999999995</v>
      </c>
      <c r="G22" s="11">
        <f t="shared" si="1"/>
        <v>42295.57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33">
        <f>SUM(D22:K22)</f>
        <v>207155</v>
      </c>
    </row>
    <row r="23" spans="2:12" x14ac:dyDescent="0.25">
      <c r="B23" s="13"/>
      <c r="C23" s="4"/>
      <c r="D23" s="9"/>
      <c r="E23" s="9"/>
      <c r="F23" s="9"/>
      <c r="G23" s="9"/>
      <c r="L23" s="10"/>
    </row>
    <row r="24" spans="2:12" x14ac:dyDescent="0.25">
      <c r="B24" s="8" t="s">
        <v>2</v>
      </c>
      <c r="C24" s="30" t="s">
        <v>3</v>
      </c>
      <c r="D24" s="31" t="s">
        <v>8</v>
      </c>
      <c r="E24" s="31" t="s">
        <v>7</v>
      </c>
      <c r="F24" s="31" t="s">
        <v>6</v>
      </c>
      <c r="G24" s="31" t="s">
        <v>5</v>
      </c>
      <c r="H24" s="30" t="s">
        <v>4</v>
      </c>
      <c r="I24" s="30" t="s">
        <v>34</v>
      </c>
      <c r="J24" s="30" t="s">
        <v>35</v>
      </c>
      <c r="K24" s="30" t="s">
        <v>36</v>
      </c>
      <c r="L24" s="30" t="s">
        <v>9</v>
      </c>
    </row>
    <row r="25" spans="2:12" x14ac:dyDescent="0.25">
      <c r="B25" s="13"/>
      <c r="C25" s="7" t="s">
        <v>15</v>
      </c>
      <c r="D25" s="11">
        <v>90</v>
      </c>
      <c r="E25" s="11">
        <v>7</v>
      </c>
      <c r="F25" s="11">
        <v>35</v>
      </c>
      <c r="G25" s="11">
        <v>1</v>
      </c>
      <c r="L25" s="10">
        <f t="shared" si="0"/>
        <v>133</v>
      </c>
    </row>
    <row r="26" spans="2:12" x14ac:dyDescent="0.25">
      <c r="B26" s="13"/>
      <c r="C26" s="4" t="s">
        <v>42</v>
      </c>
      <c r="D26" s="9">
        <v>1</v>
      </c>
      <c r="E26" s="9"/>
      <c r="F26" s="9"/>
      <c r="G26" s="9"/>
      <c r="L26" s="10">
        <f t="shared" si="0"/>
        <v>1</v>
      </c>
    </row>
    <row r="27" spans="2:12" x14ac:dyDescent="0.25">
      <c r="B27" s="13"/>
      <c r="C27" s="4" t="s">
        <v>16</v>
      </c>
      <c r="D27" s="9">
        <v>95</v>
      </c>
      <c r="E27" s="9">
        <v>89</v>
      </c>
      <c r="F27" s="9">
        <v>72</v>
      </c>
      <c r="G27" s="9">
        <v>60</v>
      </c>
      <c r="L27" s="10">
        <f t="shared" si="0"/>
        <v>316</v>
      </c>
    </row>
    <row r="28" spans="2:12" x14ac:dyDescent="0.25">
      <c r="B28" s="13"/>
      <c r="C28" s="4" t="s">
        <v>112</v>
      </c>
      <c r="D28" s="9"/>
      <c r="E28" s="9"/>
      <c r="F28" s="9">
        <v>1</v>
      </c>
      <c r="G28" s="9"/>
      <c r="L28" s="10">
        <f t="shared" si="0"/>
        <v>1</v>
      </c>
    </row>
    <row r="29" spans="2:12" x14ac:dyDescent="0.25">
      <c r="B29" s="13"/>
      <c r="C29" s="4" t="s">
        <v>17</v>
      </c>
      <c r="D29" s="9">
        <v>13</v>
      </c>
      <c r="E29" s="9">
        <v>6</v>
      </c>
      <c r="F29" s="9">
        <v>4</v>
      </c>
      <c r="G29" s="9">
        <v>8</v>
      </c>
      <c r="L29" s="10">
        <f t="shared" si="0"/>
        <v>31</v>
      </c>
    </row>
    <row r="30" spans="2:12" x14ac:dyDescent="0.25">
      <c r="B30" s="13"/>
      <c r="C30" s="4" t="s">
        <v>18</v>
      </c>
      <c r="D30" s="9"/>
      <c r="E30" s="9"/>
      <c r="F30" s="9">
        <v>20</v>
      </c>
      <c r="G30" s="9">
        <v>40</v>
      </c>
      <c r="L30" s="10">
        <f t="shared" si="0"/>
        <v>60</v>
      </c>
    </row>
    <row r="31" spans="2:12" x14ac:dyDescent="0.25">
      <c r="B31" s="13"/>
      <c r="C31" s="4" t="s">
        <v>19</v>
      </c>
      <c r="D31" s="9">
        <v>13</v>
      </c>
      <c r="E31" s="9">
        <v>7</v>
      </c>
      <c r="F31" s="9">
        <v>6</v>
      </c>
      <c r="G31" s="9">
        <v>7</v>
      </c>
      <c r="L31" s="10">
        <f t="shared" si="0"/>
        <v>33</v>
      </c>
    </row>
    <row r="32" spans="2:12" x14ac:dyDescent="0.25">
      <c r="B32" s="13"/>
      <c r="C32" s="4" t="s">
        <v>20</v>
      </c>
      <c r="D32" s="9">
        <v>7</v>
      </c>
      <c r="E32" s="9">
        <v>2</v>
      </c>
      <c r="F32" s="9">
        <v>1</v>
      </c>
      <c r="G32" s="9">
        <v>7</v>
      </c>
      <c r="L32" s="10">
        <f t="shared" si="0"/>
        <v>17</v>
      </c>
    </row>
    <row r="33" spans="2:12" x14ac:dyDescent="0.25">
      <c r="B33" s="13"/>
      <c r="C33" s="4" t="s">
        <v>21</v>
      </c>
      <c r="D33" s="9"/>
      <c r="E33" s="9"/>
      <c r="F33" s="9">
        <v>1</v>
      </c>
      <c r="G33" s="9"/>
      <c r="L33" s="10">
        <f t="shared" si="0"/>
        <v>1</v>
      </c>
    </row>
    <row r="34" spans="2:12" x14ac:dyDescent="0.25">
      <c r="B34" s="13"/>
      <c r="C34" s="4" t="s">
        <v>22</v>
      </c>
      <c r="D34" s="9">
        <v>38</v>
      </c>
      <c r="E34" s="9"/>
      <c r="F34" s="9">
        <v>3</v>
      </c>
      <c r="G34" s="9"/>
      <c r="L34" s="10">
        <f t="shared" si="0"/>
        <v>41</v>
      </c>
    </row>
    <row r="35" spans="2:12" x14ac:dyDescent="0.25">
      <c r="B35" s="13"/>
      <c r="C35" s="4" t="s">
        <v>24</v>
      </c>
      <c r="D35" s="9"/>
      <c r="E35" s="9"/>
      <c r="F35" s="9"/>
      <c r="G35" s="9">
        <v>1</v>
      </c>
      <c r="L35" s="10">
        <f t="shared" si="0"/>
        <v>1</v>
      </c>
    </row>
    <row r="36" spans="2:12" x14ac:dyDescent="0.25">
      <c r="B36" s="13"/>
      <c r="C36" s="4" t="s">
        <v>25</v>
      </c>
      <c r="D36" s="9">
        <v>6</v>
      </c>
      <c r="E36" s="9">
        <v>8</v>
      </c>
      <c r="F36" s="9">
        <v>7</v>
      </c>
      <c r="G36" s="9">
        <v>5</v>
      </c>
      <c r="L36" s="10">
        <f t="shared" si="0"/>
        <v>26</v>
      </c>
    </row>
    <row r="37" spans="2:12" x14ac:dyDescent="0.25">
      <c r="B37" s="13"/>
      <c r="C37" s="4" t="s">
        <v>26</v>
      </c>
      <c r="D37" s="9">
        <v>474</v>
      </c>
      <c r="E37" s="9">
        <v>408</v>
      </c>
      <c r="F37" s="9">
        <v>335</v>
      </c>
      <c r="G37" s="9">
        <v>370</v>
      </c>
      <c r="L37" s="10">
        <f t="shared" si="0"/>
        <v>1587</v>
      </c>
    </row>
    <row r="38" spans="2:12" x14ac:dyDescent="0.25">
      <c r="B38" s="13"/>
      <c r="C38" s="4" t="s">
        <v>27</v>
      </c>
      <c r="D38" s="9">
        <v>246</v>
      </c>
      <c r="E38" s="9">
        <v>209</v>
      </c>
      <c r="F38" s="9">
        <v>267</v>
      </c>
      <c r="G38" s="9">
        <v>171</v>
      </c>
      <c r="L38" s="10">
        <f t="shared" si="0"/>
        <v>893</v>
      </c>
    </row>
    <row r="39" spans="2:12" x14ac:dyDescent="0.25">
      <c r="B39" s="13"/>
      <c r="C39" s="4" t="s">
        <v>28</v>
      </c>
      <c r="D39" s="9">
        <v>5</v>
      </c>
      <c r="E39" s="9">
        <v>5</v>
      </c>
      <c r="F39" s="9">
        <v>6</v>
      </c>
      <c r="G39" s="9">
        <v>10</v>
      </c>
      <c r="L39" s="10">
        <f t="shared" si="0"/>
        <v>26</v>
      </c>
    </row>
    <row r="40" spans="2:12" x14ac:dyDescent="0.25">
      <c r="B40" s="13"/>
      <c r="C40" s="4" t="s">
        <v>29</v>
      </c>
      <c r="D40" s="9">
        <v>19</v>
      </c>
      <c r="E40" s="9">
        <v>9</v>
      </c>
      <c r="F40" s="9">
        <v>11</v>
      </c>
      <c r="G40" s="9">
        <v>19</v>
      </c>
      <c r="L40" s="10">
        <f t="shared" si="0"/>
        <v>58</v>
      </c>
    </row>
    <row r="41" spans="2:12" x14ac:dyDescent="0.25">
      <c r="B41" s="13"/>
      <c r="C41" s="4" t="s">
        <v>30</v>
      </c>
      <c r="D41" s="9"/>
      <c r="E41" s="9"/>
      <c r="F41" s="9">
        <v>1</v>
      </c>
      <c r="G41" s="9"/>
      <c r="L41" s="10">
        <f t="shared" si="0"/>
        <v>1</v>
      </c>
    </row>
    <row r="42" spans="2:12" x14ac:dyDescent="0.25">
      <c r="B42" s="13"/>
      <c r="C42" s="4" t="s">
        <v>31</v>
      </c>
      <c r="D42" s="9">
        <v>404</v>
      </c>
      <c r="E42" s="9">
        <v>287</v>
      </c>
      <c r="F42" s="9">
        <v>267</v>
      </c>
      <c r="G42" s="9">
        <v>278</v>
      </c>
      <c r="L42" s="10">
        <f t="shared" si="0"/>
        <v>1236</v>
      </c>
    </row>
    <row r="43" spans="2:12" x14ac:dyDescent="0.25">
      <c r="B43" s="8" t="s">
        <v>138</v>
      </c>
      <c r="C43" s="23"/>
      <c r="D43" s="11">
        <f>SUM(D25:D42)</f>
        <v>1411</v>
      </c>
      <c r="E43" s="11">
        <f t="shared" ref="E43:K43" si="2">SUM(E25:E42)</f>
        <v>1037</v>
      </c>
      <c r="F43" s="11">
        <f t="shared" si="2"/>
        <v>1037</v>
      </c>
      <c r="G43" s="11">
        <f t="shared" si="2"/>
        <v>977</v>
      </c>
      <c r="H43" s="11">
        <f t="shared" si="2"/>
        <v>0</v>
      </c>
      <c r="I43" s="11">
        <f t="shared" si="2"/>
        <v>0</v>
      </c>
      <c r="J43" s="11">
        <f t="shared" si="2"/>
        <v>0</v>
      </c>
      <c r="K43" s="11">
        <f t="shared" si="2"/>
        <v>0</v>
      </c>
      <c r="L43" s="34">
        <f>SUM(D43:K43)</f>
        <v>4462</v>
      </c>
    </row>
  </sheetData>
  <conditionalFormatting sqref="D22:K2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K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:K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A794-8DEC-40D7-8235-7A1A7F594F13}">
  <dimension ref="B1:L53"/>
  <sheetViews>
    <sheetView workbookViewId="0">
      <selection activeCell="B53" sqref="B53"/>
    </sheetView>
  </sheetViews>
  <sheetFormatPr defaultRowHeight="15" x14ac:dyDescent="0.25"/>
  <cols>
    <col min="2" max="2" width="30.7109375" bestFit="1" customWidth="1"/>
    <col min="3" max="3" width="14.7109375" bestFit="1" customWidth="1"/>
    <col min="8" max="8" width="7.42578125" bestFit="1" customWidth="1"/>
    <col min="12" max="12" width="11.28515625" bestFit="1" customWidth="1"/>
  </cols>
  <sheetData>
    <row r="1" spans="2:12" x14ac:dyDescent="0.25">
      <c r="B1" s="32" t="s">
        <v>122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121</v>
      </c>
      <c r="C4" s="7" t="s">
        <v>12</v>
      </c>
      <c r="D4" s="9">
        <v>709.02</v>
      </c>
      <c r="E4" s="9">
        <v>-372.75</v>
      </c>
      <c r="F4" s="9"/>
      <c r="G4" s="9"/>
      <c r="H4" s="9">
        <v>799.99</v>
      </c>
      <c r="L4" s="10">
        <f>SUM(D4:K4)</f>
        <v>1136.26</v>
      </c>
    </row>
    <row r="5" spans="2:12" x14ac:dyDescent="0.25">
      <c r="B5" s="13"/>
      <c r="C5" s="4" t="s">
        <v>38</v>
      </c>
      <c r="D5" s="9">
        <v>1360.08</v>
      </c>
      <c r="E5" s="9"/>
      <c r="F5" s="9"/>
      <c r="G5" s="9">
        <v>-226.95</v>
      </c>
      <c r="H5" s="9">
        <v>238.39</v>
      </c>
      <c r="L5" s="10">
        <f t="shared" ref="L5:L26" si="0">SUM(D5:K5)</f>
        <v>1371.52</v>
      </c>
    </row>
    <row r="6" spans="2:12" x14ac:dyDescent="0.25">
      <c r="B6" s="13"/>
      <c r="C6" s="4" t="s">
        <v>40</v>
      </c>
      <c r="D6" s="9"/>
      <c r="E6" s="9">
        <v>962.36</v>
      </c>
      <c r="F6" s="9">
        <v>1217.9100000000001</v>
      </c>
      <c r="G6" s="9">
        <v>1962.9800000000002</v>
      </c>
      <c r="H6" s="9">
        <v>619.89</v>
      </c>
      <c r="L6" s="10">
        <f t="shared" si="0"/>
        <v>4763.1400000000003</v>
      </c>
    </row>
    <row r="7" spans="2:12" x14ac:dyDescent="0.25">
      <c r="B7" s="13"/>
      <c r="C7" s="4" t="s">
        <v>13</v>
      </c>
      <c r="D7" s="9">
        <v>10097.219999999999</v>
      </c>
      <c r="E7" s="9"/>
      <c r="F7" s="9"/>
      <c r="G7" s="9"/>
      <c r="H7" s="9">
        <v>387.19</v>
      </c>
      <c r="L7" s="10">
        <f t="shared" si="0"/>
        <v>10484.41</v>
      </c>
    </row>
    <row r="8" spans="2:12" x14ac:dyDescent="0.25">
      <c r="B8" s="13"/>
      <c r="C8" s="4" t="s">
        <v>41</v>
      </c>
      <c r="D8" s="9">
        <v>366.58</v>
      </c>
      <c r="E8" s="9">
        <v>1119.3</v>
      </c>
      <c r="F8" s="9">
        <v>1513.04</v>
      </c>
      <c r="G8" s="9">
        <v>733.91</v>
      </c>
      <c r="H8" s="9">
        <v>154.21</v>
      </c>
      <c r="L8" s="10">
        <f t="shared" si="0"/>
        <v>3887.04</v>
      </c>
    </row>
    <row r="9" spans="2:12" x14ac:dyDescent="0.25">
      <c r="B9" s="13"/>
      <c r="C9" s="4" t="s">
        <v>14</v>
      </c>
      <c r="D9" s="9">
        <v>6713.8899999999994</v>
      </c>
      <c r="E9" s="9">
        <v>6826.22</v>
      </c>
      <c r="F9" s="9">
        <v>6914.17</v>
      </c>
      <c r="G9" s="9">
        <v>4900.2299999999996</v>
      </c>
      <c r="H9" s="9">
        <v>1714.99</v>
      </c>
      <c r="L9" s="10">
        <f t="shared" si="0"/>
        <v>27069.5</v>
      </c>
    </row>
    <row r="10" spans="2:12" x14ac:dyDescent="0.25">
      <c r="B10" s="13"/>
      <c r="C10" s="4" t="s">
        <v>15</v>
      </c>
      <c r="D10" s="9"/>
      <c r="E10" s="9"/>
      <c r="F10" s="9">
        <v>69729.239999999991</v>
      </c>
      <c r="G10" s="9"/>
      <c r="H10" s="9"/>
      <c r="L10" s="10">
        <f t="shared" si="0"/>
        <v>69729.239999999991</v>
      </c>
    </row>
    <row r="11" spans="2:12" x14ac:dyDescent="0.25">
      <c r="B11" s="13"/>
      <c r="C11" s="4" t="s">
        <v>16</v>
      </c>
      <c r="D11" s="9">
        <v>2389.11</v>
      </c>
      <c r="E11" s="9">
        <v>6748.5099999999993</v>
      </c>
      <c r="F11" s="9">
        <v>4994.1000000000004</v>
      </c>
      <c r="G11" s="9">
        <v>6015.26</v>
      </c>
      <c r="H11" s="9">
        <v>4238.1000000000004</v>
      </c>
      <c r="L11" s="10">
        <f t="shared" si="0"/>
        <v>24385.08</v>
      </c>
    </row>
    <row r="12" spans="2:12" x14ac:dyDescent="0.25">
      <c r="B12" s="13"/>
      <c r="C12" s="4" t="s">
        <v>17</v>
      </c>
      <c r="D12" s="9">
        <v>196.27</v>
      </c>
      <c r="E12" s="9">
        <v>804.39</v>
      </c>
      <c r="F12" s="9"/>
      <c r="G12" s="9">
        <v>856.76</v>
      </c>
      <c r="H12" s="9">
        <v>230</v>
      </c>
      <c r="L12" s="10">
        <f t="shared" si="0"/>
        <v>2087.42</v>
      </c>
    </row>
    <row r="13" spans="2:12" x14ac:dyDescent="0.25">
      <c r="B13" s="13"/>
      <c r="C13" s="4" t="s">
        <v>19</v>
      </c>
      <c r="D13" s="9">
        <v>196.27</v>
      </c>
      <c r="E13" s="9">
        <v>402.42999999999995</v>
      </c>
      <c r="F13" s="9"/>
      <c r="G13" s="9">
        <v>214.19</v>
      </c>
      <c r="H13" s="9">
        <v>689.99</v>
      </c>
      <c r="L13" s="10">
        <f t="shared" si="0"/>
        <v>1502.8799999999999</v>
      </c>
    </row>
    <row r="14" spans="2:12" x14ac:dyDescent="0.25">
      <c r="B14" s="13"/>
      <c r="C14" s="4" t="s">
        <v>20</v>
      </c>
      <c r="D14" s="9">
        <v>3342.64</v>
      </c>
      <c r="E14" s="9">
        <v>2774.31</v>
      </c>
      <c r="F14" s="9">
        <v>2072.84</v>
      </c>
      <c r="G14" s="9">
        <v>856.76</v>
      </c>
      <c r="H14" s="9">
        <v>919.98</v>
      </c>
      <c r="L14" s="10">
        <f t="shared" si="0"/>
        <v>9966.5299999999988</v>
      </c>
    </row>
    <row r="15" spans="2:12" x14ac:dyDescent="0.25">
      <c r="B15" s="13"/>
      <c r="C15" s="4" t="s">
        <v>21</v>
      </c>
      <c r="D15" s="9">
        <v>6820.1399999999994</v>
      </c>
      <c r="E15" s="9">
        <v>3452.84</v>
      </c>
      <c r="F15" s="9">
        <v>3537.7</v>
      </c>
      <c r="G15" s="9">
        <v>913.73</v>
      </c>
      <c r="H15" s="9">
        <v>2240.04</v>
      </c>
      <c r="L15" s="10">
        <f t="shared" si="0"/>
        <v>16964.45</v>
      </c>
    </row>
    <row r="16" spans="2:12" x14ac:dyDescent="0.25">
      <c r="B16" s="13"/>
      <c r="C16" s="4" t="s">
        <v>22</v>
      </c>
      <c r="D16" s="9">
        <v>97218.39</v>
      </c>
      <c r="E16" s="9">
        <v>8166.41</v>
      </c>
      <c r="F16" s="9">
        <v>5781.85</v>
      </c>
      <c r="G16" s="9">
        <v>1642.14</v>
      </c>
      <c r="H16" s="9">
        <v>174898.56</v>
      </c>
      <c r="L16" s="10">
        <f t="shared" si="0"/>
        <v>287707.34999999998</v>
      </c>
    </row>
    <row r="17" spans="2:12" x14ac:dyDescent="0.25">
      <c r="B17" s="13"/>
      <c r="C17" s="4" t="s">
        <v>23</v>
      </c>
      <c r="D17" s="9">
        <v>1050.4099999999999</v>
      </c>
      <c r="E17" s="9"/>
      <c r="F17" s="9">
        <v>5178.04</v>
      </c>
      <c r="G17" s="9">
        <v>3207.44</v>
      </c>
      <c r="H17" s="9">
        <v>3449.98</v>
      </c>
      <c r="L17" s="10">
        <f t="shared" si="0"/>
        <v>12885.869999999999</v>
      </c>
    </row>
    <row r="18" spans="2:12" x14ac:dyDescent="0.25">
      <c r="B18" s="13"/>
      <c r="C18" s="4" t="s">
        <v>24</v>
      </c>
      <c r="D18" s="9"/>
      <c r="E18" s="9">
        <v>2543.5100000000002</v>
      </c>
      <c r="F18" s="9">
        <v>1294.78</v>
      </c>
      <c r="G18" s="9">
        <v>1611.1399999999999</v>
      </c>
      <c r="H18" s="9">
        <v>345</v>
      </c>
      <c r="L18" s="10">
        <f t="shared" si="0"/>
        <v>5794.43</v>
      </c>
    </row>
    <row r="19" spans="2:12" x14ac:dyDescent="0.25">
      <c r="B19" s="13"/>
      <c r="C19" s="4" t="s">
        <v>25</v>
      </c>
      <c r="D19" s="9">
        <v>7483.3600000000006</v>
      </c>
      <c r="E19" s="9">
        <v>3732.91</v>
      </c>
      <c r="F19" s="9"/>
      <c r="G19" s="9">
        <v>2001.2600000000002</v>
      </c>
      <c r="H19" s="9"/>
      <c r="L19" s="10">
        <f t="shared" si="0"/>
        <v>13217.53</v>
      </c>
    </row>
    <row r="20" spans="2:12" x14ac:dyDescent="0.25">
      <c r="B20" s="13"/>
      <c r="C20" s="4" t="s">
        <v>26</v>
      </c>
      <c r="D20" s="9">
        <v>7471.42</v>
      </c>
      <c r="E20" s="9">
        <v>10113.48</v>
      </c>
      <c r="F20" s="9">
        <v>7426.9500000000007</v>
      </c>
      <c r="G20" s="9">
        <v>8630.42</v>
      </c>
      <c r="H20" s="9">
        <v>7471.55</v>
      </c>
      <c r="L20" s="10">
        <f t="shared" si="0"/>
        <v>41113.820000000007</v>
      </c>
    </row>
    <row r="21" spans="2:12" x14ac:dyDescent="0.25">
      <c r="B21" s="13"/>
      <c r="C21" s="4" t="s">
        <v>28</v>
      </c>
      <c r="D21" s="9">
        <v>242.82</v>
      </c>
      <c r="E21" s="9">
        <v>1939.1</v>
      </c>
      <c r="F21" s="9">
        <v>1267.23</v>
      </c>
      <c r="G21" s="9">
        <v>799.31000000000006</v>
      </c>
      <c r="H21" s="9"/>
      <c r="L21" s="10">
        <f t="shared" si="0"/>
        <v>4248.46</v>
      </c>
    </row>
    <row r="22" spans="2:12" x14ac:dyDescent="0.25">
      <c r="B22" s="13"/>
      <c r="C22" s="4" t="s">
        <v>29</v>
      </c>
      <c r="D22" s="9">
        <v>23441.489999999998</v>
      </c>
      <c r="E22" s="9">
        <v>19395.34</v>
      </c>
      <c r="F22" s="9">
        <v>14036.470000000001</v>
      </c>
      <c r="G22" s="9">
        <v>24993.26</v>
      </c>
      <c r="H22" s="9">
        <v>12750.130000000001</v>
      </c>
      <c r="L22" s="10">
        <f t="shared" si="0"/>
        <v>94616.69</v>
      </c>
    </row>
    <row r="23" spans="2:12" x14ac:dyDescent="0.25">
      <c r="B23" s="13"/>
      <c r="C23" s="4" t="s">
        <v>43</v>
      </c>
      <c r="D23" s="9">
        <v>1311.3</v>
      </c>
      <c r="E23" s="9"/>
      <c r="F23" s="9">
        <v>264.12</v>
      </c>
      <c r="G23" s="9">
        <v>264.61</v>
      </c>
      <c r="H23" s="9"/>
      <c r="L23" s="10">
        <f t="shared" si="0"/>
        <v>1840.0300000000002</v>
      </c>
    </row>
    <row r="24" spans="2:12" x14ac:dyDescent="0.25">
      <c r="B24" s="13"/>
      <c r="C24" s="4" t="s">
        <v>30</v>
      </c>
      <c r="D24" s="9"/>
      <c r="E24" s="9">
        <v>-206.3</v>
      </c>
      <c r="F24" s="9"/>
      <c r="G24" s="9"/>
      <c r="H24" s="9"/>
      <c r="L24" s="10">
        <f t="shared" si="0"/>
        <v>-206.3</v>
      </c>
    </row>
    <row r="25" spans="2:12" x14ac:dyDescent="0.25">
      <c r="B25" s="13"/>
      <c r="C25" s="4" t="s">
        <v>31</v>
      </c>
      <c r="D25" s="9">
        <v>20323.8</v>
      </c>
      <c r="E25" s="9">
        <v>20809.98</v>
      </c>
      <c r="F25" s="9">
        <v>17275.09</v>
      </c>
      <c r="G25" s="9">
        <v>22482.2</v>
      </c>
      <c r="H25" s="9">
        <v>15399.86</v>
      </c>
      <c r="L25" s="10">
        <f t="shared" si="0"/>
        <v>96290.93</v>
      </c>
    </row>
    <row r="26" spans="2:12" x14ac:dyDescent="0.25">
      <c r="B26" s="13"/>
      <c r="C26" s="4" t="s">
        <v>61</v>
      </c>
      <c r="D26" s="9"/>
      <c r="E26" s="9"/>
      <c r="F26" s="9"/>
      <c r="G26" s="9">
        <v>-44567.591911841955</v>
      </c>
      <c r="H26" s="9"/>
      <c r="L26" s="10">
        <f t="shared" si="0"/>
        <v>-44567.591911841955</v>
      </c>
    </row>
    <row r="27" spans="2:12" x14ac:dyDescent="0.25">
      <c r="B27" s="3" t="s">
        <v>136</v>
      </c>
      <c r="C27" s="6"/>
      <c r="D27" s="11">
        <f t="shared" ref="D27:K27" si="1">SUM(D4:D26)</f>
        <v>190734.21</v>
      </c>
      <c r="E27" s="11">
        <f t="shared" si="1"/>
        <v>89212.04</v>
      </c>
      <c r="F27" s="11">
        <f t="shared" si="1"/>
        <v>142503.52999999997</v>
      </c>
      <c r="G27" s="11">
        <f t="shared" si="1"/>
        <v>37291.058088158039</v>
      </c>
      <c r="H27" s="11">
        <f t="shared" si="1"/>
        <v>226547.84999999998</v>
      </c>
      <c r="I27" s="11">
        <f t="shared" si="1"/>
        <v>0</v>
      </c>
      <c r="J27" s="11">
        <f t="shared" si="1"/>
        <v>0</v>
      </c>
      <c r="K27" s="11">
        <f t="shared" si="1"/>
        <v>0</v>
      </c>
      <c r="L27" s="33">
        <f>SUM(D27:K27)</f>
        <v>686288.68808815791</v>
      </c>
    </row>
    <row r="28" spans="2:12" x14ac:dyDescent="0.25">
      <c r="B28" s="13"/>
      <c r="C28" s="4"/>
      <c r="D28" s="9"/>
      <c r="E28" s="9"/>
      <c r="F28" s="9"/>
      <c r="G28" s="9"/>
      <c r="L28" s="10"/>
    </row>
    <row r="29" spans="2:12" x14ac:dyDescent="0.25">
      <c r="B29" s="8" t="s">
        <v>2</v>
      </c>
      <c r="C29" s="30" t="s">
        <v>3</v>
      </c>
      <c r="D29" s="31" t="s">
        <v>8</v>
      </c>
      <c r="E29" s="31" t="s">
        <v>7</v>
      </c>
      <c r="F29" s="31" t="s">
        <v>6</v>
      </c>
      <c r="G29" s="31" t="s">
        <v>5</v>
      </c>
      <c r="H29" s="30" t="s">
        <v>4</v>
      </c>
      <c r="I29" s="30" t="s">
        <v>34</v>
      </c>
      <c r="J29" s="30" t="s">
        <v>35</v>
      </c>
      <c r="K29" s="30" t="s">
        <v>36</v>
      </c>
      <c r="L29" s="30" t="s">
        <v>9</v>
      </c>
    </row>
    <row r="30" spans="2:12" x14ac:dyDescent="0.25">
      <c r="B30" s="13"/>
      <c r="C30" s="7" t="s">
        <v>12</v>
      </c>
      <c r="D30" s="11">
        <v>2</v>
      </c>
      <c r="E30" s="11">
        <v>-1</v>
      </c>
      <c r="F30" s="11"/>
      <c r="G30" s="11"/>
      <c r="H30" s="11">
        <v>2</v>
      </c>
      <c r="L30" s="20">
        <f>SUM(D30:K30)</f>
        <v>3</v>
      </c>
    </row>
    <row r="31" spans="2:12" x14ac:dyDescent="0.25">
      <c r="B31" s="13"/>
      <c r="C31" s="4" t="s">
        <v>38</v>
      </c>
      <c r="D31" s="9">
        <v>6</v>
      </c>
      <c r="E31" s="9"/>
      <c r="F31" s="9"/>
      <c r="G31" s="9">
        <v>-1</v>
      </c>
      <c r="H31" s="9">
        <v>1</v>
      </c>
      <c r="L31" s="20">
        <f t="shared" ref="L31:L52" si="2">SUM(D31:K31)</f>
        <v>6</v>
      </c>
    </row>
    <row r="32" spans="2:12" x14ac:dyDescent="0.25">
      <c r="B32" s="13"/>
      <c r="C32" s="4" t="s">
        <v>40</v>
      </c>
      <c r="D32" s="9"/>
      <c r="E32" s="9">
        <v>40</v>
      </c>
      <c r="F32" s="9">
        <v>55</v>
      </c>
      <c r="G32" s="9">
        <v>87</v>
      </c>
      <c r="H32" s="9">
        <v>32</v>
      </c>
      <c r="L32" s="20">
        <f t="shared" si="2"/>
        <v>214</v>
      </c>
    </row>
    <row r="33" spans="2:12" x14ac:dyDescent="0.25">
      <c r="B33" s="13"/>
      <c r="C33" s="4" t="s">
        <v>13</v>
      </c>
      <c r="D33" s="9">
        <v>58</v>
      </c>
      <c r="E33" s="9"/>
      <c r="F33" s="9"/>
      <c r="G33" s="9"/>
      <c r="H33" s="9">
        <v>2</v>
      </c>
      <c r="L33" s="20">
        <f t="shared" si="2"/>
        <v>60</v>
      </c>
    </row>
    <row r="34" spans="2:12" x14ac:dyDescent="0.25">
      <c r="B34" s="13"/>
      <c r="C34" s="4" t="s">
        <v>41</v>
      </c>
      <c r="D34" s="9">
        <v>5</v>
      </c>
      <c r="E34" s="9">
        <v>15</v>
      </c>
      <c r="F34" s="9">
        <v>30</v>
      </c>
      <c r="G34" s="9">
        <v>10</v>
      </c>
      <c r="H34" s="9">
        <v>2</v>
      </c>
      <c r="L34" s="20">
        <f t="shared" si="2"/>
        <v>62</v>
      </c>
    </row>
    <row r="35" spans="2:12" x14ac:dyDescent="0.25">
      <c r="B35" s="13"/>
      <c r="C35" s="4" t="s">
        <v>14</v>
      </c>
      <c r="D35" s="9">
        <v>30</v>
      </c>
      <c r="E35" s="9">
        <v>30</v>
      </c>
      <c r="F35" s="9">
        <v>30</v>
      </c>
      <c r="G35" s="9">
        <v>21</v>
      </c>
      <c r="H35" s="9">
        <v>7</v>
      </c>
      <c r="L35" s="20">
        <f t="shared" si="2"/>
        <v>118</v>
      </c>
    </row>
    <row r="36" spans="2:12" x14ac:dyDescent="0.25">
      <c r="B36" s="13"/>
      <c r="C36" s="4" t="s">
        <v>15</v>
      </c>
      <c r="D36" s="9"/>
      <c r="E36" s="9"/>
      <c r="F36" s="9">
        <v>330</v>
      </c>
      <c r="G36" s="9"/>
      <c r="H36" s="9"/>
      <c r="L36" s="20">
        <f t="shared" si="2"/>
        <v>330</v>
      </c>
    </row>
    <row r="37" spans="2:12" x14ac:dyDescent="0.25">
      <c r="B37" s="13"/>
      <c r="C37" s="4" t="s">
        <v>16</v>
      </c>
      <c r="D37" s="9">
        <v>30</v>
      </c>
      <c r="E37" s="9">
        <v>60</v>
      </c>
      <c r="F37" s="9">
        <v>65</v>
      </c>
      <c r="G37" s="9">
        <v>66</v>
      </c>
      <c r="H37" s="9">
        <v>26</v>
      </c>
      <c r="L37" s="20">
        <f t="shared" si="2"/>
        <v>247</v>
      </c>
    </row>
    <row r="38" spans="2:12" x14ac:dyDescent="0.25">
      <c r="B38" s="13"/>
      <c r="C38" s="4" t="s">
        <v>17</v>
      </c>
      <c r="D38" s="9">
        <v>1</v>
      </c>
      <c r="E38" s="9">
        <v>4</v>
      </c>
      <c r="F38" s="9"/>
      <c r="G38" s="9">
        <v>4</v>
      </c>
      <c r="H38" s="9">
        <v>1</v>
      </c>
      <c r="L38" s="20">
        <f t="shared" si="2"/>
        <v>10</v>
      </c>
    </row>
    <row r="39" spans="2:12" x14ac:dyDescent="0.25">
      <c r="B39" s="13"/>
      <c r="C39" s="4" t="s">
        <v>19</v>
      </c>
      <c r="D39" s="9">
        <v>1</v>
      </c>
      <c r="E39" s="9">
        <v>2</v>
      </c>
      <c r="F39" s="9"/>
      <c r="G39" s="9">
        <v>1</v>
      </c>
      <c r="H39" s="9">
        <v>3</v>
      </c>
      <c r="L39" s="20">
        <f t="shared" si="2"/>
        <v>7</v>
      </c>
    </row>
    <row r="40" spans="2:12" x14ac:dyDescent="0.25">
      <c r="B40" s="13"/>
      <c r="C40" s="4" t="s">
        <v>20</v>
      </c>
      <c r="D40" s="9">
        <v>17</v>
      </c>
      <c r="E40" s="9">
        <v>14</v>
      </c>
      <c r="F40" s="9">
        <v>10</v>
      </c>
      <c r="G40" s="9">
        <v>4</v>
      </c>
      <c r="H40" s="9">
        <v>4</v>
      </c>
      <c r="L40" s="20">
        <f t="shared" si="2"/>
        <v>49</v>
      </c>
    </row>
    <row r="41" spans="2:12" x14ac:dyDescent="0.25">
      <c r="B41" s="13"/>
      <c r="C41" s="4" t="s">
        <v>21</v>
      </c>
      <c r="D41" s="9">
        <v>24</v>
      </c>
      <c r="E41" s="9">
        <v>12</v>
      </c>
      <c r="F41" s="9">
        <v>12</v>
      </c>
      <c r="G41" s="9">
        <v>3</v>
      </c>
      <c r="H41" s="9">
        <v>7</v>
      </c>
      <c r="L41" s="20">
        <f t="shared" si="2"/>
        <v>58</v>
      </c>
    </row>
    <row r="42" spans="2:12" x14ac:dyDescent="0.25">
      <c r="B42" s="13"/>
      <c r="C42" s="4" t="s">
        <v>22</v>
      </c>
      <c r="D42" s="9">
        <v>310</v>
      </c>
      <c r="E42" s="9">
        <v>25</v>
      </c>
      <c r="F42" s="9">
        <v>18</v>
      </c>
      <c r="G42" s="9">
        <v>5</v>
      </c>
      <c r="H42" s="9">
        <v>500</v>
      </c>
      <c r="L42" s="20">
        <f t="shared" si="2"/>
        <v>858</v>
      </c>
    </row>
    <row r="43" spans="2:12" x14ac:dyDescent="0.25">
      <c r="B43" s="13"/>
      <c r="C43" s="4" t="s">
        <v>23</v>
      </c>
      <c r="D43" s="9">
        <v>2</v>
      </c>
      <c r="E43" s="9"/>
      <c r="F43" s="9">
        <v>10</v>
      </c>
      <c r="G43" s="9">
        <v>6</v>
      </c>
      <c r="H43" s="9">
        <v>6</v>
      </c>
      <c r="L43" s="20">
        <f t="shared" si="2"/>
        <v>24</v>
      </c>
    </row>
    <row r="44" spans="2:12" x14ac:dyDescent="0.25">
      <c r="B44" s="13"/>
      <c r="C44" s="4" t="s">
        <v>24</v>
      </c>
      <c r="D44" s="9"/>
      <c r="E44" s="9">
        <v>8</v>
      </c>
      <c r="F44" s="9">
        <v>4</v>
      </c>
      <c r="G44" s="9">
        <v>5</v>
      </c>
      <c r="H44" s="9">
        <v>1</v>
      </c>
      <c r="L44" s="20">
        <f t="shared" si="2"/>
        <v>18</v>
      </c>
    </row>
    <row r="45" spans="2:12" x14ac:dyDescent="0.25">
      <c r="B45" s="13"/>
      <c r="C45" s="4" t="s">
        <v>25</v>
      </c>
      <c r="D45" s="9">
        <v>40</v>
      </c>
      <c r="E45" s="9">
        <v>20</v>
      </c>
      <c r="F45" s="9"/>
      <c r="G45" s="9">
        <v>10</v>
      </c>
      <c r="H45" s="9"/>
      <c r="L45" s="20">
        <f t="shared" si="2"/>
        <v>70</v>
      </c>
    </row>
    <row r="46" spans="2:12" x14ac:dyDescent="0.25">
      <c r="B46" s="13"/>
      <c r="C46" s="4" t="s">
        <v>26</v>
      </c>
      <c r="D46" s="9">
        <v>320</v>
      </c>
      <c r="E46" s="9">
        <v>350</v>
      </c>
      <c r="F46" s="9">
        <v>350</v>
      </c>
      <c r="G46" s="9">
        <v>320</v>
      </c>
      <c r="H46" s="9">
        <v>155</v>
      </c>
      <c r="L46" s="20">
        <f t="shared" si="2"/>
        <v>1495</v>
      </c>
    </row>
    <row r="47" spans="2:12" x14ac:dyDescent="0.25">
      <c r="B47" s="13"/>
      <c r="C47" s="4" t="s">
        <v>28</v>
      </c>
      <c r="D47" s="9">
        <v>2</v>
      </c>
      <c r="E47" s="9">
        <v>11</v>
      </c>
      <c r="F47" s="9">
        <v>11</v>
      </c>
      <c r="G47" s="9">
        <v>6</v>
      </c>
      <c r="H47" s="9"/>
      <c r="L47" s="20">
        <f t="shared" si="2"/>
        <v>30</v>
      </c>
    </row>
    <row r="48" spans="2:12" x14ac:dyDescent="0.25">
      <c r="B48" s="13"/>
      <c r="C48" s="4" t="s">
        <v>29</v>
      </c>
      <c r="D48" s="9">
        <v>110</v>
      </c>
      <c r="E48" s="9">
        <v>90</v>
      </c>
      <c r="F48" s="9">
        <v>60</v>
      </c>
      <c r="G48" s="9">
        <v>105</v>
      </c>
      <c r="H48" s="9">
        <v>50</v>
      </c>
      <c r="L48" s="20">
        <f t="shared" si="2"/>
        <v>415</v>
      </c>
    </row>
    <row r="49" spans="2:12" x14ac:dyDescent="0.25">
      <c r="B49" s="13"/>
      <c r="C49" s="4" t="s">
        <v>43</v>
      </c>
      <c r="D49" s="9">
        <v>11</v>
      </c>
      <c r="E49" s="9"/>
      <c r="F49" s="9">
        <v>2</v>
      </c>
      <c r="G49" s="9">
        <v>2</v>
      </c>
      <c r="H49" s="9"/>
      <c r="L49" s="20">
        <f t="shared" si="2"/>
        <v>15</v>
      </c>
    </row>
    <row r="50" spans="2:12" x14ac:dyDescent="0.25">
      <c r="B50" s="13"/>
      <c r="C50" s="4" t="s">
        <v>30</v>
      </c>
      <c r="D50" s="9"/>
      <c r="E50" s="9">
        <v>-1</v>
      </c>
      <c r="F50" s="9"/>
      <c r="G50" s="9"/>
      <c r="H50" s="9"/>
      <c r="L50" s="20">
        <f t="shared" si="2"/>
        <v>-1</v>
      </c>
    </row>
    <row r="51" spans="2:12" x14ac:dyDescent="0.25">
      <c r="B51" s="13"/>
      <c r="C51" s="4" t="s">
        <v>31</v>
      </c>
      <c r="D51" s="9">
        <v>580</v>
      </c>
      <c r="E51" s="9">
        <v>510</v>
      </c>
      <c r="F51" s="9">
        <v>570</v>
      </c>
      <c r="G51" s="9">
        <v>570</v>
      </c>
      <c r="H51" s="9">
        <v>220</v>
      </c>
      <c r="L51" s="20">
        <f t="shared" si="2"/>
        <v>2450</v>
      </c>
    </row>
    <row r="52" spans="2:12" x14ac:dyDescent="0.25">
      <c r="B52" s="13"/>
      <c r="C52" s="4" t="s">
        <v>61</v>
      </c>
      <c r="D52" s="9"/>
      <c r="E52" s="9"/>
      <c r="F52" s="9"/>
      <c r="G52" s="9">
        <v>0</v>
      </c>
      <c r="H52" s="9"/>
      <c r="L52" s="20">
        <f t="shared" si="2"/>
        <v>0</v>
      </c>
    </row>
    <row r="53" spans="2:12" x14ac:dyDescent="0.25">
      <c r="B53" s="3" t="s">
        <v>138</v>
      </c>
      <c r="C53" s="6"/>
      <c r="D53" s="11">
        <f t="shared" ref="D53:K53" si="3">SUM(D30:D52)</f>
        <v>1549</v>
      </c>
      <c r="E53" s="11">
        <f t="shared" si="3"/>
        <v>1189</v>
      </c>
      <c r="F53" s="11">
        <f t="shared" si="3"/>
        <v>1557</v>
      </c>
      <c r="G53" s="11">
        <f t="shared" si="3"/>
        <v>1224</v>
      </c>
      <c r="H53" s="11">
        <f t="shared" si="3"/>
        <v>1019</v>
      </c>
      <c r="I53" s="11">
        <f t="shared" si="3"/>
        <v>0</v>
      </c>
      <c r="J53" s="11">
        <f t="shared" si="3"/>
        <v>0</v>
      </c>
      <c r="K53" s="11">
        <f t="shared" si="3"/>
        <v>0</v>
      </c>
      <c r="L53" s="33">
        <f>SUM(D53:K53)</f>
        <v>6538</v>
      </c>
    </row>
  </sheetData>
  <phoneticPr fontId="11" type="noConversion"/>
  <conditionalFormatting sqref="D27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K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K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2D6C-3588-4EF3-89C7-BCC701CD9FFB}">
  <dimension ref="B1:L25"/>
  <sheetViews>
    <sheetView workbookViewId="0">
      <selection activeCell="B25" sqref="B25"/>
    </sheetView>
  </sheetViews>
  <sheetFormatPr defaultRowHeight="15" x14ac:dyDescent="0.25"/>
  <cols>
    <col min="2" max="2" width="23.42578125" bestFit="1" customWidth="1"/>
    <col min="3" max="3" width="14.7109375" bestFit="1" customWidth="1"/>
    <col min="12" max="12" width="11.28515625" bestFit="1" customWidth="1"/>
  </cols>
  <sheetData>
    <row r="1" spans="2:12" x14ac:dyDescent="0.25">
      <c r="B1" s="32" t="s">
        <v>125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124</v>
      </c>
      <c r="C4" s="7" t="s">
        <v>15</v>
      </c>
      <c r="D4" s="9"/>
      <c r="E4" s="9"/>
      <c r="F4" s="9">
        <v>1418.4</v>
      </c>
      <c r="G4" s="9"/>
      <c r="H4" s="9"/>
      <c r="L4" s="10">
        <f>SUM(D4:K4)</f>
        <v>1418.4</v>
      </c>
    </row>
    <row r="5" spans="2:12" x14ac:dyDescent="0.25">
      <c r="B5" s="13"/>
      <c r="C5" s="4" t="s">
        <v>16</v>
      </c>
      <c r="D5" s="9">
        <v>1507.99</v>
      </c>
      <c r="E5" s="9">
        <v>705.2</v>
      </c>
      <c r="F5" s="9">
        <v>688.78</v>
      </c>
      <c r="G5" s="9">
        <v>243.39</v>
      </c>
      <c r="H5" s="9">
        <v>1217.3599999999999</v>
      </c>
      <c r="L5" s="10">
        <f t="shared" ref="L5:L24" si="0">SUM(D5:K5)</f>
        <v>4362.72</v>
      </c>
    </row>
    <row r="6" spans="2:12" x14ac:dyDescent="0.25">
      <c r="B6" s="13"/>
      <c r="C6" s="4" t="s">
        <v>22</v>
      </c>
      <c r="D6" s="9">
        <v>1320</v>
      </c>
      <c r="E6" s="9"/>
      <c r="F6" s="9"/>
      <c r="G6" s="9"/>
      <c r="H6" s="9">
        <v>1025.43</v>
      </c>
      <c r="L6" s="10">
        <f t="shared" si="0"/>
        <v>2345.4300000000003</v>
      </c>
    </row>
    <row r="7" spans="2:12" x14ac:dyDescent="0.25">
      <c r="B7" s="13"/>
      <c r="C7" s="4" t="s">
        <v>24</v>
      </c>
      <c r="D7" s="9"/>
      <c r="E7" s="9"/>
      <c r="F7" s="9"/>
      <c r="G7" s="9">
        <v>330.1</v>
      </c>
      <c r="H7" s="9"/>
      <c r="L7" s="10">
        <f t="shared" si="0"/>
        <v>330.1</v>
      </c>
    </row>
    <row r="8" spans="2:12" x14ac:dyDescent="0.25">
      <c r="B8" s="13"/>
      <c r="C8" s="4" t="s">
        <v>26</v>
      </c>
      <c r="D8" s="9">
        <v>1540.5700000000002</v>
      </c>
      <c r="E8" s="9">
        <v>1718.88</v>
      </c>
      <c r="F8" s="9">
        <v>356.96</v>
      </c>
      <c r="G8" s="9">
        <v>1597.28</v>
      </c>
      <c r="H8" s="9">
        <v>406.53</v>
      </c>
      <c r="L8" s="10">
        <f t="shared" si="0"/>
        <v>5620.22</v>
      </c>
    </row>
    <row r="9" spans="2:12" x14ac:dyDescent="0.25">
      <c r="B9" s="13"/>
      <c r="C9" s="4" t="s">
        <v>27</v>
      </c>
      <c r="D9" s="9">
        <v>581.26</v>
      </c>
      <c r="E9" s="9">
        <v>1080.04</v>
      </c>
      <c r="F9" s="9">
        <v>118.8</v>
      </c>
      <c r="G9" s="9">
        <v>62.84</v>
      </c>
      <c r="H9" s="9"/>
      <c r="L9" s="10">
        <f t="shared" si="0"/>
        <v>1842.9399999999998</v>
      </c>
    </row>
    <row r="10" spans="2:12" x14ac:dyDescent="0.25">
      <c r="B10" s="13"/>
      <c r="C10" s="4" t="s">
        <v>28</v>
      </c>
      <c r="D10" s="9"/>
      <c r="E10" s="9"/>
      <c r="F10" s="9">
        <v>377.75</v>
      </c>
      <c r="G10" s="9">
        <v>234.54</v>
      </c>
      <c r="H10" s="9"/>
      <c r="L10" s="10">
        <f t="shared" si="0"/>
        <v>612.29</v>
      </c>
    </row>
    <row r="11" spans="2:12" x14ac:dyDescent="0.25">
      <c r="B11" s="13"/>
      <c r="C11" s="4" t="s">
        <v>30</v>
      </c>
      <c r="D11" s="9">
        <v>1026.3</v>
      </c>
      <c r="E11" s="9"/>
      <c r="F11" s="9"/>
      <c r="G11" s="9"/>
      <c r="H11" s="9"/>
      <c r="L11" s="10">
        <f t="shared" si="0"/>
        <v>1026.3</v>
      </c>
    </row>
    <row r="12" spans="2:12" x14ac:dyDescent="0.25">
      <c r="B12" s="13"/>
      <c r="C12" s="4" t="s">
        <v>31</v>
      </c>
      <c r="D12" s="9">
        <v>5444.83</v>
      </c>
      <c r="E12" s="9">
        <v>5133.42</v>
      </c>
      <c r="F12" s="9">
        <v>5001.57</v>
      </c>
      <c r="G12" s="9">
        <v>5448.01</v>
      </c>
      <c r="H12" s="9">
        <v>2695.2</v>
      </c>
      <c r="L12" s="10">
        <f t="shared" si="0"/>
        <v>23723.030000000002</v>
      </c>
    </row>
    <row r="13" spans="2:12" x14ac:dyDescent="0.25">
      <c r="B13" s="3" t="s">
        <v>136</v>
      </c>
      <c r="C13" s="6"/>
      <c r="D13" s="11">
        <f>SUM(D4:D12)</f>
        <v>11420.95</v>
      </c>
      <c r="E13" s="11">
        <f t="shared" ref="E13:K13" si="1">SUM(E4:E12)</f>
        <v>8637.5400000000009</v>
      </c>
      <c r="F13" s="11">
        <f t="shared" si="1"/>
        <v>7962.26</v>
      </c>
      <c r="G13" s="11">
        <f t="shared" si="1"/>
        <v>7916.16</v>
      </c>
      <c r="H13" s="11">
        <f t="shared" si="1"/>
        <v>5344.5199999999995</v>
      </c>
      <c r="I13" s="11">
        <f t="shared" si="1"/>
        <v>0</v>
      </c>
      <c r="J13" s="11">
        <f t="shared" si="1"/>
        <v>0</v>
      </c>
      <c r="K13" s="11">
        <f t="shared" si="1"/>
        <v>0</v>
      </c>
      <c r="L13" s="33">
        <f>SUM(D13:K13)</f>
        <v>41281.43</v>
      </c>
    </row>
    <row r="14" spans="2:12" x14ac:dyDescent="0.25">
      <c r="B14" s="13"/>
      <c r="C14" s="4"/>
      <c r="D14" s="9"/>
      <c r="E14" s="9"/>
      <c r="F14" s="9"/>
      <c r="G14" s="9"/>
      <c r="L14" s="10"/>
    </row>
    <row r="15" spans="2:12" x14ac:dyDescent="0.25">
      <c r="B15" s="8" t="s">
        <v>2</v>
      </c>
      <c r="C15" s="30" t="s">
        <v>3</v>
      </c>
      <c r="D15" s="31" t="s">
        <v>8</v>
      </c>
      <c r="E15" s="31" t="s">
        <v>7</v>
      </c>
      <c r="F15" s="31" t="s">
        <v>6</v>
      </c>
      <c r="G15" s="31" t="s">
        <v>5</v>
      </c>
      <c r="H15" s="30" t="s">
        <v>4</v>
      </c>
      <c r="I15" s="30" t="s">
        <v>34</v>
      </c>
      <c r="J15" s="30" t="s">
        <v>35</v>
      </c>
      <c r="K15" s="30" t="s">
        <v>36</v>
      </c>
      <c r="L15" s="30" t="s">
        <v>9</v>
      </c>
    </row>
    <row r="16" spans="2:12" x14ac:dyDescent="0.25">
      <c r="B16" s="13"/>
      <c r="C16" s="7" t="s">
        <v>15</v>
      </c>
      <c r="D16" s="11"/>
      <c r="E16" s="11"/>
      <c r="F16" s="11">
        <v>6</v>
      </c>
      <c r="G16" s="11"/>
      <c r="H16" s="11"/>
      <c r="L16" s="10">
        <f t="shared" si="0"/>
        <v>6</v>
      </c>
    </row>
    <row r="17" spans="2:12" x14ac:dyDescent="0.25">
      <c r="B17" s="13"/>
      <c r="C17" s="4" t="s">
        <v>16</v>
      </c>
      <c r="D17" s="9">
        <v>15</v>
      </c>
      <c r="E17" s="9">
        <v>7</v>
      </c>
      <c r="F17" s="9">
        <v>6</v>
      </c>
      <c r="G17" s="9">
        <v>2</v>
      </c>
      <c r="H17" s="9">
        <v>8</v>
      </c>
      <c r="L17" s="10">
        <f t="shared" si="0"/>
        <v>38</v>
      </c>
    </row>
    <row r="18" spans="2:12" x14ac:dyDescent="0.25">
      <c r="B18" s="13"/>
      <c r="C18" s="4" t="s">
        <v>22</v>
      </c>
      <c r="D18" s="9">
        <v>4</v>
      </c>
      <c r="E18" s="9"/>
      <c r="F18" s="9"/>
      <c r="G18" s="9"/>
      <c r="H18" s="9">
        <v>3</v>
      </c>
      <c r="L18" s="10">
        <f t="shared" si="0"/>
        <v>7</v>
      </c>
    </row>
    <row r="19" spans="2:12" x14ac:dyDescent="0.25">
      <c r="B19" s="13"/>
      <c r="C19" s="4" t="s">
        <v>24</v>
      </c>
      <c r="D19" s="9"/>
      <c r="E19" s="9"/>
      <c r="F19" s="9"/>
      <c r="G19" s="9">
        <v>1</v>
      </c>
      <c r="H19" s="9"/>
      <c r="L19" s="10">
        <f t="shared" si="0"/>
        <v>1</v>
      </c>
    </row>
    <row r="20" spans="2:12" x14ac:dyDescent="0.25">
      <c r="B20" s="13"/>
      <c r="C20" s="4" t="s">
        <v>26</v>
      </c>
      <c r="D20" s="9">
        <v>52</v>
      </c>
      <c r="E20" s="9">
        <v>58</v>
      </c>
      <c r="F20" s="9">
        <v>12</v>
      </c>
      <c r="G20" s="9">
        <v>35</v>
      </c>
      <c r="H20" s="9">
        <v>9</v>
      </c>
      <c r="L20" s="10">
        <f t="shared" si="0"/>
        <v>166</v>
      </c>
    </row>
    <row r="21" spans="2:12" x14ac:dyDescent="0.25">
      <c r="B21" s="13"/>
      <c r="C21" s="4" t="s">
        <v>27</v>
      </c>
      <c r="D21" s="9">
        <v>14</v>
      </c>
      <c r="E21" s="9">
        <v>26</v>
      </c>
      <c r="F21" s="9">
        <v>2</v>
      </c>
      <c r="G21" s="9">
        <v>1</v>
      </c>
      <c r="H21" s="9"/>
      <c r="L21" s="10">
        <f t="shared" si="0"/>
        <v>43</v>
      </c>
    </row>
    <row r="22" spans="2:12" x14ac:dyDescent="0.25">
      <c r="B22" s="13"/>
      <c r="C22" s="4" t="s">
        <v>28</v>
      </c>
      <c r="D22" s="9"/>
      <c r="E22" s="9"/>
      <c r="F22" s="9">
        <v>2</v>
      </c>
      <c r="G22" s="9">
        <v>1</v>
      </c>
      <c r="H22" s="9"/>
      <c r="L22" s="10">
        <f t="shared" si="0"/>
        <v>3</v>
      </c>
    </row>
    <row r="23" spans="2:12" x14ac:dyDescent="0.25">
      <c r="B23" s="13"/>
      <c r="C23" s="4" t="s">
        <v>30</v>
      </c>
      <c r="D23" s="9">
        <v>5</v>
      </c>
      <c r="E23" s="9"/>
      <c r="F23" s="9"/>
      <c r="G23" s="9"/>
      <c r="H23" s="9"/>
      <c r="L23" s="10">
        <f t="shared" si="0"/>
        <v>5</v>
      </c>
    </row>
    <row r="24" spans="2:12" x14ac:dyDescent="0.25">
      <c r="B24" s="13"/>
      <c r="C24" s="4" t="s">
        <v>31</v>
      </c>
      <c r="D24" s="9">
        <v>122</v>
      </c>
      <c r="E24" s="9">
        <v>115</v>
      </c>
      <c r="F24" s="9">
        <v>90</v>
      </c>
      <c r="G24" s="9">
        <v>98</v>
      </c>
      <c r="H24" s="9">
        <v>40</v>
      </c>
      <c r="L24" s="10">
        <f t="shared" si="0"/>
        <v>465</v>
      </c>
    </row>
    <row r="25" spans="2:12" x14ac:dyDescent="0.25">
      <c r="B25" s="3" t="s">
        <v>135</v>
      </c>
      <c r="C25" s="6"/>
      <c r="D25" s="11">
        <f>SUM(D16:D24)</f>
        <v>212</v>
      </c>
      <c r="E25" s="11">
        <f t="shared" ref="E25" si="2">SUM(E16:E24)</f>
        <v>206</v>
      </c>
      <c r="F25" s="11">
        <f t="shared" ref="F25" si="3">SUM(F16:F24)</f>
        <v>118</v>
      </c>
      <c r="G25" s="11">
        <f t="shared" ref="G25" si="4">SUM(G16:G24)</f>
        <v>138</v>
      </c>
      <c r="H25" s="11">
        <f t="shared" ref="H25" si="5">SUM(H16:H24)</f>
        <v>60</v>
      </c>
      <c r="I25" s="11">
        <f t="shared" ref="I25" si="6">SUM(I16:I24)</f>
        <v>0</v>
      </c>
      <c r="J25" s="11">
        <f t="shared" ref="J25" si="7">SUM(J16:J24)</f>
        <v>0</v>
      </c>
      <c r="K25" s="11">
        <f t="shared" ref="K25" si="8">SUM(K16:K24)</f>
        <v>0</v>
      </c>
      <c r="L25" s="33">
        <f>SUM(D25:K25)</f>
        <v>734</v>
      </c>
    </row>
  </sheetData>
  <phoneticPr fontId="11" type="noConversion"/>
  <conditionalFormatting sqref="D13:K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K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K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8423-2778-480E-B8A0-1BAA476C2E2E}">
  <dimension ref="B1:L35"/>
  <sheetViews>
    <sheetView workbookViewId="0">
      <selection activeCell="C42" sqref="C42"/>
    </sheetView>
  </sheetViews>
  <sheetFormatPr defaultRowHeight="15" x14ac:dyDescent="0.25"/>
  <cols>
    <col min="2" max="2" width="22.7109375" customWidth="1"/>
    <col min="3" max="3" width="16.140625" bestFit="1" customWidth="1"/>
    <col min="8" max="8" width="7" bestFit="1" customWidth="1"/>
    <col min="12" max="12" width="11.28515625" bestFit="1" customWidth="1"/>
  </cols>
  <sheetData>
    <row r="1" spans="2:12" x14ac:dyDescent="0.25">
      <c r="B1" s="32" t="s">
        <v>127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126</v>
      </c>
      <c r="C4" s="7" t="s">
        <v>11</v>
      </c>
      <c r="D4" s="9"/>
      <c r="E4" s="9"/>
      <c r="F4" s="9">
        <v>2100.54</v>
      </c>
      <c r="G4" s="9"/>
      <c r="H4" s="9"/>
      <c r="L4" s="10">
        <f>SUM(D4:K4)</f>
        <v>2100.54</v>
      </c>
    </row>
    <row r="5" spans="2:12" x14ac:dyDescent="0.25">
      <c r="B5" s="13"/>
      <c r="C5" s="4" t="s">
        <v>12</v>
      </c>
      <c r="D5" s="9"/>
      <c r="E5" s="9">
        <v>746.98</v>
      </c>
      <c r="F5" s="9">
        <v>342.01</v>
      </c>
      <c r="G5" s="9">
        <v>749.06</v>
      </c>
      <c r="H5" s="9"/>
      <c r="L5" s="10">
        <f t="shared" ref="L5:L34" si="0">SUM(D5:K5)</f>
        <v>1838.05</v>
      </c>
    </row>
    <row r="6" spans="2:12" x14ac:dyDescent="0.25">
      <c r="B6" s="13"/>
      <c r="C6" s="4" t="s">
        <v>15</v>
      </c>
      <c r="D6" s="9">
        <v>1212.8</v>
      </c>
      <c r="E6" s="9"/>
      <c r="F6" s="9"/>
      <c r="G6" s="9"/>
      <c r="H6" s="9"/>
      <c r="L6" s="10">
        <f t="shared" si="0"/>
        <v>1212.8</v>
      </c>
    </row>
    <row r="7" spans="2:12" x14ac:dyDescent="0.25">
      <c r="B7" s="13"/>
      <c r="C7" s="4" t="s">
        <v>42</v>
      </c>
      <c r="D7" s="9"/>
      <c r="E7" s="9"/>
      <c r="F7" s="9">
        <v>4529.74</v>
      </c>
      <c r="G7" s="9">
        <v>5543.34</v>
      </c>
      <c r="H7" s="9">
        <v>4388.49</v>
      </c>
      <c r="L7" s="10">
        <f t="shared" si="0"/>
        <v>14461.57</v>
      </c>
    </row>
    <row r="8" spans="2:12" x14ac:dyDescent="0.25">
      <c r="B8" s="13"/>
      <c r="C8" s="4" t="s">
        <v>17</v>
      </c>
      <c r="D8" s="9">
        <v>412.49</v>
      </c>
      <c r="E8" s="9">
        <v>1262.1599999999999</v>
      </c>
      <c r="F8" s="9"/>
      <c r="G8" s="9"/>
      <c r="H8" s="9">
        <v>449.08</v>
      </c>
      <c r="L8" s="10">
        <f t="shared" si="0"/>
        <v>2123.73</v>
      </c>
    </row>
    <row r="9" spans="2:12" x14ac:dyDescent="0.25">
      <c r="B9" s="13"/>
      <c r="C9" s="4" t="s">
        <v>19</v>
      </c>
      <c r="D9" s="9">
        <v>206.19</v>
      </c>
      <c r="E9" s="9">
        <v>1263.74</v>
      </c>
      <c r="F9" s="9"/>
      <c r="G9" s="9">
        <v>1746.4099999999999</v>
      </c>
      <c r="H9" s="9"/>
      <c r="L9" s="10">
        <f t="shared" si="0"/>
        <v>3216.34</v>
      </c>
    </row>
    <row r="10" spans="2:12" x14ac:dyDescent="0.25">
      <c r="B10" s="13"/>
      <c r="C10" s="4" t="s">
        <v>20</v>
      </c>
      <c r="D10" s="9">
        <v>205.86</v>
      </c>
      <c r="E10" s="9">
        <v>1052.8</v>
      </c>
      <c r="F10" s="9">
        <v>420.78</v>
      </c>
      <c r="G10" s="9">
        <v>229.14</v>
      </c>
      <c r="H10" s="9"/>
      <c r="L10" s="10">
        <f t="shared" si="0"/>
        <v>1908.58</v>
      </c>
    </row>
    <row r="11" spans="2:12" x14ac:dyDescent="0.25">
      <c r="B11" s="13"/>
      <c r="C11" s="4" t="s">
        <v>22</v>
      </c>
      <c r="D11" s="9">
        <v>545.29999999999995</v>
      </c>
      <c r="E11" s="9"/>
      <c r="F11" s="9"/>
      <c r="G11" s="9">
        <v>1319.96</v>
      </c>
      <c r="H11" s="9"/>
      <c r="L11" s="10">
        <f t="shared" si="0"/>
        <v>1865.26</v>
      </c>
    </row>
    <row r="12" spans="2:12" x14ac:dyDescent="0.25">
      <c r="B12" s="13"/>
      <c r="C12" s="4" t="s">
        <v>23</v>
      </c>
      <c r="D12" s="9">
        <v>563.12</v>
      </c>
      <c r="E12" s="9"/>
      <c r="F12" s="9">
        <v>1124.8</v>
      </c>
      <c r="G12" s="9">
        <v>1140.19</v>
      </c>
      <c r="H12" s="9"/>
      <c r="L12" s="10">
        <f t="shared" si="0"/>
        <v>2828.11</v>
      </c>
    </row>
    <row r="13" spans="2:12" x14ac:dyDescent="0.25">
      <c r="B13" s="13"/>
      <c r="C13" s="4" t="s">
        <v>24</v>
      </c>
      <c r="D13" s="9"/>
      <c r="E13" s="9">
        <v>8047.67</v>
      </c>
      <c r="F13" s="9"/>
      <c r="G13" s="9">
        <v>3500.4</v>
      </c>
      <c r="H13" s="9"/>
      <c r="L13" s="10">
        <f t="shared" si="0"/>
        <v>11548.07</v>
      </c>
    </row>
    <row r="14" spans="2:12" x14ac:dyDescent="0.25">
      <c r="B14" s="13"/>
      <c r="C14" s="4" t="s">
        <v>25</v>
      </c>
      <c r="D14" s="9"/>
      <c r="E14" s="9">
        <v>594.30999999999995</v>
      </c>
      <c r="F14" s="9">
        <v>786.41</v>
      </c>
      <c r="G14" s="9"/>
      <c r="H14" s="9">
        <v>336</v>
      </c>
      <c r="L14" s="10">
        <f t="shared" si="0"/>
        <v>1716.7199999999998</v>
      </c>
    </row>
    <row r="15" spans="2:12" x14ac:dyDescent="0.25">
      <c r="B15" s="13"/>
      <c r="C15" s="4" t="s">
        <v>28</v>
      </c>
      <c r="D15" s="9">
        <v>442.54</v>
      </c>
      <c r="E15" s="9"/>
      <c r="F15" s="9">
        <v>225.73</v>
      </c>
      <c r="G15" s="9"/>
      <c r="H15" s="9"/>
      <c r="L15" s="10">
        <f t="shared" si="0"/>
        <v>668.27</v>
      </c>
    </row>
    <row r="16" spans="2:12" x14ac:dyDescent="0.25">
      <c r="B16" s="13"/>
      <c r="C16" s="4" t="s">
        <v>29</v>
      </c>
      <c r="D16" s="9">
        <v>1968.74</v>
      </c>
      <c r="E16" s="9">
        <v>3706.66</v>
      </c>
      <c r="F16" s="9">
        <v>1154.0999999999999</v>
      </c>
      <c r="G16" s="9">
        <v>3537.4399999999996</v>
      </c>
      <c r="H16" s="9">
        <v>1324.16</v>
      </c>
      <c r="L16" s="10">
        <f t="shared" si="0"/>
        <v>11691.099999999999</v>
      </c>
    </row>
    <row r="17" spans="2:12" x14ac:dyDescent="0.25">
      <c r="B17" s="13"/>
      <c r="C17" s="4" t="s">
        <v>30</v>
      </c>
      <c r="D17" s="9">
        <v>2676.6900000000005</v>
      </c>
      <c r="E17" s="9">
        <v>3994.19</v>
      </c>
      <c r="F17" s="9">
        <v>1659.9999999999998</v>
      </c>
      <c r="G17" s="9">
        <v>4353.6900000000005</v>
      </c>
      <c r="H17" s="9">
        <v>856.36</v>
      </c>
      <c r="L17" s="10">
        <f t="shared" si="0"/>
        <v>13540.930000000002</v>
      </c>
    </row>
    <row r="18" spans="2:12" x14ac:dyDescent="0.25">
      <c r="B18" s="3" t="s">
        <v>137</v>
      </c>
      <c r="C18" s="6"/>
      <c r="D18" s="11">
        <f>SUM(D4:D17)</f>
        <v>8233.73</v>
      </c>
      <c r="E18" s="11">
        <f t="shared" ref="E18:K18" si="1">SUM(E4:E17)</f>
        <v>20668.509999999998</v>
      </c>
      <c r="F18" s="11">
        <f t="shared" si="1"/>
        <v>12344.109999999999</v>
      </c>
      <c r="G18" s="11">
        <f t="shared" si="1"/>
        <v>22119.629999999997</v>
      </c>
      <c r="H18" s="11">
        <f t="shared" si="1"/>
        <v>7354.0899999999992</v>
      </c>
      <c r="I18" s="11">
        <f t="shared" si="1"/>
        <v>0</v>
      </c>
      <c r="J18" s="11">
        <f t="shared" si="1"/>
        <v>0</v>
      </c>
      <c r="K18" s="11">
        <f t="shared" si="1"/>
        <v>0</v>
      </c>
      <c r="L18" s="33">
        <f>SUM(D18:K18)</f>
        <v>70720.069999999992</v>
      </c>
    </row>
    <row r="19" spans="2:12" x14ac:dyDescent="0.25">
      <c r="B19" s="13"/>
      <c r="C19" s="4"/>
      <c r="D19" s="9"/>
      <c r="E19" s="9"/>
      <c r="F19" s="9"/>
      <c r="G19" s="9"/>
      <c r="L19" s="10"/>
    </row>
    <row r="20" spans="2:12" x14ac:dyDescent="0.25">
      <c r="B20" s="8" t="s">
        <v>2</v>
      </c>
      <c r="C20" s="30" t="s">
        <v>3</v>
      </c>
      <c r="D20" s="31" t="s">
        <v>8</v>
      </c>
      <c r="E20" s="31" t="s">
        <v>7</v>
      </c>
      <c r="F20" s="31" t="s">
        <v>6</v>
      </c>
      <c r="G20" s="31" t="s">
        <v>5</v>
      </c>
      <c r="H20" s="30" t="s">
        <v>4</v>
      </c>
      <c r="I20" s="30" t="s">
        <v>34</v>
      </c>
      <c r="J20" s="30" t="s">
        <v>35</v>
      </c>
      <c r="K20" s="30" t="s">
        <v>36</v>
      </c>
      <c r="L20" s="30" t="s">
        <v>9</v>
      </c>
    </row>
    <row r="21" spans="2:12" x14ac:dyDescent="0.25">
      <c r="B21" s="13"/>
      <c r="C21" s="7" t="s">
        <v>11</v>
      </c>
      <c r="D21" s="11"/>
      <c r="E21" s="11"/>
      <c r="F21" s="11">
        <v>3</v>
      </c>
      <c r="G21" s="11"/>
      <c r="H21" s="11"/>
      <c r="L21" s="10">
        <f t="shared" si="0"/>
        <v>3</v>
      </c>
    </row>
    <row r="22" spans="2:12" x14ac:dyDescent="0.25">
      <c r="B22" s="13"/>
      <c r="C22" s="4" t="s">
        <v>12</v>
      </c>
      <c r="D22" s="9"/>
      <c r="E22" s="9">
        <v>2</v>
      </c>
      <c r="F22" s="9">
        <v>1</v>
      </c>
      <c r="G22" s="9">
        <v>2</v>
      </c>
      <c r="H22" s="9"/>
      <c r="L22" s="10">
        <f t="shared" si="0"/>
        <v>5</v>
      </c>
    </row>
    <row r="23" spans="2:12" x14ac:dyDescent="0.25">
      <c r="B23" s="13"/>
      <c r="C23" s="4" t="s">
        <v>15</v>
      </c>
      <c r="D23" s="9">
        <v>5</v>
      </c>
      <c r="E23" s="9"/>
      <c r="F23" s="9"/>
      <c r="G23" s="9"/>
      <c r="H23" s="9"/>
      <c r="L23" s="10">
        <f t="shared" si="0"/>
        <v>5</v>
      </c>
    </row>
    <row r="24" spans="2:12" x14ac:dyDescent="0.25">
      <c r="B24" s="13"/>
      <c r="C24" s="4" t="s">
        <v>42</v>
      </c>
      <c r="D24" s="9"/>
      <c r="E24" s="9"/>
      <c r="F24" s="9">
        <v>9</v>
      </c>
      <c r="G24" s="9">
        <v>11</v>
      </c>
      <c r="H24" s="9">
        <v>9</v>
      </c>
      <c r="L24" s="10">
        <f t="shared" si="0"/>
        <v>29</v>
      </c>
    </row>
    <row r="25" spans="2:12" x14ac:dyDescent="0.25">
      <c r="B25" s="13"/>
      <c r="C25" s="4" t="s">
        <v>17</v>
      </c>
      <c r="D25" s="9">
        <v>2</v>
      </c>
      <c r="E25" s="9">
        <v>6</v>
      </c>
      <c r="F25" s="9"/>
      <c r="G25" s="9"/>
      <c r="H25" s="9">
        <v>2</v>
      </c>
      <c r="L25" s="10">
        <f t="shared" si="0"/>
        <v>10</v>
      </c>
    </row>
    <row r="26" spans="2:12" x14ac:dyDescent="0.25">
      <c r="B26" s="13"/>
      <c r="C26" s="4" t="s">
        <v>19</v>
      </c>
      <c r="D26" s="9">
        <v>1</v>
      </c>
      <c r="E26" s="9">
        <v>6</v>
      </c>
      <c r="F26" s="9"/>
      <c r="G26" s="9">
        <v>8</v>
      </c>
      <c r="H26" s="9"/>
      <c r="L26" s="10">
        <f t="shared" si="0"/>
        <v>15</v>
      </c>
    </row>
    <row r="27" spans="2:12" x14ac:dyDescent="0.25">
      <c r="B27" s="13"/>
      <c r="C27" s="4" t="s">
        <v>20</v>
      </c>
      <c r="D27" s="9">
        <v>1</v>
      </c>
      <c r="E27" s="9">
        <v>5</v>
      </c>
      <c r="F27" s="9">
        <v>2</v>
      </c>
      <c r="G27" s="9">
        <v>1</v>
      </c>
      <c r="H27" s="9"/>
      <c r="L27" s="10">
        <f t="shared" si="0"/>
        <v>9</v>
      </c>
    </row>
    <row r="28" spans="2:12" x14ac:dyDescent="0.25">
      <c r="B28" s="13"/>
      <c r="C28" s="4" t="s">
        <v>22</v>
      </c>
      <c r="D28" s="9">
        <v>2</v>
      </c>
      <c r="E28" s="9"/>
      <c r="F28" s="9"/>
      <c r="G28" s="9">
        <v>4</v>
      </c>
      <c r="H28" s="9"/>
      <c r="L28" s="10">
        <f t="shared" si="0"/>
        <v>6</v>
      </c>
    </row>
    <row r="29" spans="2:12" x14ac:dyDescent="0.25">
      <c r="B29" s="13"/>
      <c r="C29" s="4" t="s">
        <v>23</v>
      </c>
      <c r="D29" s="9">
        <v>1</v>
      </c>
      <c r="E29" s="9"/>
      <c r="F29" s="9">
        <v>2</v>
      </c>
      <c r="G29" s="9">
        <v>2</v>
      </c>
      <c r="H29" s="9"/>
      <c r="L29" s="10">
        <f t="shared" si="0"/>
        <v>5</v>
      </c>
    </row>
    <row r="30" spans="2:12" x14ac:dyDescent="0.25">
      <c r="B30" s="13"/>
      <c r="C30" s="4" t="s">
        <v>24</v>
      </c>
      <c r="D30" s="9"/>
      <c r="E30" s="9">
        <v>24</v>
      </c>
      <c r="F30" s="9"/>
      <c r="G30" s="9">
        <v>10</v>
      </c>
      <c r="H30" s="9"/>
      <c r="L30" s="10">
        <f t="shared" si="0"/>
        <v>34</v>
      </c>
    </row>
    <row r="31" spans="2:12" x14ac:dyDescent="0.25">
      <c r="B31" s="13"/>
      <c r="C31" s="4" t="s">
        <v>25</v>
      </c>
      <c r="D31" s="9"/>
      <c r="E31" s="9">
        <v>3</v>
      </c>
      <c r="F31" s="9">
        <v>4</v>
      </c>
      <c r="G31" s="9"/>
      <c r="H31" s="9">
        <v>2</v>
      </c>
      <c r="L31" s="10">
        <f t="shared" si="0"/>
        <v>9</v>
      </c>
    </row>
    <row r="32" spans="2:12" x14ac:dyDescent="0.25">
      <c r="B32" s="13"/>
      <c r="C32" s="4" t="s">
        <v>28</v>
      </c>
      <c r="D32" s="9">
        <v>2</v>
      </c>
      <c r="E32" s="9"/>
      <c r="F32" s="9">
        <v>1</v>
      </c>
      <c r="G32" s="9"/>
      <c r="H32" s="9"/>
      <c r="L32" s="10">
        <f t="shared" si="0"/>
        <v>3</v>
      </c>
    </row>
    <row r="33" spans="2:12" x14ac:dyDescent="0.25">
      <c r="B33" s="13"/>
      <c r="C33" s="4" t="s">
        <v>29</v>
      </c>
      <c r="D33" s="9">
        <v>9</v>
      </c>
      <c r="E33" s="9">
        <v>17</v>
      </c>
      <c r="F33" s="9">
        <v>5</v>
      </c>
      <c r="G33" s="9">
        <v>16</v>
      </c>
      <c r="H33" s="9">
        <v>6</v>
      </c>
      <c r="L33" s="10">
        <f t="shared" si="0"/>
        <v>53</v>
      </c>
    </row>
    <row r="34" spans="2:12" x14ac:dyDescent="0.25">
      <c r="B34" s="13"/>
      <c r="C34" s="4" t="s">
        <v>30</v>
      </c>
      <c r="D34" s="9">
        <v>13</v>
      </c>
      <c r="E34" s="9">
        <v>19</v>
      </c>
      <c r="F34" s="9">
        <v>8</v>
      </c>
      <c r="G34" s="9">
        <v>20</v>
      </c>
      <c r="H34" s="9">
        <v>4</v>
      </c>
      <c r="L34" s="10">
        <f t="shared" si="0"/>
        <v>64</v>
      </c>
    </row>
    <row r="35" spans="2:12" x14ac:dyDescent="0.25">
      <c r="B35" s="3" t="s">
        <v>135</v>
      </c>
      <c r="C35" s="6"/>
      <c r="D35" s="11">
        <f>SUM(D21:D34)</f>
        <v>36</v>
      </c>
      <c r="E35" s="11">
        <f t="shared" ref="E35" si="2">SUM(E21:E34)</f>
        <v>82</v>
      </c>
      <c r="F35" s="11">
        <f t="shared" ref="F35" si="3">SUM(F21:F34)</f>
        <v>35</v>
      </c>
      <c r="G35" s="11">
        <f t="shared" ref="G35" si="4">SUM(G21:G34)</f>
        <v>74</v>
      </c>
      <c r="H35" s="11">
        <f t="shared" ref="H35" si="5">SUM(H21:H34)</f>
        <v>23</v>
      </c>
      <c r="I35" s="11">
        <f t="shared" ref="I35" si="6">SUM(I21:I34)</f>
        <v>0</v>
      </c>
      <c r="J35" s="11">
        <f t="shared" ref="J35" si="7">SUM(J21:J34)</f>
        <v>0</v>
      </c>
      <c r="K35" s="11">
        <f t="shared" ref="K35" si="8">SUM(K21:K34)</f>
        <v>0</v>
      </c>
      <c r="L35" s="33">
        <f>SUM(D35:K35)</f>
        <v>250</v>
      </c>
    </row>
  </sheetData>
  <phoneticPr fontId="11" type="noConversion"/>
  <conditionalFormatting sqref="D18:K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K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K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C75E-419A-4EB3-8EDE-9383FB057AF7}">
  <dimension ref="B1:L43"/>
  <sheetViews>
    <sheetView topLeftCell="A16" workbookViewId="0">
      <selection activeCell="B43" sqref="B43"/>
    </sheetView>
  </sheetViews>
  <sheetFormatPr defaultRowHeight="15" x14ac:dyDescent="0.25"/>
  <cols>
    <col min="2" max="2" width="19.85546875" customWidth="1"/>
    <col min="3" max="3" width="14.7109375" bestFit="1" customWidth="1"/>
    <col min="12" max="12" width="11.28515625" bestFit="1" customWidth="1"/>
  </cols>
  <sheetData>
    <row r="1" spans="2:12" x14ac:dyDescent="0.25">
      <c r="B1" s="32" t="s">
        <v>129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128</v>
      </c>
      <c r="C4" s="7" t="s">
        <v>11</v>
      </c>
      <c r="D4" s="9">
        <v>2780.33</v>
      </c>
      <c r="E4" s="9">
        <v>6233.32</v>
      </c>
      <c r="F4" s="9">
        <v>1400.36</v>
      </c>
      <c r="G4" s="9">
        <v>1388.6799999999998</v>
      </c>
      <c r="H4" s="9">
        <v>2095.1</v>
      </c>
      <c r="L4" s="10">
        <f>SUM(D4:K4)</f>
        <v>13897.79</v>
      </c>
    </row>
    <row r="5" spans="2:12" x14ac:dyDescent="0.25">
      <c r="B5" s="13"/>
      <c r="C5" s="4" t="s">
        <v>40</v>
      </c>
      <c r="D5" s="9"/>
      <c r="E5" s="9">
        <v>74.97</v>
      </c>
      <c r="F5" s="9">
        <v>99.96</v>
      </c>
      <c r="G5" s="9"/>
      <c r="H5" s="9"/>
      <c r="L5" s="10">
        <f t="shared" ref="L5:L42" si="0">SUM(D5:K5)</f>
        <v>174.93</v>
      </c>
    </row>
    <row r="6" spans="2:12" x14ac:dyDescent="0.25">
      <c r="B6" s="13"/>
      <c r="C6" s="4" t="s">
        <v>13</v>
      </c>
      <c r="D6" s="9"/>
      <c r="E6" s="9"/>
      <c r="F6" s="9">
        <v>193.53</v>
      </c>
      <c r="G6" s="9"/>
      <c r="H6" s="9"/>
      <c r="L6" s="10">
        <f t="shared" si="0"/>
        <v>193.53</v>
      </c>
    </row>
    <row r="7" spans="2:12" x14ac:dyDescent="0.25">
      <c r="B7" s="13"/>
      <c r="C7" s="4" t="s">
        <v>16</v>
      </c>
      <c r="D7" s="9">
        <v>3043.91</v>
      </c>
      <c r="E7" s="9">
        <v>1498.75</v>
      </c>
      <c r="F7" s="9">
        <v>1862.25</v>
      </c>
      <c r="G7" s="9">
        <v>2382.62</v>
      </c>
      <c r="H7" s="9">
        <v>456.51</v>
      </c>
      <c r="L7" s="10">
        <f t="shared" si="0"/>
        <v>9244.0399999999991</v>
      </c>
    </row>
    <row r="8" spans="2:12" x14ac:dyDescent="0.25">
      <c r="B8" s="13"/>
      <c r="C8" s="4" t="s">
        <v>17</v>
      </c>
      <c r="D8" s="9">
        <v>1029.4000000000001</v>
      </c>
      <c r="E8" s="9"/>
      <c r="F8" s="9"/>
      <c r="G8" s="9"/>
      <c r="H8" s="9"/>
      <c r="L8" s="10">
        <f t="shared" si="0"/>
        <v>1029.4000000000001</v>
      </c>
    </row>
    <row r="9" spans="2:12" x14ac:dyDescent="0.25">
      <c r="B9" s="13"/>
      <c r="C9" s="4" t="s">
        <v>19</v>
      </c>
      <c r="D9" s="9">
        <v>1029.05</v>
      </c>
      <c r="E9" s="9"/>
      <c r="F9" s="9"/>
      <c r="G9" s="9"/>
      <c r="H9" s="9"/>
      <c r="L9" s="10">
        <f t="shared" si="0"/>
        <v>1029.05</v>
      </c>
    </row>
    <row r="10" spans="2:12" x14ac:dyDescent="0.25">
      <c r="B10" s="13"/>
      <c r="C10" s="4" t="s">
        <v>20</v>
      </c>
      <c r="D10" s="9">
        <v>1880.5900000000001</v>
      </c>
      <c r="E10" s="9"/>
      <c r="F10" s="9"/>
      <c r="G10" s="9"/>
      <c r="H10" s="9"/>
      <c r="L10" s="10">
        <f t="shared" si="0"/>
        <v>1880.5900000000001</v>
      </c>
    </row>
    <row r="11" spans="2:12" x14ac:dyDescent="0.25">
      <c r="B11" s="13"/>
      <c r="C11" s="4" t="s">
        <v>21</v>
      </c>
      <c r="D11" s="9"/>
      <c r="E11" s="9"/>
      <c r="F11" s="9"/>
      <c r="G11" s="9">
        <v>300.58</v>
      </c>
      <c r="H11" s="9"/>
      <c r="L11" s="10">
        <f t="shared" si="0"/>
        <v>300.58</v>
      </c>
    </row>
    <row r="12" spans="2:12" x14ac:dyDescent="0.25">
      <c r="B12" s="13"/>
      <c r="C12" s="4" t="s">
        <v>22</v>
      </c>
      <c r="D12" s="9">
        <v>990</v>
      </c>
      <c r="E12" s="9"/>
      <c r="F12" s="9"/>
      <c r="G12" s="9"/>
      <c r="H12" s="9"/>
      <c r="L12" s="10">
        <f t="shared" si="0"/>
        <v>990</v>
      </c>
    </row>
    <row r="13" spans="2:12" x14ac:dyDescent="0.25">
      <c r="B13" s="13"/>
      <c r="C13" s="4" t="s">
        <v>23</v>
      </c>
      <c r="D13" s="9">
        <v>1690.51</v>
      </c>
      <c r="E13" s="9">
        <v>1124.8</v>
      </c>
      <c r="F13" s="9">
        <v>1124.8</v>
      </c>
      <c r="G13" s="9">
        <v>1134.0899999999999</v>
      </c>
      <c r="H13" s="9">
        <v>571.19000000000005</v>
      </c>
      <c r="L13" s="10">
        <f t="shared" si="0"/>
        <v>5645.3899999999994</v>
      </c>
    </row>
    <row r="14" spans="2:12" x14ac:dyDescent="0.25">
      <c r="B14" s="13"/>
      <c r="C14" s="4" t="s">
        <v>24</v>
      </c>
      <c r="D14" s="9"/>
      <c r="E14" s="9">
        <v>660.02</v>
      </c>
      <c r="F14" s="9">
        <v>660.2</v>
      </c>
      <c r="G14" s="9"/>
      <c r="H14" s="9"/>
      <c r="L14" s="10">
        <f t="shared" si="0"/>
        <v>1320.22</v>
      </c>
    </row>
    <row r="15" spans="2:12" x14ac:dyDescent="0.25">
      <c r="B15" s="13"/>
      <c r="C15" s="4" t="s">
        <v>25</v>
      </c>
      <c r="D15" s="9">
        <v>2752.48</v>
      </c>
      <c r="E15" s="9">
        <v>3145.7200000000003</v>
      </c>
      <c r="F15" s="9"/>
      <c r="G15" s="9">
        <v>411.44</v>
      </c>
      <c r="H15" s="9">
        <v>416.12</v>
      </c>
      <c r="L15" s="10">
        <f t="shared" si="0"/>
        <v>6725.76</v>
      </c>
    </row>
    <row r="16" spans="2:12" x14ac:dyDescent="0.25">
      <c r="B16" s="13"/>
      <c r="C16" s="4" t="s">
        <v>26</v>
      </c>
      <c r="D16" s="9">
        <v>1019.35</v>
      </c>
      <c r="E16" s="9">
        <v>598.91000000000008</v>
      </c>
      <c r="F16" s="9"/>
      <c r="G16" s="9"/>
      <c r="H16" s="9"/>
      <c r="L16" s="10">
        <f t="shared" si="0"/>
        <v>1618.2600000000002</v>
      </c>
    </row>
    <row r="17" spans="2:12" x14ac:dyDescent="0.25">
      <c r="B17" s="13"/>
      <c r="C17" s="4" t="s">
        <v>27</v>
      </c>
      <c r="D17" s="9">
        <v>355.86</v>
      </c>
      <c r="E17" s="9"/>
      <c r="F17" s="9"/>
      <c r="G17" s="9"/>
      <c r="H17" s="9"/>
      <c r="L17" s="10">
        <f t="shared" si="0"/>
        <v>355.86</v>
      </c>
    </row>
    <row r="18" spans="2:12" x14ac:dyDescent="0.25">
      <c r="B18" s="13"/>
      <c r="C18" s="4" t="s">
        <v>28</v>
      </c>
      <c r="D18" s="9"/>
      <c r="E18" s="9"/>
      <c r="F18" s="9">
        <v>223.54</v>
      </c>
      <c r="G18" s="9"/>
      <c r="H18" s="9"/>
      <c r="L18" s="10">
        <f t="shared" si="0"/>
        <v>223.54</v>
      </c>
    </row>
    <row r="19" spans="2:12" x14ac:dyDescent="0.25">
      <c r="B19" s="13"/>
      <c r="C19" s="4" t="s">
        <v>29</v>
      </c>
      <c r="D19" s="9">
        <v>3361.5</v>
      </c>
      <c r="E19" s="9">
        <v>2240.9999999999995</v>
      </c>
      <c r="F19" s="9">
        <v>2742.8</v>
      </c>
      <c r="G19" s="9">
        <v>4114.82</v>
      </c>
      <c r="H19" s="9">
        <v>448.2</v>
      </c>
      <c r="L19" s="10">
        <f t="shared" si="0"/>
        <v>12908.32</v>
      </c>
    </row>
    <row r="20" spans="2:12" x14ac:dyDescent="0.25">
      <c r="B20" s="13"/>
      <c r="C20" s="4" t="s">
        <v>43</v>
      </c>
      <c r="D20" s="9">
        <v>0</v>
      </c>
      <c r="E20" s="9"/>
      <c r="F20" s="9"/>
      <c r="G20" s="9"/>
      <c r="H20" s="9"/>
      <c r="L20" s="10">
        <f t="shared" si="0"/>
        <v>0</v>
      </c>
    </row>
    <row r="21" spans="2:12" x14ac:dyDescent="0.25">
      <c r="B21" s="13"/>
      <c r="C21" s="4" t="s">
        <v>31</v>
      </c>
      <c r="D21" s="9">
        <v>698.56999999999994</v>
      </c>
      <c r="E21" s="9">
        <v>1717.08</v>
      </c>
      <c r="F21" s="9">
        <v>658.05</v>
      </c>
      <c r="G21" s="9">
        <v>433.83</v>
      </c>
      <c r="H21" s="9">
        <v>71.42</v>
      </c>
      <c r="L21" s="10">
        <f t="shared" si="0"/>
        <v>3578.95</v>
      </c>
    </row>
    <row r="22" spans="2:12" x14ac:dyDescent="0.25">
      <c r="B22" s="3" t="s">
        <v>136</v>
      </c>
      <c r="C22" s="6"/>
      <c r="D22" s="11">
        <f>SUM(D4:D21)</f>
        <v>20631.55</v>
      </c>
      <c r="E22" s="11">
        <f t="shared" ref="E22:K22" si="1">SUM(E4:E21)</f>
        <v>17294.57</v>
      </c>
      <c r="F22" s="11">
        <f t="shared" si="1"/>
        <v>8965.489999999998</v>
      </c>
      <c r="G22" s="11">
        <f t="shared" si="1"/>
        <v>10166.06</v>
      </c>
      <c r="H22" s="11">
        <f t="shared" si="1"/>
        <v>4058.5399999999995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33">
        <f>SUM(D22:K22)</f>
        <v>61116.209999999992</v>
      </c>
    </row>
    <row r="23" spans="2:12" x14ac:dyDescent="0.25">
      <c r="B23" s="13"/>
      <c r="C23" s="4"/>
      <c r="D23" s="9"/>
      <c r="E23" s="9"/>
      <c r="F23" s="9"/>
      <c r="G23" s="9"/>
      <c r="L23" s="10"/>
    </row>
    <row r="24" spans="2:12" x14ac:dyDescent="0.25">
      <c r="B24" s="8" t="s">
        <v>2</v>
      </c>
      <c r="C24" s="30" t="s">
        <v>3</v>
      </c>
      <c r="D24" s="31" t="s">
        <v>8</v>
      </c>
      <c r="E24" s="31" t="s">
        <v>7</v>
      </c>
      <c r="F24" s="31" t="s">
        <v>6</v>
      </c>
      <c r="G24" s="31" t="s">
        <v>5</v>
      </c>
      <c r="H24" s="30" t="s">
        <v>4</v>
      </c>
      <c r="I24" s="30" t="s">
        <v>34</v>
      </c>
      <c r="J24" s="30" t="s">
        <v>35</v>
      </c>
      <c r="K24" s="30" t="s">
        <v>36</v>
      </c>
      <c r="L24" s="30" t="s">
        <v>9</v>
      </c>
    </row>
    <row r="25" spans="2:12" x14ac:dyDescent="0.25">
      <c r="B25" s="13"/>
      <c r="C25" s="7" t="s">
        <v>11</v>
      </c>
      <c r="D25" s="11">
        <v>4</v>
      </c>
      <c r="E25" s="11">
        <v>9</v>
      </c>
      <c r="F25" s="11">
        <v>2</v>
      </c>
      <c r="G25" s="11">
        <v>2</v>
      </c>
      <c r="H25" s="11">
        <v>3</v>
      </c>
      <c r="L25" s="10">
        <f t="shared" si="0"/>
        <v>20</v>
      </c>
    </row>
    <row r="26" spans="2:12" x14ac:dyDescent="0.25">
      <c r="B26" s="13"/>
      <c r="C26" s="4" t="s">
        <v>40</v>
      </c>
      <c r="D26" s="9"/>
      <c r="E26" s="9">
        <v>3</v>
      </c>
      <c r="F26" s="9">
        <v>4</v>
      </c>
      <c r="G26" s="9"/>
      <c r="H26" s="9"/>
      <c r="L26" s="10">
        <f t="shared" si="0"/>
        <v>7</v>
      </c>
    </row>
    <row r="27" spans="2:12" x14ac:dyDescent="0.25">
      <c r="B27" s="13"/>
      <c r="C27" s="4" t="s">
        <v>13</v>
      </c>
      <c r="D27" s="9"/>
      <c r="E27" s="9"/>
      <c r="F27" s="9">
        <v>1</v>
      </c>
      <c r="G27" s="9"/>
      <c r="H27" s="9"/>
      <c r="L27" s="10">
        <f t="shared" si="0"/>
        <v>1</v>
      </c>
    </row>
    <row r="28" spans="2:12" x14ac:dyDescent="0.25">
      <c r="B28" s="13"/>
      <c r="C28" s="4" t="s">
        <v>16</v>
      </c>
      <c r="D28" s="9">
        <v>21</v>
      </c>
      <c r="E28" s="9">
        <v>10</v>
      </c>
      <c r="F28" s="9">
        <v>12</v>
      </c>
      <c r="G28" s="9">
        <v>15</v>
      </c>
      <c r="H28" s="9">
        <v>3</v>
      </c>
      <c r="L28" s="10">
        <f t="shared" si="0"/>
        <v>61</v>
      </c>
    </row>
    <row r="29" spans="2:12" x14ac:dyDescent="0.25">
      <c r="B29" s="13"/>
      <c r="C29" s="4" t="s">
        <v>17</v>
      </c>
      <c r="D29" s="9">
        <v>5</v>
      </c>
      <c r="E29" s="9"/>
      <c r="F29" s="9"/>
      <c r="G29" s="9"/>
      <c r="H29" s="9"/>
      <c r="L29" s="10">
        <f t="shared" si="0"/>
        <v>5</v>
      </c>
    </row>
    <row r="30" spans="2:12" x14ac:dyDescent="0.25">
      <c r="B30" s="13"/>
      <c r="C30" s="4" t="s">
        <v>19</v>
      </c>
      <c r="D30" s="9">
        <v>5</v>
      </c>
      <c r="E30" s="9"/>
      <c r="F30" s="9"/>
      <c r="G30" s="9"/>
      <c r="H30" s="9"/>
      <c r="L30" s="10">
        <f t="shared" si="0"/>
        <v>5</v>
      </c>
    </row>
    <row r="31" spans="2:12" x14ac:dyDescent="0.25">
      <c r="B31" s="13"/>
      <c r="C31" s="4" t="s">
        <v>20</v>
      </c>
      <c r="D31" s="9">
        <v>9</v>
      </c>
      <c r="E31" s="9"/>
      <c r="F31" s="9"/>
      <c r="G31" s="9"/>
      <c r="H31" s="9"/>
      <c r="L31" s="10">
        <f t="shared" si="0"/>
        <v>9</v>
      </c>
    </row>
    <row r="32" spans="2:12" x14ac:dyDescent="0.25">
      <c r="B32" s="13"/>
      <c r="C32" s="4" t="s">
        <v>21</v>
      </c>
      <c r="D32" s="9"/>
      <c r="E32" s="9"/>
      <c r="F32" s="9"/>
      <c r="G32" s="9">
        <v>1</v>
      </c>
      <c r="H32" s="9"/>
      <c r="L32" s="10">
        <f t="shared" si="0"/>
        <v>1</v>
      </c>
    </row>
    <row r="33" spans="2:12" x14ac:dyDescent="0.25">
      <c r="B33" s="13"/>
      <c r="C33" s="4" t="s">
        <v>22</v>
      </c>
      <c r="D33" s="9">
        <v>3</v>
      </c>
      <c r="E33" s="9"/>
      <c r="F33" s="9"/>
      <c r="G33" s="9"/>
      <c r="H33" s="9"/>
      <c r="L33" s="10">
        <f t="shared" si="0"/>
        <v>3</v>
      </c>
    </row>
    <row r="34" spans="2:12" x14ac:dyDescent="0.25">
      <c r="B34" s="13"/>
      <c r="C34" s="4" t="s">
        <v>23</v>
      </c>
      <c r="D34" s="9">
        <v>3</v>
      </c>
      <c r="E34" s="9">
        <v>2</v>
      </c>
      <c r="F34" s="9">
        <v>2</v>
      </c>
      <c r="G34" s="9">
        <v>2</v>
      </c>
      <c r="H34" s="9">
        <v>1</v>
      </c>
      <c r="L34" s="10">
        <f t="shared" si="0"/>
        <v>10</v>
      </c>
    </row>
    <row r="35" spans="2:12" x14ac:dyDescent="0.25">
      <c r="B35" s="13"/>
      <c r="C35" s="4" t="s">
        <v>24</v>
      </c>
      <c r="D35" s="9"/>
      <c r="E35" s="9">
        <v>2</v>
      </c>
      <c r="F35" s="9">
        <v>2</v>
      </c>
      <c r="G35" s="9"/>
      <c r="H35" s="9"/>
      <c r="L35" s="10">
        <f t="shared" si="0"/>
        <v>4</v>
      </c>
    </row>
    <row r="36" spans="2:12" x14ac:dyDescent="0.25">
      <c r="B36" s="13"/>
      <c r="C36" s="4" t="s">
        <v>25</v>
      </c>
      <c r="D36" s="9">
        <v>14</v>
      </c>
      <c r="E36" s="9">
        <v>16</v>
      </c>
      <c r="F36" s="9"/>
      <c r="G36" s="9">
        <v>2</v>
      </c>
      <c r="H36" s="9">
        <v>2</v>
      </c>
      <c r="L36" s="10">
        <f t="shared" si="0"/>
        <v>34</v>
      </c>
    </row>
    <row r="37" spans="2:12" x14ac:dyDescent="0.25">
      <c r="B37" s="13"/>
      <c r="C37" s="4" t="s">
        <v>26</v>
      </c>
      <c r="D37" s="9">
        <v>24</v>
      </c>
      <c r="E37" s="9">
        <v>14</v>
      </c>
      <c r="F37" s="9"/>
      <c r="G37" s="9"/>
      <c r="H37" s="9"/>
      <c r="L37" s="10">
        <f t="shared" si="0"/>
        <v>38</v>
      </c>
    </row>
    <row r="38" spans="2:12" x14ac:dyDescent="0.25">
      <c r="B38" s="13"/>
      <c r="C38" s="4" t="s">
        <v>27</v>
      </c>
      <c r="D38" s="9">
        <v>6</v>
      </c>
      <c r="E38" s="9"/>
      <c r="F38" s="9"/>
      <c r="G38" s="9"/>
      <c r="H38" s="9"/>
      <c r="L38" s="10">
        <f t="shared" si="0"/>
        <v>6</v>
      </c>
    </row>
    <row r="39" spans="2:12" x14ac:dyDescent="0.25">
      <c r="B39" s="13"/>
      <c r="C39" s="4" t="s">
        <v>28</v>
      </c>
      <c r="D39" s="9"/>
      <c r="E39" s="9"/>
      <c r="F39" s="9">
        <v>1</v>
      </c>
      <c r="G39" s="9"/>
      <c r="H39" s="9"/>
      <c r="L39" s="10">
        <f t="shared" si="0"/>
        <v>1</v>
      </c>
    </row>
    <row r="40" spans="2:12" x14ac:dyDescent="0.25">
      <c r="B40" s="13"/>
      <c r="C40" s="4" t="s">
        <v>29</v>
      </c>
      <c r="D40" s="9">
        <v>15</v>
      </c>
      <c r="E40" s="9">
        <v>10</v>
      </c>
      <c r="F40" s="9">
        <v>12</v>
      </c>
      <c r="G40" s="9">
        <v>19</v>
      </c>
      <c r="H40" s="9">
        <v>2</v>
      </c>
      <c r="L40" s="10">
        <f t="shared" si="0"/>
        <v>58</v>
      </c>
    </row>
    <row r="41" spans="2:12" x14ac:dyDescent="0.25">
      <c r="B41" s="13"/>
      <c r="C41" s="4" t="s">
        <v>43</v>
      </c>
      <c r="D41" s="9">
        <v>0</v>
      </c>
      <c r="E41" s="9"/>
      <c r="F41" s="9"/>
      <c r="G41" s="9"/>
      <c r="H41" s="9"/>
      <c r="L41" s="10">
        <f t="shared" si="0"/>
        <v>0</v>
      </c>
    </row>
    <row r="42" spans="2:12" x14ac:dyDescent="0.25">
      <c r="B42" s="13"/>
      <c r="C42" s="4" t="s">
        <v>31</v>
      </c>
      <c r="D42" s="9">
        <v>11</v>
      </c>
      <c r="E42" s="9">
        <v>26</v>
      </c>
      <c r="F42" s="9">
        <v>10</v>
      </c>
      <c r="G42" s="9">
        <v>6</v>
      </c>
      <c r="H42" s="9">
        <v>1</v>
      </c>
      <c r="L42" s="10">
        <f t="shared" si="0"/>
        <v>54</v>
      </c>
    </row>
    <row r="43" spans="2:12" x14ac:dyDescent="0.25">
      <c r="B43" s="3" t="s">
        <v>136</v>
      </c>
      <c r="C43" s="6"/>
      <c r="D43" s="11">
        <f>SUM(D25:D42)</f>
        <v>120</v>
      </c>
      <c r="E43" s="11">
        <f t="shared" ref="E43" si="2">SUM(E25:E42)</f>
        <v>92</v>
      </c>
      <c r="F43" s="11">
        <f t="shared" ref="F43" si="3">SUM(F25:F42)</f>
        <v>46</v>
      </c>
      <c r="G43" s="11">
        <f t="shared" ref="G43" si="4">SUM(G25:G42)</f>
        <v>47</v>
      </c>
      <c r="H43" s="11">
        <f t="shared" ref="H43" si="5">SUM(H25:H42)</f>
        <v>12</v>
      </c>
      <c r="I43" s="11">
        <f t="shared" ref="I43" si="6">SUM(I25:I42)</f>
        <v>0</v>
      </c>
      <c r="J43" s="11">
        <f t="shared" ref="J43" si="7">SUM(J25:J42)</f>
        <v>0</v>
      </c>
      <c r="K43" s="11">
        <f t="shared" ref="K43" si="8">SUM(K25:K42)</f>
        <v>0</v>
      </c>
      <c r="L43" s="33">
        <f>SUM(D43:K43)</f>
        <v>317</v>
      </c>
    </row>
  </sheetData>
  <phoneticPr fontId="11" type="noConversion"/>
  <conditionalFormatting sqref="D22:K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K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:K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B2C3-8F5E-40F5-9329-53D9FE9DC6D3}">
  <dimension ref="B1:L59"/>
  <sheetViews>
    <sheetView topLeftCell="A42" workbookViewId="0">
      <selection activeCell="B59" sqref="B59"/>
    </sheetView>
  </sheetViews>
  <sheetFormatPr defaultRowHeight="15" x14ac:dyDescent="0.25"/>
  <cols>
    <col min="2" max="2" width="36.28515625" bestFit="1" customWidth="1"/>
    <col min="3" max="3" width="16.140625" bestFit="1" customWidth="1"/>
    <col min="12" max="12" width="11.28515625" bestFit="1" customWidth="1"/>
  </cols>
  <sheetData>
    <row r="1" spans="2:12" x14ac:dyDescent="0.25">
      <c r="B1" s="32" t="s">
        <v>131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130</v>
      </c>
      <c r="C4" s="7" t="s">
        <v>11</v>
      </c>
      <c r="D4" s="9">
        <v>2745.61</v>
      </c>
      <c r="E4" s="9">
        <v>4117.91</v>
      </c>
      <c r="F4" s="9">
        <v>5492.3099999999995</v>
      </c>
      <c r="G4" s="9">
        <v>13828.59</v>
      </c>
      <c r="H4" s="9"/>
      <c r="L4" s="10">
        <f>SUM(D4:K4)</f>
        <v>26184.42</v>
      </c>
    </row>
    <row r="5" spans="2:12" x14ac:dyDescent="0.25">
      <c r="B5" s="13"/>
      <c r="C5" s="4" t="s">
        <v>12</v>
      </c>
      <c r="D5" s="9"/>
      <c r="E5" s="9">
        <v>1007.19</v>
      </c>
      <c r="F5" s="9">
        <v>372.73</v>
      </c>
      <c r="G5" s="9"/>
      <c r="H5" s="9">
        <v>696.04</v>
      </c>
      <c r="L5" s="10">
        <f t="shared" ref="L5:L58" si="0">SUM(D5:K5)</f>
        <v>2075.96</v>
      </c>
    </row>
    <row r="6" spans="2:12" x14ac:dyDescent="0.25">
      <c r="B6" s="13"/>
      <c r="C6" s="4" t="s">
        <v>38</v>
      </c>
      <c r="D6" s="9">
        <v>953.40000000000009</v>
      </c>
      <c r="E6" s="9">
        <v>715.1</v>
      </c>
      <c r="F6" s="9">
        <v>476.74</v>
      </c>
      <c r="G6" s="9">
        <v>391.18</v>
      </c>
      <c r="H6" s="9"/>
      <c r="L6" s="10">
        <f t="shared" si="0"/>
        <v>2536.4199999999996</v>
      </c>
    </row>
    <row r="7" spans="2:12" x14ac:dyDescent="0.25">
      <c r="B7" s="13"/>
      <c r="C7" s="4" t="s">
        <v>39</v>
      </c>
      <c r="D7" s="9"/>
      <c r="E7" s="9"/>
      <c r="F7" s="9">
        <v>110</v>
      </c>
      <c r="G7" s="9"/>
      <c r="H7" s="9"/>
      <c r="L7" s="10">
        <f t="shared" si="0"/>
        <v>110</v>
      </c>
    </row>
    <row r="8" spans="2:12" x14ac:dyDescent="0.25">
      <c r="B8" s="13"/>
      <c r="C8" s="4" t="s">
        <v>40</v>
      </c>
      <c r="D8" s="9"/>
      <c r="E8" s="9"/>
      <c r="F8" s="9">
        <v>49.99</v>
      </c>
      <c r="G8" s="9"/>
      <c r="H8" s="9"/>
      <c r="L8" s="10">
        <f t="shared" si="0"/>
        <v>49.99</v>
      </c>
    </row>
    <row r="9" spans="2:12" x14ac:dyDescent="0.25">
      <c r="B9" s="13"/>
      <c r="C9" s="4" t="s">
        <v>13</v>
      </c>
      <c r="D9" s="9">
        <v>193.53</v>
      </c>
      <c r="E9" s="9"/>
      <c r="F9" s="9"/>
      <c r="G9" s="9"/>
      <c r="H9" s="9"/>
      <c r="L9" s="10">
        <f t="shared" si="0"/>
        <v>193.53</v>
      </c>
    </row>
    <row r="10" spans="2:12" x14ac:dyDescent="0.25">
      <c r="B10" s="13"/>
      <c r="C10" s="4" t="s">
        <v>41</v>
      </c>
      <c r="D10" s="9">
        <v>76.8</v>
      </c>
      <c r="E10" s="9"/>
      <c r="F10" s="9"/>
      <c r="G10" s="9"/>
      <c r="H10" s="9"/>
      <c r="L10" s="10">
        <f t="shared" si="0"/>
        <v>76.8</v>
      </c>
    </row>
    <row r="11" spans="2:12" x14ac:dyDescent="0.25">
      <c r="B11" s="13"/>
      <c r="C11" s="4" t="s">
        <v>14</v>
      </c>
      <c r="D11" s="9">
        <v>240.23</v>
      </c>
      <c r="E11" s="9">
        <v>235.32</v>
      </c>
      <c r="F11" s="9"/>
      <c r="G11" s="9"/>
      <c r="H11" s="9"/>
      <c r="L11" s="10">
        <f t="shared" si="0"/>
        <v>475.54999999999995</v>
      </c>
    </row>
    <row r="12" spans="2:12" x14ac:dyDescent="0.25">
      <c r="B12" s="13"/>
      <c r="C12" s="4" t="s">
        <v>15</v>
      </c>
      <c r="D12" s="9">
        <v>661.66</v>
      </c>
      <c r="E12" s="9">
        <v>440</v>
      </c>
      <c r="F12" s="9">
        <v>12536.279999999999</v>
      </c>
      <c r="G12" s="9">
        <v>1946.14</v>
      </c>
      <c r="H12" s="9"/>
      <c r="L12" s="10">
        <f t="shared" si="0"/>
        <v>15584.079999999998</v>
      </c>
    </row>
    <row r="13" spans="2:12" x14ac:dyDescent="0.25">
      <c r="B13" s="13"/>
      <c r="C13" s="4" t="s">
        <v>42</v>
      </c>
      <c r="D13" s="9">
        <v>1950.54</v>
      </c>
      <c r="E13" s="9"/>
      <c r="F13" s="9">
        <v>1479.38</v>
      </c>
      <c r="G13" s="9">
        <v>494.96</v>
      </c>
      <c r="H13" s="9"/>
      <c r="L13" s="10">
        <f t="shared" si="0"/>
        <v>3924.88</v>
      </c>
    </row>
    <row r="14" spans="2:12" x14ac:dyDescent="0.25">
      <c r="B14" s="13"/>
      <c r="C14" s="4" t="s">
        <v>16</v>
      </c>
      <c r="D14" s="9">
        <v>5209.3900000000003</v>
      </c>
      <c r="E14" s="9">
        <v>6658.9500000000007</v>
      </c>
      <c r="F14" s="9">
        <v>4947.59</v>
      </c>
      <c r="G14" s="9">
        <v>5933.67</v>
      </c>
      <c r="H14" s="9"/>
      <c r="L14" s="10">
        <f t="shared" si="0"/>
        <v>22749.599999999999</v>
      </c>
    </row>
    <row r="15" spans="2:12" x14ac:dyDescent="0.25">
      <c r="B15" s="13"/>
      <c r="C15" s="4" t="s">
        <v>17</v>
      </c>
      <c r="D15" s="9"/>
      <c r="E15" s="9">
        <v>618.36</v>
      </c>
      <c r="F15" s="9">
        <v>1668.5</v>
      </c>
      <c r="G15" s="9">
        <v>821.34</v>
      </c>
      <c r="H15" s="9">
        <v>1126.26</v>
      </c>
      <c r="L15" s="10">
        <f t="shared" si="0"/>
        <v>4234.46</v>
      </c>
    </row>
    <row r="16" spans="2:12" x14ac:dyDescent="0.25">
      <c r="B16" s="13"/>
      <c r="C16" s="4" t="s">
        <v>19</v>
      </c>
      <c r="D16" s="9"/>
      <c r="E16" s="9">
        <v>618.21</v>
      </c>
      <c r="F16" s="9">
        <v>1072.6400000000001</v>
      </c>
      <c r="G16" s="9">
        <v>1445.6799999999998</v>
      </c>
      <c r="H16" s="9">
        <v>1122.5</v>
      </c>
      <c r="L16" s="10">
        <f t="shared" si="0"/>
        <v>4259.03</v>
      </c>
    </row>
    <row r="17" spans="2:12" x14ac:dyDescent="0.25">
      <c r="B17" s="13"/>
      <c r="C17" s="4" t="s">
        <v>20</v>
      </c>
      <c r="D17" s="9">
        <v>412.36</v>
      </c>
      <c r="E17" s="9">
        <v>1443.0500000000002</v>
      </c>
      <c r="F17" s="9">
        <v>846.13</v>
      </c>
      <c r="G17" s="9">
        <v>2455.7999999999997</v>
      </c>
      <c r="H17" s="9">
        <v>451.04</v>
      </c>
      <c r="L17" s="10">
        <f t="shared" si="0"/>
        <v>5608.38</v>
      </c>
    </row>
    <row r="18" spans="2:12" x14ac:dyDescent="0.25">
      <c r="B18" s="13"/>
      <c r="C18" s="4" t="s">
        <v>21</v>
      </c>
      <c r="D18" s="9"/>
      <c r="E18" s="9">
        <v>896.41000000000008</v>
      </c>
      <c r="F18" s="9">
        <v>1810.71</v>
      </c>
      <c r="G18" s="9">
        <v>1423.71</v>
      </c>
      <c r="H18" s="9">
        <v>319.38</v>
      </c>
      <c r="L18" s="10">
        <f t="shared" si="0"/>
        <v>4450.21</v>
      </c>
    </row>
    <row r="19" spans="2:12" x14ac:dyDescent="0.25">
      <c r="B19" s="13"/>
      <c r="C19" s="4" t="s">
        <v>22</v>
      </c>
      <c r="D19" s="9">
        <v>40989.07</v>
      </c>
      <c r="E19" s="9">
        <v>989.98</v>
      </c>
      <c r="F19" s="9">
        <v>660</v>
      </c>
      <c r="G19" s="9">
        <v>596.13</v>
      </c>
      <c r="H19" s="9">
        <v>3082.68</v>
      </c>
      <c r="L19" s="10">
        <f t="shared" si="0"/>
        <v>46317.86</v>
      </c>
    </row>
    <row r="20" spans="2:12" x14ac:dyDescent="0.25">
      <c r="B20" s="13"/>
      <c r="C20" s="4" t="s">
        <v>23</v>
      </c>
      <c r="D20" s="9">
        <v>4091.5599999999995</v>
      </c>
      <c r="E20" s="9">
        <v>6075.8799999999992</v>
      </c>
      <c r="F20" s="9">
        <v>5020.2299999999996</v>
      </c>
      <c r="G20" s="9">
        <v>11276.69</v>
      </c>
      <c r="H20" s="9"/>
      <c r="L20" s="10">
        <f t="shared" si="0"/>
        <v>26464.36</v>
      </c>
    </row>
    <row r="21" spans="2:12" x14ac:dyDescent="0.25">
      <c r="B21" s="13"/>
      <c r="C21" s="4" t="s">
        <v>24</v>
      </c>
      <c r="D21" s="9">
        <v>2647.39</v>
      </c>
      <c r="E21" s="9">
        <v>2646.96</v>
      </c>
      <c r="F21" s="9">
        <v>1028.69</v>
      </c>
      <c r="G21" s="9">
        <v>907.01</v>
      </c>
      <c r="H21" s="9">
        <v>330.09</v>
      </c>
      <c r="L21" s="10">
        <f t="shared" si="0"/>
        <v>7560.1400000000012</v>
      </c>
    </row>
    <row r="22" spans="2:12" x14ac:dyDescent="0.25">
      <c r="B22" s="13"/>
      <c r="C22" s="4" t="s">
        <v>25</v>
      </c>
      <c r="D22" s="9">
        <v>589.79999999999995</v>
      </c>
      <c r="E22" s="9">
        <v>393.21000000000004</v>
      </c>
      <c r="F22" s="9">
        <v>196.6</v>
      </c>
      <c r="G22" s="9">
        <v>209.99</v>
      </c>
      <c r="H22" s="9"/>
      <c r="L22" s="10">
        <f t="shared" si="0"/>
        <v>1389.6</v>
      </c>
    </row>
    <row r="23" spans="2:12" x14ac:dyDescent="0.25">
      <c r="B23" s="13"/>
      <c r="C23" s="4" t="s">
        <v>26</v>
      </c>
      <c r="D23" s="9"/>
      <c r="E23" s="9">
        <v>1530</v>
      </c>
      <c r="F23" s="9">
        <v>1450.05</v>
      </c>
      <c r="G23" s="9">
        <v>386.39</v>
      </c>
      <c r="H23" s="9">
        <v>1065.31</v>
      </c>
      <c r="L23" s="10">
        <f t="shared" si="0"/>
        <v>4431.75</v>
      </c>
    </row>
    <row r="24" spans="2:12" x14ac:dyDescent="0.25">
      <c r="B24" s="13"/>
      <c r="C24" s="4" t="s">
        <v>27</v>
      </c>
      <c r="D24" s="9">
        <v>118.62</v>
      </c>
      <c r="E24" s="9">
        <v>416.5</v>
      </c>
      <c r="F24" s="9">
        <v>951.3</v>
      </c>
      <c r="G24" s="9">
        <v>-79.62</v>
      </c>
      <c r="H24" s="9">
        <v>373.46999999999997</v>
      </c>
      <c r="L24" s="10">
        <f t="shared" si="0"/>
        <v>1780.2700000000002</v>
      </c>
    </row>
    <row r="25" spans="2:12" x14ac:dyDescent="0.25">
      <c r="B25" s="13"/>
      <c r="C25" s="4" t="s">
        <v>28</v>
      </c>
      <c r="D25" s="9"/>
      <c r="E25" s="9">
        <v>221.28</v>
      </c>
      <c r="F25" s="9"/>
      <c r="G25" s="9">
        <v>38.640000000000015</v>
      </c>
      <c r="H25" s="9"/>
      <c r="L25" s="10">
        <f t="shared" si="0"/>
        <v>259.92</v>
      </c>
    </row>
    <row r="26" spans="2:12" x14ac:dyDescent="0.25">
      <c r="B26" s="13"/>
      <c r="C26" s="4" t="s">
        <v>29</v>
      </c>
      <c r="D26" s="9">
        <v>11061.640000000003</v>
      </c>
      <c r="E26" s="9">
        <v>14565.939999999999</v>
      </c>
      <c r="F26" s="9">
        <v>20039.940000000002</v>
      </c>
      <c r="G26" s="9">
        <v>29383.199999999997</v>
      </c>
      <c r="H26" s="9">
        <v>3137.3999999999996</v>
      </c>
      <c r="L26" s="10">
        <f t="shared" si="0"/>
        <v>78188.12</v>
      </c>
    </row>
    <row r="27" spans="2:12" x14ac:dyDescent="0.25">
      <c r="B27" s="13"/>
      <c r="C27" s="4" t="s">
        <v>43</v>
      </c>
      <c r="D27" s="9">
        <v>626.20000000000005</v>
      </c>
      <c r="E27" s="9">
        <v>626.49</v>
      </c>
      <c r="F27" s="9"/>
      <c r="G27" s="9">
        <v>542.22</v>
      </c>
      <c r="H27" s="9"/>
      <c r="L27" s="10">
        <f t="shared" si="0"/>
        <v>1794.91</v>
      </c>
    </row>
    <row r="28" spans="2:12" x14ac:dyDescent="0.25">
      <c r="B28" s="13"/>
      <c r="C28" s="4" t="s">
        <v>30</v>
      </c>
      <c r="D28" s="9"/>
      <c r="E28" s="9">
        <v>1450.2</v>
      </c>
      <c r="F28" s="9">
        <v>824.09999999999991</v>
      </c>
      <c r="G28" s="9">
        <v>758.69</v>
      </c>
      <c r="H28" s="9">
        <v>3029.91</v>
      </c>
      <c r="L28" s="10">
        <f t="shared" si="0"/>
        <v>6062.9</v>
      </c>
    </row>
    <row r="29" spans="2:12" x14ac:dyDescent="0.25">
      <c r="B29" s="13"/>
      <c r="C29" s="4" t="s">
        <v>31</v>
      </c>
      <c r="D29" s="9">
        <v>2169.0700000000002</v>
      </c>
      <c r="E29" s="9">
        <v>1339.2199999999998</v>
      </c>
      <c r="F29" s="9">
        <v>1559.6399999999999</v>
      </c>
      <c r="G29" s="9">
        <v>2206.4300000000003</v>
      </c>
      <c r="H29" s="9">
        <v>571.36</v>
      </c>
      <c r="L29" s="10">
        <f t="shared" si="0"/>
        <v>7845.72</v>
      </c>
    </row>
    <row r="30" spans="2:12" x14ac:dyDescent="0.25">
      <c r="B30" s="3" t="s">
        <v>136</v>
      </c>
      <c r="C30" s="6"/>
      <c r="D30" s="11">
        <f>SUM(D4:D29)</f>
        <v>74736.87000000001</v>
      </c>
      <c r="E30" s="11">
        <f t="shared" ref="E30:K30" si="1">SUM(E4:E29)</f>
        <v>47006.159999999996</v>
      </c>
      <c r="F30" s="11">
        <f t="shared" si="1"/>
        <v>62593.55</v>
      </c>
      <c r="G30" s="11">
        <f t="shared" si="1"/>
        <v>74966.84</v>
      </c>
      <c r="H30" s="11">
        <f t="shared" si="1"/>
        <v>15305.439999999999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33">
        <f>SUM(D30:K30)</f>
        <v>274608.86</v>
      </c>
    </row>
    <row r="31" spans="2:12" x14ac:dyDescent="0.25">
      <c r="B31" s="13"/>
      <c r="C31" s="4"/>
      <c r="D31" s="9"/>
      <c r="E31" s="9"/>
      <c r="F31" s="9"/>
      <c r="G31" s="9"/>
      <c r="L31" s="10"/>
    </row>
    <row r="32" spans="2:12" x14ac:dyDescent="0.25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25">
      <c r="B33" s="13"/>
      <c r="C33" s="7" t="s">
        <v>11</v>
      </c>
      <c r="D33" s="11">
        <v>4</v>
      </c>
      <c r="E33" s="11">
        <v>6</v>
      </c>
      <c r="F33" s="11">
        <v>8</v>
      </c>
      <c r="G33" s="11">
        <v>20</v>
      </c>
      <c r="H33" s="11"/>
      <c r="L33" s="10">
        <f t="shared" si="0"/>
        <v>38</v>
      </c>
    </row>
    <row r="34" spans="2:12" x14ac:dyDescent="0.25">
      <c r="B34" s="13"/>
      <c r="C34" s="4" t="s">
        <v>12</v>
      </c>
      <c r="D34" s="9"/>
      <c r="E34" s="9">
        <v>3</v>
      </c>
      <c r="F34" s="9">
        <v>1</v>
      </c>
      <c r="G34" s="9"/>
      <c r="H34" s="9">
        <v>2</v>
      </c>
      <c r="L34" s="10">
        <f t="shared" si="0"/>
        <v>6</v>
      </c>
    </row>
    <row r="35" spans="2:12" x14ac:dyDescent="0.25">
      <c r="B35" s="13"/>
      <c r="C35" s="4" t="s">
        <v>38</v>
      </c>
      <c r="D35" s="9">
        <v>4</v>
      </c>
      <c r="E35" s="9">
        <v>3</v>
      </c>
      <c r="F35" s="9">
        <v>2</v>
      </c>
      <c r="G35" s="9">
        <v>2</v>
      </c>
      <c r="H35" s="9"/>
      <c r="L35" s="10">
        <f t="shared" si="0"/>
        <v>11</v>
      </c>
    </row>
    <row r="36" spans="2:12" x14ac:dyDescent="0.25">
      <c r="B36" s="13"/>
      <c r="C36" s="4" t="s">
        <v>39</v>
      </c>
      <c r="D36" s="9"/>
      <c r="E36" s="9"/>
      <c r="F36" s="9">
        <v>1</v>
      </c>
      <c r="G36" s="9"/>
      <c r="H36" s="9"/>
      <c r="L36" s="10">
        <f t="shared" si="0"/>
        <v>1</v>
      </c>
    </row>
    <row r="37" spans="2:12" x14ac:dyDescent="0.25">
      <c r="B37" s="13"/>
      <c r="C37" s="4" t="s">
        <v>40</v>
      </c>
      <c r="D37" s="9"/>
      <c r="E37" s="9"/>
      <c r="F37" s="9">
        <v>2</v>
      </c>
      <c r="G37" s="9"/>
      <c r="H37" s="9"/>
      <c r="L37" s="10">
        <f t="shared" si="0"/>
        <v>2</v>
      </c>
    </row>
    <row r="38" spans="2:12" x14ac:dyDescent="0.25">
      <c r="B38" s="13"/>
      <c r="C38" s="4" t="s">
        <v>13</v>
      </c>
      <c r="D38" s="9">
        <v>1</v>
      </c>
      <c r="E38" s="9"/>
      <c r="F38" s="9"/>
      <c r="G38" s="9"/>
      <c r="H38" s="9"/>
      <c r="L38" s="10">
        <f t="shared" si="0"/>
        <v>1</v>
      </c>
    </row>
    <row r="39" spans="2:12" x14ac:dyDescent="0.25">
      <c r="B39" s="13"/>
      <c r="C39" s="4" t="s">
        <v>41</v>
      </c>
      <c r="D39" s="9">
        <v>1</v>
      </c>
      <c r="E39" s="9"/>
      <c r="F39" s="9"/>
      <c r="G39" s="9"/>
      <c r="H39" s="9"/>
      <c r="L39" s="10">
        <f t="shared" si="0"/>
        <v>1</v>
      </c>
    </row>
    <row r="40" spans="2:12" x14ac:dyDescent="0.25">
      <c r="B40" s="13"/>
      <c r="C40" s="4" t="s">
        <v>14</v>
      </c>
      <c r="D40" s="9">
        <v>1</v>
      </c>
      <c r="E40" s="9">
        <v>1</v>
      </c>
      <c r="F40" s="9"/>
      <c r="G40" s="9"/>
      <c r="H40" s="9"/>
      <c r="L40" s="10">
        <f t="shared" si="0"/>
        <v>2</v>
      </c>
    </row>
    <row r="41" spans="2:12" x14ac:dyDescent="0.25">
      <c r="B41" s="13"/>
      <c r="C41" s="4" t="s">
        <v>15</v>
      </c>
      <c r="D41" s="9">
        <v>3</v>
      </c>
      <c r="E41" s="9">
        <v>2</v>
      </c>
      <c r="F41" s="9">
        <v>53</v>
      </c>
      <c r="G41" s="9">
        <v>10</v>
      </c>
      <c r="H41" s="9"/>
      <c r="L41" s="10">
        <f t="shared" si="0"/>
        <v>68</v>
      </c>
    </row>
    <row r="42" spans="2:12" x14ac:dyDescent="0.25">
      <c r="B42" s="13"/>
      <c r="C42" s="4" t="s">
        <v>42</v>
      </c>
      <c r="D42" s="9">
        <v>4</v>
      </c>
      <c r="E42" s="9"/>
      <c r="F42" s="9">
        <v>3</v>
      </c>
      <c r="G42" s="9">
        <v>1</v>
      </c>
      <c r="H42" s="9"/>
      <c r="L42" s="10">
        <f t="shared" si="0"/>
        <v>8</v>
      </c>
    </row>
    <row r="43" spans="2:12" x14ac:dyDescent="0.25">
      <c r="B43" s="13"/>
      <c r="C43" s="4" t="s">
        <v>16</v>
      </c>
      <c r="D43" s="9">
        <v>36</v>
      </c>
      <c r="E43" s="9">
        <v>46</v>
      </c>
      <c r="F43" s="9">
        <v>34</v>
      </c>
      <c r="G43" s="9">
        <v>42</v>
      </c>
      <c r="H43" s="9"/>
      <c r="L43" s="10">
        <f t="shared" si="0"/>
        <v>158</v>
      </c>
    </row>
    <row r="44" spans="2:12" x14ac:dyDescent="0.25">
      <c r="B44" s="13"/>
      <c r="C44" s="4" t="s">
        <v>17</v>
      </c>
      <c r="D44" s="9"/>
      <c r="E44" s="9">
        <v>3</v>
      </c>
      <c r="F44" s="9">
        <v>8</v>
      </c>
      <c r="G44" s="9">
        <v>4</v>
      </c>
      <c r="H44" s="9">
        <v>5</v>
      </c>
      <c r="L44" s="10">
        <f t="shared" si="0"/>
        <v>20</v>
      </c>
    </row>
    <row r="45" spans="2:12" x14ac:dyDescent="0.25">
      <c r="B45" s="13"/>
      <c r="C45" s="4" t="s">
        <v>19</v>
      </c>
      <c r="D45" s="9"/>
      <c r="E45" s="9">
        <v>3</v>
      </c>
      <c r="F45" s="9">
        <v>5</v>
      </c>
      <c r="G45" s="9">
        <v>7</v>
      </c>
      <c r="H45" s="9">
        <v>5</v>
      </c>
      <c r="L45" s="10">
        <f t="shared" si="0"/>
        <v>20</v>
      </c>
    </row>
    <row r="46" spans="2:12" x14ac:dyDescent="0.25">
      <c r="B46" s="13"/>
      <c r="C46" s="4" t="s">
        <v>20</v>
      </c>
      <c r="D46" s="9">
        <v>2</v>
      </c>
      <c r="E46" s="9">
        <v>7</v>
      </c>
      <c r="F46" s="9">
        <v>4</v>
      </c>
      <c r="G46" s="9">
        <v>12</v>
      </c>
      <c r="H46" s="9">
        <v>2</v>
      </c>
      <c r="L46" s="10">
        <f t="shared" si="0"/>
        <v>27</v>
      </c>
    </row>
    <row r="47" spans="2:12" x14ac:dyDescent="0.25">
      <c r="B47" s="13"/>
      <c r="C47" s="4" t="s">
        <v>21</v>
      </c>
      <c r="D47" s="9"/>
      <c r="E47" s="9">
        <v>3</v>
      </c>
      <c r="F47" s="9">
        <v>6</v>
      </c>
      <c r="G47" s="9">
        <v>5</v>
      </c>
      <c r="H47" s="9">
        <v>1</v>
      </c>
      <c r="L47" s="10">
        <f t="shared" si="0"/>
        <v>15</v>
      </c>
    </row>
    <row r="48" spans="2:12" x14ac:dyDescent="0.25">
      <c r="B48" s="13"/>
      <c r="C48" s="4" t="s">
        <v>22</v>
      </c>
      <c r="D48" s="9">
        <v>126</v>
      </c>
      <c r="E48" s="9">
        <v>3</v>
      </c>
      <c r="F48" s="9">
        <v>2</v>
      </c>
      <c r="G48" s="9">
        <v>2</v>
      </c>
      <c r="H48" s="9">
        <v>9</v>
      </c>
      <c r="L48" s="10">
        <f t="shared" si="0"/>
        <v>142</v>
      </c>
    </row>
    <row r="49" spans="2:12" x14ac:dyDescent="0.25">
      <c r="B49" s="13"/>
      <c r="C49" s="4" t="s">
        <v>23</v>
      </c>
      <c r="D49" s="9">
        <v>8</v>
      </c>
      <c r="E49" s="9">
        <v>11</v>
      </c>
      <c r="F49" s="9">
        <v>9</v>
      </c>
      <c r="G49" s="9">
        <v>20</v>
      </c>
      <c r="H49" s="9"/>
      <c r="L49" s="10">
        <f t="shared" si="0"/>
        <v>48</v>
      </c>
    </row>
    <row r="50" spans="2:12" x14ac:dyDescent="0.25">
      <c r="B50" s="13"/>
      <c r="C50" s="4" t="s">
        <v>24</v>
      </c>
      <c r="D50" s="9">
        <v>8</v>
      </c>
      <c r="E50" s="9">
        <v>8</v>
      </c>
      <c r="F50" s="9">
        <v>3</v>
      </c>
      <c r="G50" s="9">
        <v>3</v>
      </c>
      <c r="H50" s="9">
        <v>1</v>
      </c>
      <c r="L50" s="10">
        <f t="shared" si="0"/>
        <v>23</v>
      </c>
    </row>
    <row r="51" spans="2:12" x14ac:dyDescent="0.25">
      <c r="B51" s="13"/>
      <c r="C51" s="4" t="s">
        <v>25</v>
      </c>
      <c r="D51" s="9">
        <v>3</v>
      </c>
      <c r="E51" s="9">
        <v>2</v>
      </c>
      <c r="F51" s="9">
        <v>1</v>
      </c>
      <c r="G51" s="9">
        <v>1</v>
      </c>
      <c r="H51" s="9"/>
      <c r="L51" s="10">
        <f t="shared" si="0"/>
        <v>7</v>
      </c>
    </row>
    <row r="52" spans="2:12" x14ac:dyDescent="0.25">
      <c r="B52" s="13"/>
      <c r="C52" s="4" t="s">
        <v>26</v>
      </c>
      <c r="D52" s="9"/>
      <c r="E52" s="9">
        <v>36</v>
      </c>
      <c r="F52" s="9">
        <v>34</v>
      </c>
      <c r="G52" s="9">
        <v>29</v>
      </c>
      <c r="H52" s="9">
        <v>23</v>
      </c>
      <c r="L52" s="10">
        <f t="shared" si="0"/>
        <v>122</v>
      </c>
    </row>
    <row r="53" spans="2:12" x14ac:dyDescent="0.25">
      <c r="B53" s="13"/>
      <c r="C53" s="4" t="s">
        <v>27</v>
      </c>
      <c r="D53" s="9">
        <v>2</v>
      </c>
      <c r="E53" s="9">
        <v>7</v>
      </c>
      <c r="F53" s="9">
        <v>16</v>
      </c>
      <c r="G53" s="9">
        <v>5</v>
      </c>
      <c r="H53" s="9">
        <v>6</v>
      </c>
      <c r="L53" s="10">
        <f t="shared" si="0"/>
        <v>36</v>
      </c>
    </row>
    <row r="54" spans="2:12" x14ac:dyDescent="0.25">
      <c r="B54" s="13"/>
      <c r="C54" s="4" t="s">
        <v>28</v>
      </c>
      <c r="D54" s="9"/>
      <c r="E54" s="9">
        <v>1</v>
      </c>
      <c r="F54" s="9"/>
      <c r="G54" s="9">
        <v>2</v>
      </c>
      <c r="H54" s="9"/>
      <c r="L54" s="10">
        <f t="shared" si="0"/>
        <v>3</v>
      </c>
    </row>
    <row r="55" spans="2:12" x14ac:dyDescent="0.25">
      <c r="B55" s="13"/>
      <c r="C55" s="4" t="s">
        <v>29</v>
      </c>
      <c r="D55" s="9">
        <v>50</v>
      </c>
      <c r="E55" s="9">
        <v>65</v>
      </c>
      <c r="F55" s="9">
        <v>89</v>
      </c>
      <c r="G55" s="9">
        <v>135</v>
      </c>
      <c r="H55" s="9">
        <v>14</v>
      </c>
      <c r="L55" s="10">
        <f t="shared" si="0"/>
        <v>353</v>
      </c>
    </row>
    <row r="56" spans="2:12" x14ac:dyDescent="0.25">
      <c r="B56" s="13"/>
      <c r="C56" s="4" t="s">
        <v>43</v>
      </c>
      <c r="D56" s="9">
        <v>5</v>
      </c>
      <c r="E56" s="9">
        <v>5</v>
      </c>
      <c r="F56" s="9"/>
      <c r="G56" s="9">
        <v>4</v>
      </c>
      <c r="H56" s="9"/>
      <c r="L56" s="10">
        <f t="shared" si="0"/>
        <v>14</v>
      </c>
    </row>
    <row r="57" spans="2:12" x14ac:dyDescent="0.25">
      <c r="B57" s="13"/>
      <c r="C57" s="4" t="s">
        <v>30</v>
      </c>
      <c r="D57" s="9"/>
      <c r="E57" s="9">
        <v>7</v>
      </c>
      <c r="F57" s="9">
        <v>4</v>
      </c>
      <c r="G57" s="9">
        <v>4</v>
      </c>
      <c r="H57" s="9">
        <v>14</v>
      </c>
      <c r="L57" s="10">
        <f t="shared" si="0"/>
        <v>29</v>
      </c>
    </row>
    <row r="58" spans="2:12" x14ac:dyDescent="0.25">
      <c r="B58" s="13"/>
      <c r="C58" s="4" t="s">
        <v>31</v>
      </c>
      <c r="D58" s="9">
        <v>34</v>
      </c>
      <c r="E58" s="9">
        <v>21</v>
      </c>
      <c r="F58" s="9">
        <v>23</v>
      </c>
      <c r="G58" s="9">
        <v>53</v>
      </c>
      <c r="H58" s="9">
        <v>8</v>
      </c>
      <c r="L58" s="10">
        <f t="shared" si="0"/>
        <v>139</v>
      </c>
    </row>
    <row r="59" spans="2:12" x14ac:dyDescent="0.25">
      <c r="B59" s="3" t="s">
        <v>138</v>
      </c>
      <c r="C59" s="6"/>
      <c r="D59" s="11">
        <f>SUM(D33:D58)</f>
        <v>292</v>
      </c>
      <c r="E59" s="11">
        <f t="shared" ref="E59" si="2">SUM(E33:E58)</f>
        <v>243</v>
      </c>
      <c r="F59" s="11">
        <f t="shared" ref="F59" si="3">SUM(F33:F58)</f>
        <v>308</v>
      </c>
      <c r="G59" s="11">
        <f t="shared" ref="G59" si="4">SUM(G33:G58)</f>
        <v>361</v>
      </c>
      <c r="H59" s="11">
        <f t="shared" ref="H59" si="5">SUM(H33:H58)</f>
        <v>90</v>
      </c>
      <c r="I59" s="11">
        <f t="shared" ref="I59" si="6">SUM(I33:I58)</f>
        <v>0</v>
      </c>
      <c r="J59" s="11">
        <f t="shared" ref="J59" si="7">SUM(J33:J58)</f>
        <v>0</v>
      </c>
      <c r="K59" s="11">
        <f t="shared" ref="K59" si="8">SUM(K33:K58)</f>
        <v>0</v>
      </c>
      <c r="L59" s="33">
        <f>SUM(D59:K59)</f>
        <v>1294</v>
      </c>
    </row>
  </sheetData>
  <phoneticPr fontId="11" type="noConversion"/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K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4685-A270-4476-80FD-01EEFF88E478}">
  <dimension ref="B1:L69"/>
  <sheetViews>
    <sheetView topLeftCell="A43" workbookViewId="0">
      <selection activeCell="O65" sqref="O65"/>
    </sheetView>
  </sheetViews>
  <sheetFormatPr defaultRowHeight="15" x14ac:dyDescent="0.25"/>
  <cols>
    <col min="2" max="2" width="20" customWidth="1"/>
    <col min="3" max="3" width="16.140625" bestFit="1" customWidth="1"/>
    <col min="8" max="8" width="7.42578125" bestFit="1" customWidth="1"/>
    <col min="12" max="12" width="11.28515625" bestFit="1" customWidth="1"/>
  </cols>
  <sheetData>
    <row r="1" spans="2:12" x14ac:dyDescent="0.25">
      <c r="B1" s="32" t="s">
        <v>132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101</v>
      </c>
      <c r="C4" s="7" t="s">
        <v>11</v>
      </c>
      <c r="D4" s="9">
        <v>46905.599999999999</v>
      </c>
      <c r="E4" s="9">
        <v>27892.839999999997</v>
      </c>
      <c r="F4" s="9">
        <v>33216.42</v>
      </c>
      <c r="G4" s="9">
        <v>27273.250000000004</v>
      </c>
      <c r="H4" s="9">
        <v>7655.5899999999983</v>
      </c>
      <c r="L4" s="10">
        <f>SUM(D4:K4)</f>
        <v>142943.70000000001</v>
      </c>
    </row>
    <row r="5" spans="2:12" x14ac:dyDescent="0.25">
      <c r="B5" s="13"/>
      <c r="C5" s="4" t="s">
        <v>12</v>
      </c>
      <c r="D5" s="9">
        <v>-740.51999999999975</v>
      </c>
      <c r="E5" s="9">
        <v>-1398.75</v>
      </c>
      <c r="F5" s="9">
        <v>-176.8599999999999</v>
      </c>
      <c r="G5" s="9">
        <v>-416.94000000000017</v>
      </c>
      <c r="H5" s="9"/>
      <c r="L5" s="10">
        <f t="shared" ref="L5:L68" si="0">SUM(D5:K5)</f>
        <v>-2733.0699999999993</v>
      </c>
    </row>
    <row r="6" spans="2:12" x14ac:dyDescent="0.25">
      <c r="B6" s="13"/>
      <c r="C6" s="4" t="s">
        <v>38</v>
      </c>
      <c r="D6" s="9">
        <v>2841.8100000000004</v>
      </c>
      <c r="E6" s="9">
        <v>2686.3500000000008</v>
      </c>
      <c r="F6" s="9">
        <v>3896.0599999999995</v>
      </c>
      <c r="G6" s="9">
        <v>3006.1899999999996</v>
      </c>
      <c r="H6" s="9">
        <v>1648.8</v>
      </c>
      <c r="L6" s="10">
        <f t="shared" si="0"/>
        <v>14079.21</v>
      </c>
    </row>
    <row r="7" spans="2:12" x14ac:dyDescent="0.25">
      <c r="B7" s="13"/>
      <c r="C7" s="4" t="s">
        <v>64</v>
      </c>
      <c r="D7" s="9">
        <v>197.8599999999999</v>
      </c>
      <c r="E7" s="9"/>
      <c r="F7" s="9">
        <v>-34.260000000000048</v>
      </c>
      <c r="G7" s="9">
        <v>1400.47</v>
      </c>
      <c r="H7" s="9">
        <v>1496.42</v>
      </c>
      <c r="L7" s="10">
        <f t="shared" si="0"/>
        <v>3060.49</v>
      </c>
    </row>
    <row r="8" spans="2:12" x14ac:dyDescent="0.25">
      <c r="B8" s="13"/>
      <c r="C8" s="4" t="s">
        <v>50</v>
      </c>
      <c r="D8" s="9">
        <v>878.2600000000001</v>
      </c>
      <c r="E8" s="9">
        <v>-951.59999999999991</v>
      </c>
      <c r="F8" s="9"/>
      <c r="G8" s="9">
        <v>1068.3699999999999</v>
      </c>
      <c r="H8" s="9">
        <v>135.94</v>
      </c>
      <c r="L8" s="10">
        <f t="shared" si="0"/>
        <v>1130.97</v>
      </c>
    </row>
    <row r="9" spans="2:12" x14ac:dyDescent="0.25">
      <c r="B9" s="13"/>
      <c r="C9" s="4" t="s">
        <v>39</v>
      </c>
      <c r="D9" s="9"/>
      <c r="E9" s="9">
        <v>8722.49</v>
      </c>
      <c r="F9" s="9">
        <v>14516.530000000008</v>
      </c>
      <c r="G9" s="9">
        <v>10957.03</v>
      </c>
      <c r="H9" s="9">
        <v>7369.73</v>
      </c>
      <c r="L9" s="10">
        <f t="shared" si="0"/>
        <v>41565.780000000013</v>
      </c>
    </row>
    <row r="10" spans="2:12" x14ac:dyDescent="0.25">
      <c r="B10" s="13"/>
      <c r="C10" s="4" t="s">
        <v>40</v>
      </c>
      <c r="D10" s="9"/>
      <c r="E10" s="9">
        <v>4399.380000000001</v>
      </c>
      <c r="F10" s="9">
        <v>6098.89</v>
      </c>
      <c r="G10" s="9">
        <v>8292.8800000000028</v>
      </c>
      <c r="H10" s="9">
        <v>5498.96</v>
      </c>
      <c r="L10" s="10">
        <f t="shared" si="0"/>
        <v>24290.11</v>
      </c>
    </row>
    <row r="11" spans="2:12" x14ac:dyDescent="0.25">
      <c r="B11" s="13"/>
      <c r="C11" s="4" t="s">
        <v>13</v>
      </c>
      <c r="D11" s="9">
        <v>46619.549999999996</v>
      </c>
      <c r="E11" s="9">
        <v>46531.999999999985</v>
      </c>
      <c r="F11" s="9">
        <v>25800.770000000011</v>
      </c>
      <c r="G11" s="9">
        <v>23934.220000000005</v>
      </c>
      <c r="H11" s="9">
        <v>10541.760000000002</v>
      </c>
      <c r="L11" s="10">
        <f t="shared" si="0"/>
        <v>153428.30000000002</v>
      </c>
    </row>
    <row r="12" spans="2:12" x14ac:dyDescent="0.25">
      <c r="B12" s="13"/>
      <c r="C12" s="4" t="s">
        <v>41</v>
      </c>
      <c r="D12" s="9">
        <v>158.92999999999995</v>
      </c>
      <c r="E12" s="9">
        <v>2758.7799999999997</v>
      </c>
      <c r="F12" s="9">
        <v>2801.3700000000003</v>
      </c>
      <c r="G12" s="9">
        <v>3016.2400000000002</v>
      </c>
      <c r="H12" s="9">
        <v>2004.4699999999996</v>
      </c>
      <c r="L12" s="10">
        <f t="shared" si="0"/>
        <v>10739.789999999999</v>
      </c>
    </row>
    <row r="13" spans="2:12" x14ac:dyDescent="0.25">
      <c r="B13" s="13"/>
      <c r="C13" s="4" t="s">
        <v>14</v>
      </c>
      <c r="D13" s="9">
        <v>6078.43</v>
      </c>
      <c r="E13" s="9">
        <v>6652.11</v>
      </c>
      <c r="F13" s="9">
        <v>5374.0999999999985</v>
      </c>
      <c r="G13" s="9">
        <v>4201.5499999999993</v>
      </c>
      <c r="H13" s="9">
        <v>734.63</v>
      </c>
      <c r="L13" s="10">
        <f t="shared" si="0"/>
        <v>23040.82</v>
      </c>
    </row>
    <row r="14" spans="2:12" x14ac:dyDescent="0.25">
      <c r="B14" s="13"/>
      <c r="C14" s="4" t="s">
        <v>15</v>
      </c>
      <c r="D14" s="9">
        <v>35525.299999999996</v>
      </c>
      <c r="E14" s="9">
        <v>-1746.8600000000013</v>
      </c>
      <c r="F14" s="9">
        <v>224460.33999999994</v>
      </c>
      <c r="G14" s="9">
        <v>-4449.6799999999903</v>
      </c>
      <c r="H14" s="9">
        <v>3758.8700000000003</v>
      </c>
      <c r="L14" s="10">
        <f t="shared" si="0"/>
        <v>257547.96999999994</v>
      </c>
    </row>
    <row r="15" spans="2:12" x14ac:dyDescent="0.25">
      <c r="B15" s="13"/>
      <c r="C15" s="4" t="s">
        <v>42</v>
      </c>
      <c r="D15" s="9">
        <v>137841.02000000002</v>
      </c>
      <c r="E15" s="9">
        <v>88686.080000000002</v>
      </c>
      <c r="F15" s="9">
        <v>108648.51999999999</v>
      </c>
      <c r="G15" s="9">
        <v>72750.81</v>
      </c>
      <c r="H15" s="9">
        <v>172093.11</v>
      </c>
      <c r="L15" s="10">
        <f t="shared" si="0"/>
        <v>580019.54</v>
      </c>
    </row>
    <row r="16" spans="2:12" x14ac:dyDescent="0.25">
      <c r="B16" s="13"/>
      <c r="C16" s="4" t="s">
        <v>16</v>
      </c>
      <c r="D16" s="9">
        <v>36805.739999999991</v>
      </c>
      <c r="E16" s="9">
        <v>-839.60000000000036</v>
      </c>
      <c r="F16" s="9">
        <v>-453.61000000000024</v>
      </c>
      <c r="G16" s="9">
        <v>83.349999999999966</v>
      </c>
      <c r="H16" s="9"/>
      <c r="L16" s="10">
        <f t="shared" si="0"/>
        <v>35595.87999999999</v>
      </c>
    </row>
    <row r="17" spans="2:12" x14ac:dyDescent="0.25">
      <c r="B17" s="13"/>
      <c r="C17" s="4" t="s">
        <v>102</v>
      </c>
      <c r="D17" s="9">
        <v>-25.189999999999998</v>
      </c>
      <c r="E17" s="9"/>
      <c r="F17" s="9"/>
      <c r="G17" s="9"/>
      <c r="H17" s="9"/>
      <c r="L17" s="10">
        <f t="shared" si="0"/>
        <v>-25.189999999999998</v>
      </c>
    </row>
    <row r="18" spans="2:12" x14ac:dyDescent="0.25">
      <c r="B18" s="13"/>
      <c r="C18" s="4" t="s">
        <v>17</v>
      </c>
      <c r="D18" s="9">
        <v>1272.8</v>
      </c>
      <c r="E18" s="9">
        <v>264.71000000000009</v>
      </c>
      <c r="F18" s="9">
        <v>331.38000000000005</v>
      </c>
      <c r="G18" s="9">
        <v>882.81999999999971</v>
      </c>
      <c r="H18" s="9">
        <v>455.43</v>
      </c>
      <c r="L18" s="10">
        <f t="shared" si="0"/>
        <v>3207.14</v>
      </c>
    </row>
    <row r="19" spans="2:12" x14ac:dyDescent="0.25">
      <c r="B19" s="13"/>
      <c r="C19" s="4" t="s">
        <v>19</v>
      </c>
      <c r="D19" s="9">
        <v>628.77</v>
      </c>
      <c r="E19" s="9">
        <v>735.57999999999993</v>
      </c>
      <c r="F19" s="9">
        <v>1568.8900000000003</v>
      </c>
      <c r="G19" s="9">
        <v>2426.41</v>
      </c>
      <c r="H19" s="9">
        <v>1144.48</v>
      </c>
      <c r="L19" s="10">
        <f t="shared" si="0"/>
        <v>6504.1299999999992</v>
      </c>
    </row>
    <row r="20" spans="2:12" x14ac:dyDescent="0.25">
      <c r="B20" s="13"/>
      <c r="C20" s="4" t="s">
        <v>20</v>
      </c>
      <c r="D20" s="9">
        <v>5065.22</v>
      </c>
      <c r="E20" s="9">
        <v>3130.2999999999993</v>
      </c>
      <c r="F20" s="9">
        <v>5261.41</v>
      </c>
      <c r="G20" s="9">
        <v>6211.46</v>
      </c>
      <c r="H20" s="9">
        <v>862.6</v>
      </c>
      <c r="L20" s="10">
        <f t="shared" si="0"/>
        <v>20530.989999999998</v>
      </c>
    </row>
    <row r="21" spans="2:12" x14ac:dyDescent="0.25">
      <c r="B21" s="13"/>
      <c r="C21" s="4" t="s">
        <v>21</v>
      </c>
      <c r="D21" s="9">
        <v>12517.140000000001</v>
      </c>
      <c r="E21" s="9">
        <v>8351.2700000000023</v>
      </c>
      <c r="F21" s="9">
        <v>7210.6600000000017</v>
      </c>
      <c r="G21" s="9">
        <v>10566.660000000002</v>
      </c>
      <c r="H21" s="9">
        <v>5721.24</v>
      </c>
      <c r="L21" s="10">
        <f t="shared" si="0"/>
        <v>44366.970000000008</v>
      </c>
    </row>
    <row r="22" spans="2:12" x14ac:dyDescent="0.25">
      <c r="B22" s="13"/>
      <c r="C22" s="4" t="s">
        <v>22</v>
      </c>
      <c r="D22" s="9">
        <v>317426.55000000005</v>
      </c>
      <c r="E22" s="9">
        <v>10929.180000000008</v>
      </c>
      <c r="F22" s="9">
        <v>-2304.9800000000009</v>
      </c>
      <c r="G22" s="9">
        <v>34978.989999999991</v>
      </c>
      <c r="H22" s="9">
        <v>152247.12</v>
      </c>
      <c r="L22" s="10">
        <f t="shared" si="0"/>
        <v>513276.86000000004</v>
      </c>
    </row>
    <row r="23" spans="2:12" x14ac:dyDescent="0.25">
      <c r="B23" s="13"/>
      <c r="C23" s="4" t="s">
        <v>103</v>
      </c>
      <c r="D23" s="9">
        <v>-233.26</v>
      </c>
      <c r="E23" s="9"/>
      <c r="F23" s="9"/>
      <c r="G23" s="9"/>
      <c r="H23" s="9"/>
      <c r="L23" s="10">
        <f t="shared" si="0"/>
        <v>-233.26</v>
      </c>
    </row>
    <row r="24" spans="2:12" x14ac:dyDescent="0.25">
      <c r="B24" s="13"/>
      <c r="C24" s="4" t="s">
        <v>23</v>
      </c>
      <c r="D24" s="9">
        <v>1861.0400000000029</v>
      </c>
      <c r="E24" s="9">
        <v>9652.9000000000033</v>
      </c>
      <c r="F24" s="9">
        <v>11276.560000000001</v>
      </c>
      <c r="G24" s="9">
        <v>20474.030000000006</v>
      </c>
      <c r="H24" s="9">
        <v>2874.6299999999997</v>
      </c>
      <c r="L24" s="10">
        <f t="shared" si="0"/>
        <v>46139.160000000011</v>
      </c>
    </row>
    <row r="25" spans="2:12" x14ac:dyDescent="0.25">
      <c r="B25" s="13"/>
      <c r="C25" s="4" t="s">
        <v>24</v>
      </c>
      <c r="D25" s="9">
        <v>8214.06</v>
      </c>
      <c r="E25" s="9">
        <v>6726.2899999999991</v>
      </c>
      <c r="F25" s="9">
        <v>5301.6399999999994</v>
      </c>
      <c r="G25" s="9">
        <v>8385.7000000000007</v>
      </c>
      <c r="H25" s="9">
        <v>3735.3600000000006</v>
      </c>
      <c r="L25" s="10">
        <f t="shared" si="0"/>
        <v>32363.05</v>
      </c>
    </row>
    <row r="26" spans="2:12" x14ac:dyDescent="0.25">
      <c r="B26" s="13"/>
      <c r="C26" s="4" t="s">
        <v>25</v>
      </c>
      <c r="D26" s="9">
        <v>13240.059999999998</v>
      </c>
      <c r="E26" s="9">
        <v>9588.1099999999988</v>
      </c>
      <c r="F26" s="9">
        <v>5879.7899999999991</v>
      </c>
      <c r="G26" s="9">
        <v>8400.1</v>
      </c>
      <c r="H26" s="9">
        <v>1847.98</v>
      </c>
      <c r="L26" s="10">
        <f t="shared" si="0"/>
        <v>38956.04</v>
      </c>
    </row>
    <row r="27" spans="2:12" x14ac:dyDescent="0.25">
      <c r="B27" s="13"/>
      <c r="C27" s="4" t="s">
        <v>26</v>
      </c>
      <c r="D27" s="9">
        <v>36259.560000000012</v>
      </c>
      <c r="E27" s="9">
        <v>438.08000000000021</v>
      </c>
      <c r="F27" s="9">
        <v>1797.47</v>
      </c>
      <c r="G27" s="9">
        <v>1460.6</v>
      </c>
      <c r="H27" s="9">
        <v>952.53</v>
      </c>
      <c r="L27" s="10">
        <f t="shared" si="0"/>
        <v>40908.240000000013</v>
      </c>
    </row>
    <row r="28" spans="2:12" x14ac:dyDescent="0.25">
      <c r="B28" s="13"/>
      <c r="C28" s="4" t="s">
        <v>27</v>
      </c>
      <c r="D28" s="9">
        <v>16142.55999999997</v>
      </c>
      <c r="E28" s="9">
        <v>91.550000000000125</v>
      </c>
      <c r="F28" s="9">
        <v>798.18999999999994</v>
      </c>
      <c r="G28" s="9">
        <v>1801.01</v>
      </c>
      <c r="H28" s="9"/>
      <c r="L28" s="10">
        <f t="shared" si="0"/>
        <v>18833.309999999969</v>
      </c>
    </row>
    <row r="29" spans="2:12" x14ac:dyDescent="0.25">
      <c r="B29" s="13"/>
      <c r="C29" s="4" t="s">
        <v>28</v>
      </c>
      <c r="D29" s="9">
        <v>5371.08</v>
      </c>
      <c r="E29" s="9">
        <v>-1189.6899999999991</v>
      </c>
      <c r="F29" s="9">
        <v>-439.38000000000011</v>
      </c>
      <c r="G29" s="9">
        <v>-329.95000000000027</v>
      </c>
      <c r="H29" s="9"/>
      <c r="L29" s="10">
        <f t="shared" si="0"/>
        <v>3412.0600000000009</v>
      </c>
    </row>
    <row r="30" spans="2:12" x14ac:dyDescent="0.25">
      <c r="B30" s="13"/>
      <c r="C30" s="4" t="s">
        <v>29</v>
      </c>
      <c r="D30" s="9">
        <v>82424.620000000024</v>
      </c>
      <c r="E30" s="9">
        <v>91751.38</v>
      </c>
      <c r="F30" s="9">
        <v>53738.020000000011</v>
      </c>
      <c r="G30" s="9">
        <v>97880.170000000027</v>
      </c>
      <c r="H30" s="9">
        <v>13907.599999999999</v>
      </c>
      <c r="L30" s="10">
        <f t="shared" si="0"/>
        <v>339701.79000000004</v>
      </c>
    </row>
    <row r="31" spans="2:12" x14ac:dyDescent="0.25">
      <c r="B31" s="13"/>
      <c r="C31" s="4" t="s">
        <v>43</v>
      </c>
      <c r="D31" s="9">
        <v>1701.1800000000003</v>
      </c>
      <c r="E31" s="9">
        <v>1225.77</v>
      </c>
      <c r="F31" s="9">
        <v>2316.8399999999992</v>
      </c>
      <c r="G31" s="9">
        <v>3036.88</v>
      </c>
      <c r="H31" s="9">
        <v>557.58999999999992</v>
      </c>
      <c r="L31" s="10">
        <f t="shared" si="0"/>
        <v>8838.2599999999984</v>
      </c>
    </row>
    <row r="32" spans="2:12" x14ac:dyDescent="0.25">
      <c r="B32" s="13"/>
      <c r="C32" s="4" t="s">
        <v>104</v>
      </c>
      <c r="D32" s="9">
        <v>-26.869999999999997</v>
      </c>
      <c r="E32" s="9">
        <v>-54</v>
      </c>
      <c r="F32" s="9">
        <v>-12.850000000000001</v>
      </c>
      <c r="G32" s="9"/>
      <c r="H32" s="9"/>
      <c r="L32" s="10">
        <f t="shared" si="0"/>
        <v>-93.72</v>
      </c>
    </row>
    <row r="33" spans="2:12" x14ac:dyDescent="0.25">
      <c r="B33" s="13"/>
      <c r="C33" s="4" t="s">
        <v>30</v>
      </c>
      <c r="D33" s="9">
        <v>8658.3900000000031</v>
      </c>
      <c r="E33" s="9">
        <v>2389.6100000000006</v>
      </c>
      <c r="F33" s="9">
        <v>4200.32</v>
      </c>
      <c r="G33" s="9">
        <v>5537.49</v>
      </c>
      <c r="H33" s="9">
        <v>1509.54</v>
      </c>
      <c r="L33" s="10">
        <f t="shared" si="0"/>
        <v>22295.350000000006</v>
      </c>
    </row>
    <row r="34" spans="2:12" x14ac:dyDescent="0.25">
      <c r="B34" s="13"/>
      <c r="C34" s="4" t="s">
        <v>31</v>
      </c>
      <c r="D34" s="9">
        <v>120330.99000000012</v>
      </c>
      <c r="E34" s="9">
        <v>2600.3599999999997</v>
      </c>
      <c r="F34" s="9">
        <v>3178.6400000000008</v>
      </c>
      <c r="G34" s="9">
        <v>1593.02</v>
      </c>
      <c r="H34" s="9">
        <v>1380.9</v>
      </c>
      <c r="L34" s="10">
        <f t="shared" si="0"/>
        <v>129083.91000000012</v>
      </c>
    </row>
    <row r="35" spans="2:12" x14ac:dyDescent="0.25">
      <c r="B35" s="3" t="s">
        <v>137</v>
      </c>
      <c r="C35" s="6"/>
      <c r="D35" s="11">
        <f>SUM(D4:D34)</f>
        <v>943940.68000000028</v>
      </c>
      <c r="E35" s="11">
        <f>SUM(E4:E34)</f>
        <v>330024.61999999988</v>
      </c>
      <c r="F35" s="11">
        <f>SUM(F4:F34)</f>
        <v>524250.87000000005</v>
      </c>
      <c r="G35" s="11">
        <f>SUM(G4:G34)</f>
        <v>354423.13000000006</v>
      </c>
      <c r="H35" s="11">
        <f>SUM(H4:H34)</f>
        <v>400135.27999999997</v>
      </c>
      <c r="I35" s="11">
        <f t="shared" ref="I35:K35" si="1">SUM(I9:I34)</f>
        <v>0</v>
      </c>
      <c r="J35" s="11">
        <f t="shared" si="1"/>
        <v>0</v>
      </c>
      <c r="K35" s="11">
        <f t="shared" si="1"/>
        <v>0</v>
      </c>
      <c r="L35" s="33">
        <f>SUM(D35:K35)</f>
        <v>2552774.58</v>
      </c>
    </row>
    <row r="36" spans="2:12" x14ac:dyDescent="0.25">
      <c r="B36" s="13"/>
      <c r="C36" s="4"/>
      <c r="D36" s="9"/>
      <c r="E36" s="9"/>
      <c r="F36" s="9"/>
      <c r="G36" s="9"/>
      <c r="L36" s="10"/>
    </row>
    <row r="37" spans="2:12" x14ac:dyDescent="0.25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25">
      <c r="B38" s="13"/>
      <c r="C38" s="7" t="s">
        <v>11</v>
      </c>
      <c r="D38" s="11">
        <v>77</v>
      </c>
      <c r="E38" s="11">
        <v>47</v>
      </c>
      <c r="F38" s="11">
        <v>56</v>
      </c>
      <c r="G38" s="11">
        <v>47</v>
      </c>
      <c r="H38" s="11">
        <v>11</v>
      </c>
      <c r="L38" s="10">
        <f t="shared" si="0"/>
        <v>238</v>
      </c>
    </row>
    <row r="39" spans="2:12" x14ac:dyDescent="0.25">
      <c r="B39" s="13"/>
      <c r="C39" s="4" t="s">
        <v>12</v>
      </c>
      <c r="D39" s="9">
        <v>0</v>
      </c>
      <c r="E39" s="9">
        <v>-2</v>
      </c>
      <c r="F39" s="9">
        <v>0</v>
      </c>
      <c r="G39" s="9">
        <v>0</v>
      </c>
      <c r="H39" s="9"/>
      <c r="L39" s="10">
        <f t="shared" si="0"/>
        <v>-2</v>
      </c>
    </row>
    <row r="40" spans="2:12" x14ac:dyDescent="0.25">
      <c r="B40" s="13"/>
      <c r="C40" s="4" t="s">
        <v>38</v>
      </c>
      <c r="D40" s="9">
        <v>14</v>
      </c>
      <c r="E40" s="9">
        <v>13</v>
      </c>
      <c r="F40" s="9">
        <v>18</v>
      </c>
      <c r="G40" s="9">
        <v>15</v>
      </c>
      <c r="H40" s="9">
        <v>7</v>
      </c>
      <c r="L40" s="10">
        <f t="shared" si="0"/>
        <v>67</v>
      </c>
    </row>
    <row r="41" spans="2:12" x14ac:dyDescent="0.25">
      <c r="B41" s="13"/>
      <c r="C41" s="4" t="s">
        <v>64</v>
      </c>
      <c r="D41" s="9">
        <v>1</v>
      </c>
      <c r="E41" s="9"/>
      <c r="F41" s="9">
        <v>0</v>
      </c>
      <c r="G41" s="9">
        <v>4</v>
      </c>
      <c r="H41" s="9">
        <v>4</v>
      </c>
      <c r="L41" s="10">
        <f t="shared" si="0"/>
        <v>9</v>
      </c>
    </row>
    <row r="42" spans="2:12" x14ac:dyDescent="0.25">
      <c r="B42" s="13"/>
      <c r="C42" s="4" t="s">
        <v>50</v>
      </c>
      <c r="D42" s="9">
        <v>7</v>
      </c>
      <c r="E42" s="9">
        <v>-7</v>
      </c>
      <c r="F42" s="9"/>
      <c r="G42" s="9">
        <v>8</v>
      </c>
      <c r="H42" s="9">
        <v>1</v>
      </c>
      <c r="L42" s="10">
        <f t="shared" si="0"/>
        <v>9</v>
      </c>
    </row>
    <row r="43" spans="2:12" x14ac:dyDescent="0.25">
      <c r="B43" s="13"/>
      <c r="C43" s="4" t="s">
        <v>39</v>
      </c>
      <c r="D43" s="9"/>
      <c r="E43" s="9">
        <v>85</v>
      </c>
      <c r="F43" s="9">
        <v>153</v>
      </c>
      <c r="G43" s="9">
        <v>180</v>
      </c>
      <c r="H43" s="9">
        <v>67</v>
      </c>
      <c r="L43" s="10">
        <f t="shared" si="0"/>
        <v>485</v>
      </c>
    </row>
    <row r="44" spans="2:12" x14ac:dyDescent="0.25">
      <c r="B44" s="13"/>
      <c r="C44" s="4" t="s">
        <v>40</v>
      </c>
      <c r="D44" s="9"/>
      <c r="E44" s="9">
        <v>190</v>
      </c>
      <c r="F44" s="9">
        <v>297</v>
      </c>
      <c r="G44" s="9">
        <v>512</v>
      </c>
      <c r="H44" s="9">
        <v>220</v>
      </c>
      <c r="L44" s="10">
        <f t="shared" si="0"/>
        <v>1219</v>
      </c>
    </row>
    <row r="45" spans="2:12" x14ac:dyDescent="0.25">
      <c r="B45" s="13"/>
      <c r="C45" s="4" t="s">
        <v>13</v>
      </c>
      <c r="D45" s="9">
        <v>290</v>
      </c>
      <c r="E45" s="9">
        <v>279</v>
      </c>
      <c r="F45" s="9">
        <v>166</v>
      </c>
      <c r="G45" s="9">
        <v>179</v>
      </c>
      <c r="H45" s="9">
        <v>56</v>
      </c>
      <c r="L45" s="10">
        <f t="shared" si="0"/>
        <v>970</v>
      </c>
    </row>
    <row r="46" spans="2:12" x14ac:dyDescent="0.25">
      <c r="B46" s="13"/>
      <c r="C46" s="4" t="s">
        <v>41</v>
      </c>
      <c r="D46" s="9">
        <v>8</v>
      </c>
      <c r="E46" s="9">
        <v>41</v>
      </c>
      <c r="F46" s="9">
        <v>40</v>
      </c>
      <c r="G46" s="9">
        <v>42</v>
      </c>
      <c r="H46" s="9">
        <v>26</v>
      </c>
      <c r="L46" s="10">
        <f t="shared" si="0"/>
        <v>157</v>
      </c>
    </row>
    <row r="47" spans="2:12" x14ac:dyDescent="0.25">
      <c r="B47" s="13"/>
      <c r="C47" s="4" t="s">
        <v>14</v>
      </c>
      <c r="D47" s="9">
        <v>30</v>
      </c>
      <c r="E47" s="9">
        <v>33</v>
      </c>
      <c r="F47" s="9">
        <v>25</v>
      </c>
      <c r="G47" s="9">
        <v>19</v>
      </c>
      <c r="H47" s="9">
        <v>3</v>
      </c>
      <c r="L47" s="10">
        <f t="shared" si="0"/>
        <v>110</v>
      </c>
    </row>
    <row r="48" spans="2:12" x14ac:dyDescent="0.25">
      <c r="B48" s="13"/>
      <c r="C48" s="4" t="s">
        <v>15</v>
      </c>
      <c r="D48" s="9">
        <v>204</v>
      </c>
      <c r="E48" s="9">
        <v>1</v>
      </c>
      <c r="F48" s="9">
        <v>1215</v>
      </c>
      <c r="G48" s="9">
        <v>22</v>
      </c>
      <c r="H48" s="9">
        <v>16</v>
      </c>
      <c r="L48" s="10">
        <f t="shared" si="0"/>
        <v>1458</v>
      </c>
    </row>
    <row r="49" spans="2:12" x14ac:dyDescent="0.25">
      <c r="B49" s="13"/>
      <c r="C49" s="4" t="s">
        <v>42</v>
      </c>
      <c r="D49" s="9">
        <v>377</v>
      </c>
      <c r="E49" s="9">
        <v>204</v>
      </c>
      <c r="F49" s="9">
        <v>282</v>
      </c>
      <c r="G49" s="9">
        <v>191</v>
      </c>
      <c r="H49" s="9">
        <v>365</v>
      </c>
      <c r="L49" s="10">
        <f t="shared" si="0"/>
        <v>1419</v>
      </c>
    </row>
    <row r="50" spans="2:12" x14ac:dyDescent="0.25">
      <c r="B50" s="13"/>
      <c r="C50" s="4" t="s">
        <v>16</v>
      </c>
      <c r="D50" s="9">
        <v>402</v>
      </c>
      <c r="E50" s="9">
        <v>9</v>
      </c>
      <c r="F50" s="9">
        <v>0</v>
      </c>
      <c r="G50" s="9">
        <v>1</v>
      </c>
      <c r="H50" s="9"/>
      <c r="L50" s="10">
        <f t="shared" si="0"/>
        <v>412</v>
      </c>
    </row>
    <row r="51" spans="2:12" x14ac:dyDescent="0.25">
      <c r="B51" s="13"/>
      <c r="C51" s="4" t="s">
        <v>102</v>
      </c>
      <c r="D51" s="9">
        <v>0</v>
      </c>
      <c r="E51" s="9"/>
      <c r="F51" s="9"/>
      <c r="G51" s="9"/>
      <c r="H51" s="9"/>
      <c r="L51" s="10">
        <f t="shared" si="0"/>
        <v>0</v>
      </c>
    </row>
    <row r="52" spans="2:12" x14ac:dyDescent="0.25">
      <c r="B52" s="13"/>
      <c r="C52" s="4" t="s">
        <v>17</v>
      </c>
      <c r="D52" s="9">
        <v>7</v>
      </c>
      <c r="E52" s="9">
        <v>2</v>
      </c>
      <c r="F52" s="9">
        <v>3</v>
      </c>
      <c r="G52" s="9">
        <v>5</v>
      </c>
      <c r="H52" s="9">
        <v>2</v>
      </c>
      <c r="L52" s="10">
        <f t="shared" si="0"/>
        <v>19</v>
      </c>
    </row>
    <row r="53" spans="2:12" x14ac:dyDescent="0.25">
      <c r="B53" s="13"/>
      <c r="C53" s="4" t="s">
        <v>19</v>
      </c>
      <c r="D53" s="9">
        <v>4</v>
      </c>
      <c r="E53" s="9">
        <v>5</v>
      </c>
      <c r="F53" s="9">
        <v>8</v>
      </c>
      <c r="G53" s="9">
        <v>13</v>
      </c>
      <c r="H53" s="9">
        <v>5</v>
      </c>
      <c r="L53" s="10">
        <f t="shared" si="0"/>
        <v>35</v>
      </c>
    </row>
    <row r="54" spans="2:12" x14ac:dyDescent="0.25">
      <c r="B54" s="13"/>
      <c r="C54" s="4" t="s">
        <v>20</v>
      </c>
      <c r="D54" s="9">
        <v>28</v>
      </c>
      <c r="E54" s="9">
        <v>18</v>
      </c>
      <c r="F54" s="9">
        <v>28</v>
      </c>
      <c r="G54" s="9">
        <v>33</v>
      </c>
      <c r="H54" s="9">
        <v>4</v>
      </c>
      <c r="L54" s="10">
        <f t="shared" si="0"/>
        <v>111</v>
      </c>
    </row>
    <row r="55" spans="2:12" x14ac:dyDescent="0.25">
      <c r="B55" s="13"/>
      <c r="C55" s="4" t="s">
        <v>21</v>
      </c>
      <c r="D55" s="9">
        <v>49</v>
      </c>
      <c r="E55" s="9">
        <v>33</v>
      </c>
      <c r="F55" s="9">
        <v>29</v>
      </c>
      <c r="G55" s="9">
        <v>38</v>
      </c>
      <c r="H55" s="9">
        <v>18</v>
      </c>
      <c r="L55" s="10">
        <f t="shared" si="0"/>
        <v>167</v>
      </c>
    </row>
    <row r="56" spans="2:12" x14ac:dyDescent="0.25">
      <c r="B56" s="13"/>
      <c r="C56" s="4" t="s">
        <v>22</v>
      </c>
      <c r="D56" s="9">
        <v>1088</v>
      </c>
      <c r="E56" s="9">
        <v>70</v>
      </c>
      <c r="F56" s="9">
        <v>-1</v>
      </c>
      <c r="G56" s="9">
        <v>129</v>
      </c>
      <c r="H56" s="9">
        <v>437</v>
      </c>
      <c r="L56" s="10">
        <f t="shared" si="0"/>
        <v>1723</v>
      </c>
    </row>
    <row r="57" spans="2:12" x14ac:dyDescent="0.25">
      <c r="B57" s="13"/>
      <c r="C57" s="4" t="s">
        <v>103</v>
      </c>
      <c r="D57" s="9">
        <v>-4</v>
      </c>
      <c r="E57" s="9"/>
      <c r="F57" s="9"/>
      <c r="G57" s="9"/>
      <c r="H57" s="9"/>
      <c r="L57" s="10">
        <f t="shared" si="0"/>
        <v>-4</v>
      </c>
    </row>
    <row r="58" spans="2:12" x14ac:dyDescent="0.25">
      <c r="B58" s="13"/>
      <c r="C58" s="4" t="s">
        <v>23</v>
      </c>
      <c r="D58" s="9">
        <v>5</v>
      </c>
      <c r="E58" s="9">
        <v>20</v>
      </c>
      <c r="F58" s="9">
        <v>22</v>
      </c>
      <c r="G58" s="9">
        <v>40</v>
      </c>
      <c r="H58" s="9">
        <v>5</v>
      </c>
      <c r="L58" s="10">
        <f t="shared" si="0"/>
        <v>92</v>
      </c>
    </row>
    <row r="59" spans="2:12" x14ac:dyDescent="0.25">
      <c r="B59" s="13"/>
      <c r="C59" s="4" t="s">
        <v>24</v>
      </c>
      <c r="D59" s="9">
        <v>28</v>
      </c>
      <c r="E59" s="9">
        <v>22</v>
      </c>
      <c r="F59" s="9">
        <v>16</v>
      </c>
      <c r="G59" s="9">
        <v>25</v>
      </c>
      <c r="H59" s="9">
        <v>11</v>
      </c>
      <c r="L59" s="10">
        <f t="shared" si="0"/>
        <v>102</v>
      </c>
    </row>
    <row r="60" spans="2:12" x14ac:dyDescent="0.25">
      <c r="B60" s="13"/>
      <c r="C60" s="4" t="s">
        <v>25</v>
      </c>
      <c r="D60" s="9">
        <v>79</v>
      </c>
      <c r="E60" s="9">
        <v>59</v>
      </c>
      <c r="F60" s="9">
        <v>35</v>
      </c>
      <c r="G60" s="9">
        <v>45</v>
      </c>
      <c r="H60" s="9">
        <v>9</v>
      </c>
      <c r="L60" s="10">
        <f t="shared" si="0"/>
        <v>227</v>
      </c>
    </row>
    <row r="61" spans="2:12" x14ac:dyDescent="0.25">
      <c r="B61" s="13"/>
      <c r="C61" s="4" t="s">
        <v>26</v>
      </c>
      <c r="D61" s="9">
        <v>1166</v>
      </c>
      <c r="E61" s="9">
        <v>23</v>
      </c>
      <c r="F61" s="9">
        <v>43</v>
      </c>
      <c r="G61" s="9">
        <v>32</v>
      </c>
      <c r="H61" s="9">
        <v>21</v>
      </c>
      <c r="L61" s="10">
        <f t="shared" si="0"/>
        <v>1285</v>
      </c>
    </row>
    <row r="62" spans="2:12" x14ac:dyDescent="0.25">
      <c r="B62" s="13"/>
      <c r="C62" s="4" t="s">
        <v>27</v>
      </c>
      <c r="D62" s="9">
        <v>475</v>
      </c>
      <c r="E62" s="9">
        <v>19</v>
      </c>
      <c r="F62" s="9">
        <v>21</v>
      </c>
      <c r="G62" s="9">
        <v>30</v>
      </c>
      <c r="H62" s="9"/>
      <c r="L62" s="10">
        <f t="shared" si="0"/>
        <v>545</v>
      </c>
    </row>
    <row r="63" spans="2:12" x14ac:dyDescent="0.25">
      <c r="B63" s="13"/>
      <c r="C63" s="4" t="s">
        <v>28</v>
      </c>
      <c r="D63" s="9">
        <v>43</v>
      </c>
      <c r="E63" s="9">
        <v>1</v>
      </c>
      <c r="F63" s="9">
        <v>0</v>
      </c>
      <c r="G63" s="9">
        <v>0</v>
      </c>
      <c r="H63" s="9"/>
      <c r="L63" s="10">
        <f t="shared" si="0"/>
        <v>44</v>
      </c>
    </row>
    <row r="64" spans="2:12" x14ac:dyDescent="0.25">
      <c r="B64" s="13"/>
      <c r="C64" s="4" t="s">
        <v>29</v>
      </c>
      <c r="D64" s="9">
        <v>440</v>
      </c>
      <c r="E64" s="9">
        <v>487</v>
      </c>
      <c r="F64" s="9">
        <v>252</v>
      </c>
      <c r="G64" s="9">
        <v>454</v>
      </c>
      <c r="H64" s="9">
        <v>57</v>
      </c>
      <c r="L64" s="10">
        <f t="shared" si="0"/>
        <v>1690</v>
      </c>
    </row>
    <row r="65" spans="2:12" x14ac:dyDescent="0.25">
      <c r="B65" s="13"/>
      <c r="C65" s="4" t="s">
        <v>43</v>
      </c>
      <c r="D65" s="9">
        <v>16</v>
      </c>
      <c r="E65" s="9">
        <v>11</v>
      </c>
      <c r="F65" s="9">
        <v>18</v>
      </c>
      <c r="G65" s="9">
        <v>23</v>
      </c>
      <c r="H65" s="9">
        <v>4</v>
      </c>
      <c r="L65" s="10">
        <f t="shared" si="0"/>
        <v>72</v>
      </c>
    </row>
    <row r="66" spans="2:12" x14ac:dyDescent="0.25">
      <c r="B66" s="13"/>
      <c r="C66" s="4" t="s">
        <v>104</v>
      </c>
      <c r="D66" s="9">
        <v>0</v>
      </c>
      <c r="E66" s="9">
        <v>0</v>
      </c>
      <c r="F66" s="9">
        <v>0</v>
      </c>
      <c r="G66" s="9"/>
      <c r="H66" s="9"/>
      <c r="L66" s="10">
        <f t="shared" si="0"/>
        <v>0</v>
      </c>
    </row>
    <row r="67" spans="2:12" x14ac:dyDescent="0.25">
      <c r="B67" s="13"/>
      <c r="C67" s="4" t="s">
        <v>30</v>
      </c>
      <c r="D67" s="9">
        <v>47</v>
      </c>
      <c r="E67" s="9">
        <v>15</v>
      </c>
      <c r="F67" s="9">
        <v>21</v>
      </c>
      <c r="G67" s="9">
        <v>27</v>
      </c>
      <c r="H67" s="9">
        <v>7</v>
      </c>
      <c r="L67" s="10">
        <f t="shared" si="0"/>
        <v>117</v>
      </c>
    </row>
    <row r="68" spans="2:12" x14ac:dyDescent="0.25">
      <c r="B68" s="13"/>
      <c r="C68" s="4" t="s">
        <v>31</v>
      </c>
      <c r="D68" s="9">
        <v>2494</v>
      </c>
      <c r="E68" s="9">
        <v>55</v>
      </c>
      <c r="F68" s="9">
        <v>53</v>
      </c>
      <c r="G68" s="9">
        <v>23</v>
      </c>
      <c r="H68" s="9">
        <v>20</v>
      </c>
      <c r="L68" s="10">
        <f t="shared" si="0"/>
        <v>2645</v>
      </c>
    </row>
    <row r="69" spans="2:12" x14ac:dyDescent="0.25">
      <c r="B69" s="3" t="s">
        <v>135</v>
      </c>
      <c r="C69" s="6"/>
      <c r="D69" s="11">
        <f>SUM(D38:D68)</f>
        <v>7375</v>
      </c>
      <c r="E69" s="11">
        <f>SUM(E38:E68)</f>
        <v>1733</v>
      </c>
      <c r="F69" s="11">
        <f>SUM(F38:F68)</f>
        <v>2800</v>
      </c>
      <c r="G69" s="11">
        <f>SUM(G38:G68)</f>
        <v>2137</v>
      </c>
      <c r="H69" s="11">
        <f>SUM(H38:H68)</f>
        <v>1376</v>
      </c>
      <c r="I69" s="11">
        <f t="shared" ref="I69" si="2">SUM(I43:I68)</f>
        <v>0</v>
      </c>
      <c r="J69" s="11">
        <f t="shared" ref="J69" si="3">SUM(J43:J68)</f>
        <v>0</v>
      </c>
      <c r="K69" s="11">
        <f t="shared" ref="K69" si="4">SUM(K43:K68)</f>
        <v>0</v>
      </c>
      <c r="L69" s="33">
        <f>SUM(D69:K69)</f>
        <v>15421</v>
      </c>
    </row>
  </sheetData>
  <phoneticPr fontId="11" type="noConversion"/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K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DB04-946A-4243-B84A-CE9370CC659C}">
  <dimension ref="B1:L47"/>
  <sheetViews>
    <sheetView workbookViewId="0">
      <selection activeCell="F52" sqref="F52"/>
    </sheetView>
  </sheetViews>
  <sheetFormatPr defaultRowHeight="15" x14ac:dyDescent="0.25"/>
  <cols>
    <col min="2" max="2" width="38.5703125" bestFit="1" customWidth="1"/>
    <col min="3" max="3" width="16.140625" bestFit="1" customWidth="1"/>
    <col min="8" max="8" width="7" bestFit="1" customWidth="1"/>
    <col min="12" max="12" width="11.28515625" bestFit="1" customWidth="1"/>
  </cols>
  <sheetData>
    <row r="1" spans="2:12" x14ac:dyDescent="0.25">
      <c r="B1" s="32" t="s">
        <v>134</v>
      </c>
    </row>
    <row r="2" spans="2:12" ht="18.75" x14ac:dyDescent="0.3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25">
      <c r="B3" s="31"/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25">
      <c r="B4" s="8" t="s">
        <v>133</v>
      </c>
      <c r="C4" s="7" t="s">
        <v>12</v>
      </c>
      <c r="D4" s="9">
        <v>670.94</v>
      </c>
      <c r="E4" s="9"/>
      <c r="F4" s="9"/>
      <c r="G4" s="9"/>
      <c r="H4" s="9">
        <v>1079.99</v>
      </c>
      <c r="L4" s="10">
        <f>SUM(D4:K4)</f>
        <v>1750.93</v>
      </c>
    </row>
    <row r="5" spans="2:12" x14ac:dyDescent="0.25">
      <c r="B5" s="13"/>
      <c r="C5" s="4" t="s">
        <v>40</v>
      </c>
      <c r="D5" s="9">
        <v>157.47</v>
      </c>
      <c r="E5" s="9">
        <v>967.31999999999994</v>
      </c>
      <c r="F5" s="9">
        <v>269.95</v>
      </c>
      <c r="G5" s="9">
        <v>549.89</v>
      </c>
      <c r="H5" s="9">
        <v>49.99</v>
      </c>
      <c r="L5" s="10">
        <f t="shared" ref="L5:L46" si="0">SUM(D5:K5)</f>
        <v>1994.6200000000001</v>
      </c>
    </row>
    <row r="6" spans="2:12" x14ac:dyDescent="0.25">
      <c r="B6" s="13"/>
      <c r="C6" s="4" t="s">
        <v>13</v>
      </c>
      <c r="D6" s="9"/>
      <c r="E6" s="9"/>
      <c r="F6" s="9">
        <v>193.59</v>
      </c>
      <c r="G6" s="9">
        <v>193.59</v>
      </c>
      <c r="H6" s="9"/>
      <c r="L6" s="10">
        <f t="shared" si="0"/>
        <v>387.18</v>
      </c>
    </row>
    <row r="7" spans="2:12" x14ac:dyDescent="0.25">
      <c r="B7" s="13"/>
      <c r="C7" s="4" t="s">
        <v>41</v>
      </c>
      <c r="D7" s="9"/>
      <c r="E7" s="9">
        <v>-1002.35</v>
      </c>
      <c r="F7" s="9"/>
      <c r="G7" s="9"/>
      <c r="H7" s="9"/>
      <c r="L7" s="10">
        <f t="shared" si="0"/>
        <v>-1002.35</v>
      </c>
    </row>
    <row r="8" spans="2:12" x14ac:dyDescent="0.25">
      <c r="B8" s="13"/>
      <c r="C8" s="4" t="s">
        <v>15</v>
      </c>
      <c r="D8" s="9"/>
      <c r="E8" s="9">
        <v>198</v>
      </c>
      <c r="F8" s="9">
        <v>4864.6099999999997</v>
      </c>
      <c r="G8" s="9">
        <v>634.51</v>
      </c>
      <c r="H8" s="9"/>
      <c r="L8" s="10">
        <f t="shared" si="0"/>
        <v>5697.12</v>
      </c>
    </row>
    <row r="9" spans="2:12" x14ac:dyDescent="0.25">
      <c r="B9" s="13"/>
      <c r="C9" s="4" t="s">
        <v>42</v>
      </c>
      <c r="D9" s="9"/>
      <c r="E9" s="9"/>
      <c r="F9" s="9"/>
      <c r="G9" s="9">
        <v>990.01</v>
      </c>
      <c r="H9" s="9">
        <v>1268.99</v>
      </c>
      <c r="L9" s="10">
        <f t="shared" si="0"/>
        <v>2259</v>
      </c>
    </row>
    <row r="10" spans="2:12" x14ac:dyDescent="0.25">
      <c r="B10" s="13"/>
      <c r="C10" s="4" t="s">
        <v>16</v>
      </c>
      <c r="D10" s="9">
        <v>695.98</v>
      </c>
      <c r="E10" s="9">
        <v>3740.9</v>
      </c>
      <c r="F10" s="9">
        <v>978.02</v>
      </c>
      <c r="G10" s="9">
        <v>2249.4499999999998</v>
      </c>
      <c r="H10" s="9">
        <v>978.02</v>
      </c>
      <c r="L10" s="10">
        <f t="shared" si="0"/>
        <v>8642.369999999999</v>
      </c>
    </row>
    <row r="11" spans="2:12" x14ac:dyDescent="0.25">
      <c r="B11" s="13"/>
      <c r="C11" s="4" t="s">
        <v>17</v>
      </c>
      <c r="D11" s="9"/>
      <c r="E11" s="9"/>
      <c r="F11" s="9"/>
      <c r="G11" s="9">
        <v>202.5</v>
      </c>
      <c r="H11" s="9"/>
      <c r="L11" s="10">
        <f t="shared" si="0"/>
        <v>202.5</v>
      </c>
    </row>
    <row r="12" spans="2:12" x14ac:dyDescent="0.25">
      <c r="B12" s="13"/>
      <c r="C12" s="4" t="s">
        <v>19</v>
      </c>
      <c r="D12" s="9"/>
      <c r="E12" s="9"/>
      <c r="F12" s="9"/>
      <c r="G12" s="9"/>
      <c r="H12" s="9">
        <v>224.34</v>
      </c>
      <c r="L12" s="10">
        <f t="shared" si="0"/>
        <v>224.34</v>
      </c>
    </row>
    <row r="13" spans="2:12" x14ac:dyDescent="0.25">
      <c r="B13" s="13"/>
      <c r="C13" s="4" t="s">
        <v>20</v>
      </c>
      <c r="D13" s="9"/>
      <c r="E13" s="9">
        <v>185.58</v>
      </c>
      <c r="F13" s="9">
        <v>202.5</v>
      </c>
      <c r="G13" s="9">
        <v>202.5</v>
      </c>
      <c r="H13" s="9"/>
      <c r="L13" s="10">
        <f t="shared" si="0"/>
        <v>590.58000000000004</v>
      </c>
    </row>
    <row r="14" spans="2:12" x14ac:dyDescent="0.25">
      <c r="B14" s="13"/>
      <c r="C14" s="4" t="s">
        <v>22</v>
      </c>
      <c r="D14" s="9"/>
      <c r="E14" s="9"/>
      <c r="F14" s="9">
        <v>931.5</v>
      </c>
      <c r="G14" s="9">
        <v>5278.51</v>
      </c>
      <c r="H14" s="9">
        <v>1970.43</v>
      </c>
      <c r="L14" s="10">
        <f t="shared" si="0"/>
        <v>8180.4400000000005</v>
      </c>
    </row>
    <row r="15" spans="2:12" x14ac:dyDescent="0.25">
      <c r="B15" s="13"/>
      <c r="C15" s="4" t="s">
        <v>23</v>
      </c>
      <c r="D15" s="9">
        <v>496.21</v>
      </c>
      <c r="E15" s="9">
        <v>992.44</v>
      </c>
      <c r="F15" s="9"/>
      <c r="G15" s="9"/>
      <c r="H15" s="9"/>
      <c r="L15" s="10">
        <f t="shared" si="0"/>
        <v>1488.65</v>
      </c>
    </row>
    <row r="16" spans="2:12" x14ac:dyDescent="0.25">
      <c r="B16" s="13"/>
      <c r="C16" s="4" t="s">
        <v>24</v>
      </c>
      <c r="D16" s="9"/>
      <c r="E16" s="9">
        <v>297.08</v>
      </c>
      <c r="F16" s="9"/>
      <c r="G16" s="9"/>
      <c r="H16" s="9"/>
      <c r="L16" s="10">
        <f t="shared" si="0"/>
        <v>297.08</v>
      </c>
    </row>
    <row r="17" spans="2:12" x14ac:dyDescent="0.25">
      <c r="B17" s="13"/>
      <c r="C17" s="4" t="s">
        <v>25</v>
      </c>
      <c r="D17" s="9"/>
      <c r="E17" s="9"/>
      <c r="F17" s="9">
        <v>188.99</v>
      </c>
      <c r="G17" s="9"/>
      <c r="H17" s="9"/>
      <c r="L17" s="10">
        <f t="shared" si="0"/>
        <v>188.99</v>
      </c>
    </row>
    <row r="18" spans="2:12" x14ac:dyDescent="0.25">
      <c r="B18" s="13"/>
      <c r="C18" s="4" t="s">
        <v>26</v>
      </c>
      <c r="D18" s="9">
        <v>51</v>
      </c>
      <c r="E18" s="9"/>
      <c r="F18" s="9">
        <v>289.22000000000003</v>
      </c>
      <c r="G18" s="9">
        <v>375.99</v>
      </c>
      <c r="H18" s="9">
        <v>289.22000000000003</v>
      </c>
      <c r="L18" s="10">
        <f t="shared" si="0"/>
        <v>1005.4300000000001</v>
      </c>
    </row>
    <row r="19" spans="2:12" x14ac:dyDescent="0.25">
      <c r="B19" s="13"/>
      <c r="C19" s="4" t="s">
        <v>27</v>
      </c>
      <c r="D19" s="9">
        <v>464.12</v>
      </c>
      <c r="E19" s="9">
        <v>178.5</v>
      </c>
      <c r="F19" s="9">
        <v>546.02</v>
      </c>
      <c r="G19" s="9">
        <v>195.01</v>
      </c>
      <c r="H19" s="9"/>
      <c r="L19" s="10">
        <f t="shared" si="0"/>
        <v>1383.6499999999999</v>
      </c>
    </row>
    <row r="20" spans="2:12" x14ac:dyDescent="0.25">
      <c r="B20" s="13"/>
      <c r="C20" s="4" t="s">
        <v>28</v>
      </c>
      <c r="D20" s="9"/>
      <c r="E20" s="9"/>
      <c r="F20" s="9">
        <v>144</v>
      </c>
      <c r="G20" s="9">
        <v>236.85</v>
      </c>
      <c r="H20" s="9">
        <v>144</v>
      </c>
      <c r="L20" s="10">
        <f t="shared" si="0"/>
        <v>524.85</v>
      </c>
    </row>
    <row r="21" spans="2:12" x14ac:dyDescent="0.25">
      <c r="B21" s="13"/>
      <c r="C21" s="4" t="s">
        <v>29</v>
      </c>
      <c r="D21" s="9">
        <v>649.9</v>
      </c>
      <c r="E21" s="9"/>
      <c r="F21" s="9">
        <v>1123.19</v>
      </c>
      <c r="G21" s="9">
        <v>1123.19</v>
      </c>
      <c r="H21" s="9"/>
      <c r="L21" s="10">
        <f t="shared" si="0"/>
        <v>2896.28</v>
      </c>
    </row>
    <row r="22" spans="2:12" x14ac:dyDescent="0.25">
      <c r="B22" s="13"/>
      <c r="C22" s="4" t="s">
        <v>30</v>
      </c>
      <c r="D22" s="9">
        <v>13924.97</v>
      </c>
      <c r="E22" s="9">
        <v>17638.3</v>
      </c>
      <c r="F22" s="9">
        <v>8099.98</v>
      </c>
      <c r="G22" s="9">
        <v>13162.48</v>
      </c>
      <c r="H22" s="9">
        <v>6074.99</v>
      </c>
      <c r="L22" s="10">
        <f t="shared" si="0"/>
        <v>58900.719999999994</v>
      </c>
    </row>
    <row r="23" spans="2:12" x14ac:dyDescent="0.25">
      <c r="B23" s="13"/>
      <c r="C23" s="4" t="s">
        <v>31</v>
      </c>
      <c r="D23" s="9">
        <v>6508.02</v>
      </c>
      <c r="E23" s="9">
        <v>11676.15</v>
      </c>
      <c r="F23" s="9">
        <v>9659.91</v>
      </c>
      <c r="G23" s="9">
        <v>6299.9400000000005</v>
      </c>
      <c r="H23" s="9">
        <v>3499.9700000000003</v>
      </c>
      <c r="L23" s="10">
        <f t="shared" si="0"/>
        <v>37643.99</v>
      </c>
    </row>
    <row r="24" spans="2:12" x14ac:dyDescent="0.25">
      <c r="B24" s="3" t="s">
        <v>137</v>
      </c>
      <c r="C24" s="6"/>
      <c r="D24" s="11">
        <f>SUM(D4:D23)</f>
        <v>23618.61</v>
      </c>
      <c r="E24" s="11">
        <f t="shared" ref="E24:K24" si="1">SUM(E4:E23)</f>
        <v>34871.919999999998</v>
      </c>
      <c r="F24" s="11">
        <f t="shared" si="1"/>
        <v>27491.48</v>
      </c>
      <c r="G24" s="11">
        <f t="shared" si="1"/>
        <v>31694.42</v>
      </c>
      <c r="H24" s="11">
        <f t="shared" si="1"/>
        <v>15579.940000000002</v>
      </c>
      <c r="I24" s="11">
        <f t="shared" si="1"/>
        <v>0</v>
      </c>
      <c r="J24" s="11">
        <f t="shared" si="1"/>
        <v>0</v>
      </c>
      <c r="K24" s="11">
        <f t="shared" si="1"/>
        <v>0</v>
      </c>
      <c r="L24" s="33">
        <f>SUM(D24:K24)</f>
        <v>133256.37</v>
      </c>
    </row>
    <row r="25" spans="2:12" x14ac:dyDescent="0.25">
      <c r="B25" s="13"/>
      <c r="C25" s="4"/>
      <c r="D25" s="9"/>
      <c r="E25" s="9"/>
      <c r="F25" s="9"/>
      <c r="G25" s="9"/>
      <c r="L25" s="10"/>
    </row>
    <row r="26" spans="2:12" x14ac:dyDescent="0.25">
      <c r="B26" s="8" t="s">
        <v>133</v>
      </c>
      <c r="C26" s="30" t="s">
        <v>3</v>
      </c>
      <c r="D26" s="31" t="s">
        <v>8</v>
      </c>
      <c r="E26" s="31" t="s">
        <v>7</v>
      </c>
      <c r="F26" s="31" t="s">
        <v>6</v>
      </c>
      <c r="G26" s="31" t="s">
        <v>5</v>
      </c>
      <c r="H26" s="30" t="s">
        <v>4</v>
      </c>
      <c r="I26" s="30" t="s">
        <v>34</v>
      </c>
      <c r="J26" s="30" t="s">
        <v>35</v>
      </c>
      <c r="K26" s="30" t="s">
        <v>36</v>
      </c>
      <c r="L26" s="30" t="s">
        <v>9</v>
      </c>
    </row>
    <row r="27" spans="2:12" x14ac:dyDescent="0.25">
      <c r="B27" s="13"/>
      <c r="C27" s="7" t="s">
        <v>12</v>
      </c>
      <c r="D27" s="11">
        <v>2</v>
      </c>
      <c r="E27" s="11"/>
      <c r="F27" s="11"/>
      <c r="G27" s="11"/>
      <c r="H27" s="11">
        <v>3</v>
      </c>
      <c r="L27" s="10">
        <f t="shared" si="0"/>
        <v>5</v>
      </c>
    </row>
    <row r="28" spans="2:12" x14ac:dyDescent="0.25">
      <c r="B28" s="13"/>
      <c r="C28" s="4" t="s">
        <v>40</v>
      </c>
      <c r="D28" s="9">
        <v>7</v>
      </c>
      <c r="E28" s="9">
        <v>43</v>
      </c>
      <c r="F28" s="9">
        <v>12</v>
      </c>
      <c r="G28" s="9">
        <v>30</v>
      </c>
      <c r="H28" s="9">
        <v>5</v>
      </c>
      <c r="L28" s="10">
        <f t="shared" si="0"/>
        <v>97</v>
      </c>
    </row>
    <row r="29" spans="2:12" x14ac:dyDescent="0.25">
      <c r="B29" s="13"/>
      <c r="C29" s="4" t="s">
        <v>13</v>
      </c>
      <c r="D29" s="9"/>
      <c r="E29" s="9"/>
      <c r="F29" s="9">
        <v>1</v>
      </c>
      <c r="G29" s="9">
        <v>1</v>
      </c>
      <c r="H29" s="9"/>
      <c r="L29" s="10">
        <f t="shared" si="0"/>
        <v>2</v>
      </c>
    </row>
    <row r="30" spans="2:12" x14ac:dyDescent="0.25">
      <c r="B30" s="13"/>
      <c r="C30" s="4" t="s">
        <v>41</v>
      </c>
      <c r="D30" s="9"/>
      <c r="E30" s="9">
        <v>-13</v>
      </c>
      <c r="F30" s="9"/>
      <c r="G30" s="9"/>
      <c r="H30" s="9"/>
      <c r="L30" s="10">
        <f t="shared" si="0"/>
        <v>-13</v>
      </c>
    </row>
    <row r="31" spans="2:12" x14ac:dyDescent="0.25">
      <c r="B31" s="13"/>
      <c r="C31" s="4" t="s">
        <v>15</v>
      </c>
      <c r="D31" s="9"/>
      <c r="E31" s="9">
        <v>1</v>
      </c>
      <c r="F31" s="9">
        <v>23</v>
      </c>
      <c r="G31" s="9">
        <v>3</v>
      </c>
      <c r="H31" s="9"/>
      <c r="L31" s="10">
        <f t="shared" si="0"/>
        <v>27</v>
      </c>
    </row>
    <row r="32" spans="2:12" x14ac:dyDescent="0.25">
      <c r="B32" s="13"/>
      <c r="C32" s="4" t="s">
        <v>42</v>
      </c>
      <c r="D32" s="9"/>
      <c r="E32" s="9"/>
      <c r="F32" s="9"/>
      <c r="G32" s="9">
        <v>2</v>
      </c>
      <c r="H32" s="9">
        <v>3</v>
      </c>
      <c r="L32" s="10">
        <f t="shared" si="0"/>
        <v>5</v>
      </c>
    </row>
    <row r="33" spans="2:12" x14ac:dyDescent="0.25">
      <c r="B33" s="13"/>
      <c r="C33" s="4" t="s">
        <v>16</v>
      </c>
      <c r="D33" s="9">
        <v>8</v>
      </c>
      <c r="E33" s="9">
        <v>43</v>
      </c>
      <c r="F33" s="9">
        <v>10</v>
      </c>
      <c r="G33" s="9">
        <v>23</v>
      </c>
      <c r="H33" s="9">
        <v>11</v>
      </c>
      <c r="L33" s="10">
        <f t="shared" si="0"/>
        <v>95</v>
      </c>
    </row>
    <row r="34" spans="2:12" x14ac:dyDescent="0.25">
      <c r="B34" s="13"/>
      <c r="C34" s="4" t="s">
        <v>17</v>
      </c>
      <c r="D34" s="9"/>
      <c r="E34" s="9"/>
      <c r="F34" s="9"/>
      <c r="G34" s="9">
        <v>1</v>
      </c>
      <c r="H34" s="9"/>
      <c r="L34" s="10">
        <f t="shared" si="0"/>
        <v>1</v>
      </c>
    </row>
    <row r="35" spans="2:12" x14ac:dyDescent="0.25">
      <c r="B35" s="13"/>
      <c r="C35" s="4" t="s">
        <v>19</v>
      </c>
      <c r="D35" s="9"/>
      <c r="E35" s="9"/>
      <c r="F35" s="9"/>
      <c r="G35" s="9"/>
      <c r="H35" s="9">
        <v>1</v>
      </c>
      <c r="L35" s="10">
        <f t="shared" si="0"/>
        <v>1</v>
      </c>
    </row>
    <row r="36" spans="2:12" x14ac:dyDescent="0.25">
      <c r="B36" s="13"/>
      <c r="C36" s="4" t="s">
        <v>20</v>
      </c>
      <c r="D36" s="9"/>
      <c r="E36" s="9">
        <v>1</v>
      </c>
      <c r="F36" s="9">
        <v>1</v>
      </c>
      <c r="G36" s="9">
        <v>1</v>
      </c>
      <c r="H36" s="9"/>
      <c r="L36" s="10">
        <f t="shared" si="0"/>
        <v>3</v>
      </c>
    </row>
    <row r="37" spans="2:12" x14ac:dyDescent="0.25">
      <c r="B37" s="13"/>
      <c r="C37" s="4" t="s">
        <v>22</v>
      </c>
      <c r="D37" s="9"/>
      <c r="E37" s="9"/>
      <c r="F37" s="9">
        <v>3</v>
      </c>
      <c r="G37" s="9">
        <v>17</v>
      </c>
      <c r="H37" s="9">
        <v>6</v>
      </c>
      <c r="L37" s="10">
        <f t="shared" si="0"/>
        <v>26</v>
      </c>
    </row>
    <row r="38" spans="2:12" x14ac:dyDescent="0.25">
      <c r="B38" s="13"/>
      <c r="C38" s="4" t="s">
        <v>23</v>
      </c>
      <c r="D38" s="9">
        <v>1</v>
      </c>
      <c r="E38" s="9">
        <v>2</v>
      </c>
      <c r="F38" s="9"/>
      <c r="G38" s="9"/>
      <c r="H38" s="9"/>
      <c r="L38" s="10">
        <f t="shared" si="0"/>
        <v>3</v>
      </c>
    </row>
    <row r="39" spans="2:12" x14ac:dyDescent="0.25">
      <c r="B39" s="13"/>
      <c r="C39" s="4" t="s">
        <v>24</v>
      </c>
      <c r="D39" s="9"/>
      <c r="E39" s="9">
        <v>1</v>
      </c>
      <c r="F39" s="9"/>
      <c r="G39" s="9"/>
      <c r="H39" s="9"/>
      <c r="L39" s="10">
        <f t="shared" si="0"/>
        <v>1</v>
      </c>
    </row>
    <row r="40" spans="2:12" x14ac:dyDescent="0.25">
      <c r="B40" s="13"/>
      <c r="C40" s="4" t="s">
        <v>25</v>
      </c>
      <c r="D40" s="9"/>
      <c r="E40" s="9"/>
      <c r="F40" s="9">
        <v>1</v>
      </c>
      <c r="G40" s="9"/>
      <c r="H40" s="9"/>
      <c r="L40" s="10">
        <f t="shared" si="0"/>
        <v>1</v>
      </c>
    </row>
    <row r="41" spans="2:12" x14ac:dyDescent="0.25">
      <c r="B41" s="13"/>
      <c r="C41" s="4" t="s">
        <v>26</v>
      </c>
      <c r="D41" s="9">
        <v>2</v>
      </c>
      <c r="E41" s="9"/>
      <c r="F41" s="9">
        <v>10</v>
      </c>
      <c r="G41" s="9">
        <v>13</v>
      </c>
      <c r="H41" s="9">
        <v>10</v>
      </c>
      <c r="L41" s="10">
        <f t="shared" si="0"/>
        <v>35</v>
      </c>
    </row>
    <row r="42" spans="2:12" x14ac:dyDescent="0.25">
      <c r="B42" s="13"/>
      <c r="C42" s="4" t="s">
        <v>27</v>
      </c>
      <c r="D42" s="9">
        <v>13</v>
      </c>
      <c r="E42" s="9">
        <v>5</v>
      </c>
      <c r="F42" s="9">
        <v>14</v>
      </c>
      <c r="G42" s="9">
        <v>5</v>
      </c>
      <c r="H42" s="9"/>
      <c r="L42" s="10">
        <f t="shared" si="0"/>
        <v>37</v>
      </c>
    </row>
    <row r="43" spans="2:12" x14ac:dyDescent="0.25">
      <c r="B43" s="13"/>
      <c r="C43" s="4" t="s">
        <v>28</v>
      </c>
      <c r="D43" s="9"/>
      <c r="E43" s="9"/>
      <c r="F43" s="9">
        <v>1</v>
      </c>
      <c r="G43" s="9">
        <v>1</v>
      </c>
      <c r="H43" s="9">
        <v>1</v>
      </c>
      <c r="L43" s="10">
        <f t="shared" si="0"/>
        <v>3</v>
      </c>
    </row>
    <row r="44" spans="2:12" x14ac:dyDescent="0.25">
      <c r="B44" s="13"/>
      <c r="C44" s="4" t="s">
        <v>29</v>
      </c>
      <c r="D44" s="9">
        <v>3</v>
      </c>
      <c r="E44" s="9"/>
      <c r="F44" s="9">
        <v>5</v>
      </c>
      <c r="G44" s="9">
        <v>5</v>
      </c>
      <c r="H44" s="9"/>
      <c r="L44" s="10">
        <f t="shared" si="0"/>
        <v>13</v>
      </c>
    </row>
    <row r="45" spans="2:12" x14ac:dyDescent="0.25">
      <c r="B45" s="13"/>
      <c r="C45" s="4" t="s">
        <v>30</v>
      </c>
      <c r="D45" s="9">
        <v>75</v>
      </c>
      <c r="E45" s="9">
        <v>95</v>
      </c>
      <c r="F45" s="9">
        <v>40</v>
      </c>
      <c r="G45" s="9">
        <v>65</v>
      </c>
      <c r="H45" s="9">
        <v>30</v>
      </c>
      <c r="L45" s="10">
        <f t="shared" si="0"/>
        <v>305</v>
      </c>
    </row>
    <row r="46" spans="2:12" x14ac:dyDescent="0.25">
      <c r="B46" s="13"/>
      <c r="C46" s="4" t="s">
        <v>31</v>
      </c>
      <c r="D46" s="9">
        <v>170</v>
      </c>
      <c r="E46" s="9">
        <v>305</v>
      </c>
      <c r="F46" s="9">
        <v>230</v>
      </c>
      <c r="G46" s="9">
        <v>150</v>
      </c>
      <c r="H46" s="9">
        <v>110</v>
      </c>
      <c r="L46" s="10">
        <f t="shared" si="0"/>
        <v>965</v>
      </c>
    </row>
    <row r="47" spans="2:12" x14ac:dyDescent="0.25">
      <c r="B47" s="3" t="s">
        <v>135</v>
      </c>
      <c r="C47" s="6"/>
      <c r="D47" s="11">
        <f>SUM(D27:D46)</f>
        <v>281</v>
      </c>
      <c r="E47" s="11">
        <f t="shared" ref="E47" si="2">SUM(E27:E46)</f>
        <v>483</v>
      </c>
      <c r="F47" s="11">
        <f t="shared" ref="F47" si="3">SUM(F27:F46)</f>
        <v>351</v>
      </c>
      <c r="G47" s="11">
        <f t="shared" ref="G47" si="4">SUM(G27:G46)</f>
        <v>317</v>
      </c>
      <c r="H47" s="11">
        <f t="shared" ref="H47" si="5">SUM(H27:H46)</f>
        <v>180</v>
      </c>
      <c r="I47" s="11">
        <f t="shared" ref="I47" si="6">SUM(I27:I46)</f>
        <v>0</v>
      </c>
      <c r="J47" s="11">
        <f t="shared" ref="J47" si="7">SUM(J27:J46)</f>
        <v>0</v>
      </c>
      <c r="K47" s="11">
        <f t="shared" ref="K47" si="8">SUM(K27:K46)</f>
        <v>0</v>
      </c>
      <c r="L47" s="33">
        <f>SUM(D47:K47)</f>
        <v>1612</v>
      </c>
    </row>
  </sheetData>
  <phoneticPr fontId="11" type="noConversion"/>
  <conditionalFormatting sqref="D24:K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K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:K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41</vt:i4>
      </vt:variant>
    </vt:vector>
  </HeadingPairs>
  <TitlesOfParts>
    <vt:vector size="41" baseType="lpstr">
      <vt:lpstr>Список</vt:lpstr>
      <vt:lpstr>ОСАН</vt:lpstr>
      <vt:lpstr>АНЦ(Магнолія)</vt:lpstr>
      <vt:lpstr>Соломія(Подорожник)</vt:lpstr>
      <vt:lpstr>Сіріус</vt:lpstr>
      <vt:lpstr>Фармастор</vt:lpstr>
      <vt:lpstr>Конекс</vt:lpstr>
      <vt:lpstr>Богоста</vt:lpstr>
      <vt:lpstr>ЗІ(Світ ліків)</vt:lpstr>
      <vt:lpstr>Волинь ЦМ</vt:lpstr>
      <vt:lpstr>ВІСА</vt:lpstr>
      <vt:lpstr>Аптека Гаєвського</vt:lpstr>
      <vt:lpstr> ЗФК (Колбін)</vt:lpstr>
      <vt:lpstr>ІКВЕЛ(МЕНГО)</vt:lpstr>
      <vt:lpstr>Діджи Хелс</vt:lpstr>
      <vt:lpstr>АНКОР</vt:lpstr>
      <vt:lpstr>УАХ(Фармпостач,Здравиця)</vt:lpstr>
      <vt:lpstr>Аптеки Запоріжжя</vt:lpstr>
      <vt:lpstr>Роджерс</vt:lpstr>
      <vt:lpstr>ЗІМА</vt:lpstr>
      <vt:lpstr>Волиньфарм</vt:lpstr>
      <vt:lpstr>Хустфарм</vt:lpstr>
      <vt:lpstr>Триоль</vt:lpstr>
      <vt:lpstr>СВ Медікал</vt:lpstr>
      <vt:lpstr>Ліки Полтавщини</vt:lpstr>
      <vt:lpstr>Декада</vt:lpstr>
      <vt:lpstr>Аптека Знахар</vt:lpstr>
      <vt:lpstr>Рівнефармація</vt:lpstr>
      <vt:lpstr>Аптека НЦ</vt:lpstr>
      <vt:lpstr>КП Фармація</vt:lpstr>
      <vt:lpstr>МАркет Універсал</vt:lpstr>
      <vt:lpstr>Гербамед</vt:lpstr>
      <vt:lpstr>Кісельова ФОП(Моя аптека)</vt:lpstr>
      <vt:lpstr>Євроаптека</vt:lpstr>
      <vt:lpstr>ХМПА</vt:lpstr>
      <vt:lpstr>Волиньфармпостач</vt:lpstr>
      <vt:lpstr>Скайінвест</vt:lpstr>
      <vt:lpstr>Фармако</vt:lpstr>
      <vt:lpstr>ФОП Созанський</vt:lpstr>
      <vt:lpstr>Маркет Універсал1</vt:lpstr>
      <vt:lpstr>САНА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O.Polishchuk</dc:creator>
  <cp:lastModifiedBy>Pharmasco Hrytsenko</cp:lastModifiedBy>
  <cp:lastPrinted>2026-02-04T09:47:55Z</cp:lastPrinted>
  <dcterms:created xsi:type="dcterms:W3CDTF">2015-06-05T18:19:34Z</dcterms:created>
  <dcterms:modified xsi:type="dcterms:W3CDTF">2026-02-20T08:59:48Z</dcterms:modified>
</cp:coreProperties>
</file>